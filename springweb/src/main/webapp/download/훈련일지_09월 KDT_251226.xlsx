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z01_doc\강사전달파일\"/>
    </mc:Choice>
  </mc:AlternateContent>
  <x:bookViews>
    <x:workbookView xWindow="0" yWindow="0" windowWidth="18945" windowHeight="10620" activeTab="3"/>
  </x:bookViews>
  <x:sheets>
    <x:sheet name="기본입력" sheetId="1" r:id="rId4"/>
    <x:sheet name="세부시간표" sheetId="2" r:id="rId5"/>
    <x:sheet name="시간표(상용)" sheetId="3" r:id="rId6"/>
    <x:sheet name="훈련일지(1)" sheetId="4" r:id="rId7"/>
    <x:sheet name="훈련일지(2)" sheetId="5" r:id="rId8"/>
    <x:sheet name="훈련일" sheetId="6" state="hidden" r:id="rId9"/>
    <x:sheet name="80%시점" sheetId="7" r:id="rId10"/>
  </x:sheets>
  <x:definedNames>
    <x:definedName name="결석훈련생명단" localSheetId="4">'훈련일지(2)'!$E$23:$O$23</x:definedName>
    <x:definedName name="결석훈련생명단">'훈련일지(1)'!$E$24:$O$24</x:definedName>
    <x:definedName name="공휴일">기본입력!$J$2:$J$33</x:definedName>
    <x:definedName name="과목1">기본입력!$B$9</x:definedName>
    <x:definedName name="과목10">기본입력!$B$18</x:definedName>
    <x:definedName name="과목11">기본입력!$B$19</x:definedName>
    <x:definedName name="과목12">기본입력!$B$20</x:definedName>
    <x:definedName name="과목13">기본입력!$B$21</x:definedName>
    <x:definedName name="과목14">기본입력!$B$22</x:definedName>
    <x:definedName name="과목15">기본입력!$B$23</x:definedName>
    <x:definedName name="과목16">기본입력!$B$24</x:definedName>
    <x:definedName name="과목17">기본입력!$B$25</x:definedName>
    <x:definedName name="과목18">기본입력!$B$26</x:definedName>
    <x:definedName name="과목19">기본입력!$B$27</x:definedName>
    <x:definedName name="과목2">기본입력!$B$10</x:definedName>
    <x:definedName name="과목20">기본입력!$B$28</x:definedName>
    <x:definedName name="과목21">기본입력!$B$29</x:definedName>
    <x:definedName name="과목22">기본입력!$B$30</x:definedName>
    <x:definedName name="과목23">기본입력!$B$31</x:definedName>
    <x:definedName name="과목24">기본입력!$B$32</x:definedName>
    <x:definedName name="과목25">기본입력!$B$33</x:definedName>
    <x:definedName name="과목3">기본입력!$B$11</x:definedName>
    <x:definedName name="과목4">기본입력!$B$12</x:definedName>
    <x:definedName name="과목5">기본입력!$B$13</x:definedName>
    <x:definedName name="과목6">기본입력!$B$14</x:definedName>
    <x:definedName name="과목7">기본입력!$B$15</x:definedName>
    <x:definedName name="과목8">기본입력!$B$16</x:definedName>
    <x:definedName name="과목9">기본입력!$B$17</x:definedName>
    <x:definedName name="누적시수1">기본입력!$D$9</x:definedName>
    <x:definedName name="누적시수10">기본입력!$D$18</x:definedName>
    <x:definedName name="누적시수11">기본입력!$D$19</x:definedName>
    <x:definedName name="누적시수12">기본입력!$D$20</x:definedName>
    <x:definedName name="누적시수13">기본입력!$D$21</x:definedName>
    <x:definedName name="누적시수14">기본입력!$D$22</x:definedName>
    <x:definedName name="누적시수15">기본입력!$D$23</x:definedName>
    <x:definedName name="누적시수16">기본입력!$D$24</x:definedName>
    <x:definedName name="누적시수17">기본입력!$D$25</x:definedName>
    <x:definedName name="누적시수18">기본입력!$D$26</x:definedName>
    <x:definedName name="누적시수19">기본입력!$D$27</x:definedName>
    <x:definedName name="누적시수2">기본입력!$D$10</x:definedName>
    <x:definedName name="누적시수20">기본입력!$D$28</x:definedName>
    <x:definedName name="누적시수21">기본입력!$D$29</x:definedName>
    <x:definedName name="누적시수22">기본입력!$D$30</x:definedName>
    <x:definedName name="누적시수23">기본입력!$D$31</x:definedName>
    <x:definedName name="누적시수24">기본입력!$D$32</x:definedName>
    <x:definedName name="누적시수25">기본입력!$D$33</x:definedName>
    <x:definedName name="누적시수3">기본입력!$D$11</x:definedName>
    <x:definedName name="누적시수4">기본입력!$D$12</x:definedName>
    <x:definedName name="누적시수5">기본입력!$D$13</x:definedName>
    <x:definedName name="누적시수6">기본입력!$D$14</x:definedName>
    <x:definedName name="누적시수7">기본입력!$D$15</x:definedName>
    <x:definedName name="누적시수8">기본입력!$D$16</x:definedName>
    <x:definedName name="누적시수9">기본입력!$D$17</x:definedName>
    <x:definedName name="시작일">기본입력!$H$2</x:definedName>
    <x:definedName name="시작주월요일">기본입력!$H$6</x:definedName>
    <x:definedName name="조퇴훈련생명단" localSheetId="4">'훈련일지(2)'!$E$25:$O$25</x:definedName>
    <x:definedName name="조퇴훈련생명단">'훈련일지(1)'!$E$26:$O$26</x:definedName>
    <x:definedName name="종료일">기본입력!$H$4</x:definedName>
    <x:definedName name="지각훈련생명단" localSheetId="4">'훈련일지(2)'!$E$21:$O$21</x:definedName>
    <x:definedName name="지각훈련생명단">'훈련일지(1)'!$E$22:$O$22</x:definedName>
    <x:definedName name="훈련과목1">기본입력!$B$9</x:definedName>
    <x:definedName name="훈련과목10">기본입력!$B$18</x:definedName>
    <x:definedName name="훈련과목2">기본입력!$B$10</x:definedName>
    <x:definedName name="훈련과목3">기본입력!$B$11</x:definedName>
    <x:definedName name="훈련과목4">기본입력!$B$12</x:definedName>
    <x:definedName name="훈련과목5">기본입력!$B$13</x:definedName>
    <x:definedName name="훈련과목6">기본입력!$B$14</x:definedName>
    <x:definedName name="훈련과목7">기본입력!$B$15</x:definedName>
    <x:definedName name="훈련과목8">기본입력!$B$16</x:definedName>
    <x:definedName name="훈련과목9">기본입력!$B$17</x:definedName>
    <x:definedName name="_xlnm.Print_Area" localSheetId="2">'시간표(상용)'!$A$2:$EK$38</x:definedName>
    <x:definedName name="_xlnm.Print_Area" localSheetId="3">'훈련일지(1)'!$A$1:$O$28</x:definedName>
    <x:definedName name="_xlnm.Print_Area" localSheetId="4">'훈련일지(2)'!$A$1:$O$27</x:definedName>
    <x:definedName name="_xlnm.Print_Titles" localSheetId="2">'시간표(상용)'!$A:$A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<x:sst xmlns:r="http://schemas.openxmlformats.org/officeDocument/2006/relationships" xmlns:c="http://schemas.openxmlformats.org/drawingml/2006/chart" xmlns:x="http://schemas.openxmlformats.org/spreadsheetml/2006/main" count="17775" uniqueCount="331">
  <x:si>
    <x:t>1300</x:t>
  </x:si>
  <x:si>
    <x:t/>
  </x:si>
  <x:si>
    <x:t>훈련교사</x:t>
  </x:si>
  <x:si>
    <x:t>시작시간</x:t>
  </x:si>
  <x:si>
    <x:t>15:33</x:t>
  </x:si>
  <x:si>
    <x:t>0900</x:t>
  </x:si>
  <x:si>
    <x:t>방학/원격여부</x:t>
  </x:si>
  <x:si>
    <x:t>누적시수</x:t>
  </x:si>
  <x:si>
    <x:t>훈련시작시간</x:t>
  </x:si>
  <x:si>
    <x:t>과목코드</x:t>
  </x:si>
  <x:si>
    <x:t>1교육실</x:t>
  </x:si>
  <x:si>
    <x:t>교시
시간</x:t>
  </x:si>
  <x:si>
    <x:t>16:30</x:t>
  </x:si>
  <x:si>
    <x:t>/ 122일)</x:t>
  </x:si>
  <x:si>
    <x:t>11:10</x:t>
  </x:si>
  <x:si>
    <x:t>훈 련 일 지</x:t>
  </x:si>
  <x:si>
    <x:t>,코알라</x:t>
  </x:si>
  <x:si>
    <x:t>훈련강사코드</x:t>
  </x:si>
  <x:si>
    <x:t>훈련일자</x:t>
  </x:si>
  <x:si>
    <x:t>훈련과목명</x:t>
  </x:si>
  <x:si>
    <x:t>09:02</x:t>
  </x:si>
  <x:si>
    <x:t>훈련교사코드</x:t>
  </x:si>
  <x:si>
    <x:t>훈련과목</x:t>
  </x:si>
  <x:si>
    <x:t>훈련종료시간</x:t>
  </x:si>
  <x:si>
    <x:t>AI개발 기초</x:t>
  </x:si>
  <x:si>
    <x:t>시설코드</x:t>
  </x:si>
  <x:si>
    <x:t>훈련교사정보</x:t>
  </x:si>
  <x:si>
    <x:t>훈련
시간</x:t>
  </x:si>
  <x:si>
    <x:t>(-693일</x:t>
  </x:si>
  <x:si>
    <x:t>과목
번호</x:t>
  </x:si>
  <x:si>
    <x:t>시작주 월요일</x:t>
  </x:si>
  <x:si>
    <x:t>시간구분</x:t>
  </x:si>
  <x:si>
    <x:t>조퇴훈련생</x:t>
  </x:si>
  <x:si>
    <x:t>지시사항</x:t>
  </x:si>
  <x:si>
    <x:t>훈련기간</x:t>
  </x:si>
  <x:si>
    <x:t>훈련일차</x:t>
  </x:si>
  <x:si>
    <x:t>지각훈련생</x:t>
  </x:si>
  <x:si>
    <x:t>특
이
사
항</x:t>
  </x:si>
  <x:si>
    <x:t>14:40</x:t>
  </x:si>
  <x:si>
    <x:t>결석훈련생</x:t>
  </x:si>
  <x:si>
    <x:t>1</x:t>
  </x:si>
  <x:si>
    <x:t>2</x:t>
  </x:si>
  <x:si>
    <x:t>번호</x:t>
  </x:si>
  <x:si>
    <x:t>2026년 3월   28주차 시간표</x:t>
  </x:si>
  <x:si>
    <x:t>2교시
10:00
~
10:50</x:t>
  </x:si>
  <x:si>
    <x:t>2026년 3월   26주차 시간표</x:t>
  </x:si>
  <x:si>
    <x:t>2026년 1월   18주차 시간표</x:t>
  </x:si>
  <x:si>
    <x:t>7교시
15:40
~
16:30</x:t>
  </x:si>
  <x:si>
    <x:t>5교시
13:40
~
14:30</x:t>
  </x:si>
  <x:si>
    <x:t>2025년 9월   1주차 시간표</x:t>
  </x:si>
  <x:si>
    <x:t>6교시
14:40
~
15:30</x:t>
  </x:si>
  <x:si>
    <x:t>2026년 3월   27주차 시간표</x:t>
  </x:si>
  <x:si>
    <x:t>2025년 10월   3주차 시간표</x:t>
  </x:si>
  <x:si>
    <x:t>2025년 10월   6주차 시간표</x:t>
  </x:si>
  <x:si>
    <x:t>2026년 1월   17주차 시간표</x:t>
  </x:si>
  <x:si>
    <x:t>1교시
09:00
~
09:50</x:t>
  </x:si>
  <x:si>
    <x:t>휴먼IT교육센터_내일배움카드교육</x:t>
  </x:si>
  <x:si>
    <x:t>2025년 11월   7주차 시간표</x:t>
  </x:si>
  <x:si>
    <x:t>2025년 10월   5주차 시간표</x:t>
  </x:si>
  <x:si>
    <x:t>2025년 11월   8주차 시간표</x:t>
  </x:si>
  <x:si>
    <x:t>8교시
16:40
~
17:30</x:t>
  </x:si>
  <x:si>
    <x:t>기타사항
(전달사항, 외출자 등)</x:t>
  </x:si>
  <x:si>
    <x:t>4교시
12:00
~
12:50</x:t>
  </x:si>
  <x:si>
    <x:t>일자별 시간표 내역을 입력합니다</x:t>
  </x:si>
  <x:si>
    <x:t>2026년 1월   19주차 시간표</x:t>
  </x:si>
  <x:si>
    <x:t>2026년 2월   20주차 시간표</x:t>
  </x:si>
  <x:si>
    <x:t>2026년 3월   24주차 시간표</x:t>
  </x:si>
  <x:si>
    <x:t>SQL 및 데이터 모델링__5</x:t>
  </x:si>
  <x:si>
    <x:t>2026년 2월   22주차 시간표</x:t>
  </x:si>
  <x:si>
    <x:t>2026년 2월   23주차 시간표</x:t>
  </x:si>
  <x:si>
    <x:t>2026년 4월   29주차 시간표</x:t>
  </x:si>
  <x:si>
    <x:t>2026년 1월   16주차 시간표</x:t>
  </x:si>
  <x:si>
    <x:t>2025년 11월   9주차 시간표</x:t>
  </x:si>
  <x:si>
    <x:t>3교시
11:00
~
11:50</x:t>
  </x:si>
  <x:si>
    <x:t>2025년 9월   2주차 시간표</x:t>
  </x:si>
  <x:si>
    <x:t>2026년 2월   21주차 시간표</x:t>
  </x:si>
  <x:si>
    <x:t>빅데이터 분석 및 시각화__6</x:t>
  </x:si>
  <x:si>
    <x:t>2025년 10월   4주차 시간표</x:t>
  </x:si>
  <x:si>
    <x:t>2025년 12월   13주차 시간표</x:t>
  </x:si>
  <x:si>
    <x:t>2025.09.22~2026.03.25</x:t>
  </x:si>
  <x:si>
    <x:t>2025년 12월   11주차 시간표</x:t>
  </x:si>
  <x:si>
    <x:t>2025년 12월   14주차 시간표</x:t>
  </x:si>
  <x:si>
    <x:t>2025년 12월   12주차 시간표</x:t>
  </x:si>
  <x:si>
    <x:t>2025년 12월   15주차 시간표</x:t>
  </x:si>
  <x:si>
    <x:t>1교육실(실습겸용강의실)_243089</x:t>
  </x:si>
  <x:si>
    <x:t>교시별 세부 시간표 내역을 입력합니다</x:t>
  </x:si>
  <x:si>
    <x:t>2025년 11월   10주차 시간표</x:t>
  </x:si>
  <x:si>
    <x:t>1100</x:t>
  </x:si>
  <x:si>
    <x:t>1200</x:t>
  </x:si>
  <x:si>
    <x:t>빅데이터 시스템 구축__7</x:t>
  </x:si>
  <x:si>
    <x:t>웹&amp;콘텐츠 서비스 개발</x:t>
  </x:si>
  <x:si>
    <x:t>Advanced 프로젝트</x:t>
  </x:si>
  <x:si>
    <x:t>SQL 및 데이터 모델링</x:t>
  </x:si>
  <x:si>
    <x:t>교과목명
및
능력단위명</x:t>
  </x:si>
  <x:si>
    <x:t>비고 : 결석이 없는 경우</x:t>
  </x:si>
  <x:si>
    <x:t>인공지능 프로그래밍__2</x:t>
  </x:si>
  <x:si>
    <x:t>웹&amp;콘텐츠 서비스 개발__4</x:t>
  </x:si>
  <x:si>
    <x:t>훈   련   사   항</x:t>
  </x:si>
  <x:si>
    <x:t>빅데이터 플랫폼 개발__8</x:t>
  </x:si>
  <x:si>
    <x:t xml:space="preserve">훈  련  기  간  :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</x:si>
  <x:si>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5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13:40~14:30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</x:si>
  <x:si>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8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16:40~17:30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</x:si>
  <x:si>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3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11:00~11:50</x:t>
    </x:r>
  </x:si>
  <x:si>
    <x:t>빅데이터 분석 및 시각화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</x:si>
  <x:si>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2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10:00~10:50</x:t>
    </x:r>
  </x:si>
  <x:si>
    <x:t>Final 프로젝트__10</x:t>
  </x:si>
  <x:si>
    <x:t xml:space="preserve">훈 련 기 관 명  : </x:t>
  </x:si>
  <x:si>
    <x:t>교과목(및 능력단위)코드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</x:si>
  <x:si>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1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09:00~09:50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</x:si>
  <x:si>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4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12:00~12:50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</x:si>
  <x:si>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6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14:40~15:30</x:t>
    </x:r>
  </x:si>
  <x:si>
    <x:t>1교육실(실습겸용강의실)</x:t>
  </x:si>
  <x:si>
    <x:t>취업특강 및 모의면접__11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</x:si>
  <x:si>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7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15:40~16:30</x:t>
    </x:r>
  </x:si>
  <x:si>
    <x:t>웹 애플리케이션 개발__3</x:t>
  </x:si>
  <x:si>
    <x:t xml:space="preserve">훈 련 과 정 명  : </x:t>
  </x:si>
  <x:si>
    <x:t>Advanced 프로젝트_9</x:t>
  </x:si>
  <x:si>
    <x:t>1000</x:t>
  </x:si>
  <x:si>
    <x:t>인공지능(AI),빅데이터 활용 웹솔루션 개발자 양성(Python, Java)</x:t>
  </x:si>
  <x:si>
    <x:t>인공지능(AI),빅데이터 활용 웹솔루션 개발자 양성(Python, Java)  (2025.09.22~2026.03.25)</x:t>
  </x:si>
  <x:si>
    <x:t>박성준</x:t>
  </x:si>
  <x:si>
    <x:t>인공지능(AI),빅데이터 활용 웹솔루션 개발자 양성(Python, Java)    (2025.09.22~2026.03.25)</x:t>
  </x:si>
  <x:si>
    <x:t>(64일</x:t>
  </x:si>
  <x:si>
    <x:t>산업체특강 , 프로젝트 발표(시연), 수료식__12</x:t>
  </x:si>
  <x:si>
    <x:t xml:space="preserve">(6개월. 122일. 976시간. 일 8.0시간) </x:t>
  </x:si>
  <x:si>
    <x:t>((6개월. 122일. 976시간. 일 8.0시간) )</x:t>
  </x:si>
  <x:si>
    <x:t>산업체특강 , 프로젝트 발표(시연), 수료식</x:t>
  </x:si>
  <x:si>
    <x:t>조퇴</x:t>
  </x:si>
  <x:si>
    <x:t>시작일</x:t>
  </x:si>
  <x:si>
    <x:t>출석</x:t>
  </x:si>
  <x:si>
    <x:t>재적</x:t>
  </x:si>
  <x:si>
    <x:t>미어캣</x:t>
  </x:si>
  <x:si>
    <x:t>캥거루</x:t>
  </x:si>
  <x:si>
    <x:t>수요일</x:t>
  </x:si>
  <x:si>
    <x:t>종료일</x:t>
  </x:si>
  <x:si>
    <x:t>과목명</x:t>
  </x:si>
  <x:si>
    <x:t>강아지</x:t>
  </x:si>
  <x:si>
    <x:t>지각</x:t>
  </x:si>
  <x:si>
    <x:t>고양이</x:t>
  </x:si>
  <x:si>
    <x:t>코드</x:t>
  </x:si>
  <x:si>
    <x:t>지각자</x:t>
  </x:si>
  <x:si>
    <x:t>조퇴자</x:t>
  </x:si>
  <x:si>
    <x:t>x</x:t>
  </x:si>
  <x:si>
    <x:t>코알라</x:t>
  </x:si>
  <x:si>
    <x:t>명</x:t>
  </x:si>
  <x:si>
    <x:t>이준오</x:t>
  </x:si>
  <x:si>
    <x:t>고릴라</x:t>
  </x:si>
  <x:si>
    <x:t>양현수</x:t>
  </x:si>
  <x:si>
    <x:t>김담현</x:t>
  </x:si>
  <x:si>
    <x:t>교시</x:t>
  </x:si>
  <x:si>
    <x:t>목요일</x:t>
  </x:si>
  <x:si>
    <x:t>화요일</x:t>
  </x:si>
  <x:si>
    <x:t>월요일</x:t>
  </x:si>
  <x:si>
    <x:t>시수</x:t>
  </x:si>
  <x:si>
    <x:t>결석자</x:t>
  </x:si>
  <x:si>
    <x:t>금요일</x:t>
  </x:si>
  <x:si>
    <x:t>강의실</x:t>
  </x:si>
  <x:si>
    <x:t>결석</x:t>
  </x:si>
  <x:si>
    <x:t>김용</x:t>
  </x:si>
  <x:si>
    <x:t>임동주</x:t>
  </x:si>
  <x:si>
    <x:t>20251013</x:t>
  </x:si>
  <x:si>
    <x:t>20260206</x:t>
  </x:si>
  <x:si>
    <x:t>20260205</x:t>
  </x:si>
  <x:si>
    <x:t>20260130</x:t>
  </x:si>
  <x:si>
    <x:t>20260402</x:t>
  </x:si>
  <x:si>
    <x:t>20250924</x:t>
  </x:si>
  <x:si>
    <x:t>20251014</x:t>
  </x:si>
  <x:si>
    <x:t>20251104</x:t>
  </x:si>
  <x:si>
    <x:t>13:40~14:30</x:t>
  </x:si>
  <x:si>
    <x:t>20260403</x:t>
  </x:si>
  <x:si>
    <x:t>20260129</x:t>
  </x:si>
  <x:si>
    <x:t>20260128</x:t>
  </x:si>
  <x:si>
    <x:t>20250929</x:t>
  </x:si>
  <x:si>
    <x:t>20251002</x:t>
  </x:si>
  <x:si>
    <x:t>20251211</x:t>
  </x:si>
  <x:si>
    <x:t>20260127</x:t>
  </x:si>
  <x:si>
    <x:t>20260325</x:t>
  </x:si>
  <x:si>
    <x:t>20260226</x:t>
  </x:si>
  <x:si>
    <x:t>20251106</x:t>
  </x:si>
  <x:si>
    <x:t>20251103</x:t>
  </x:si>
  <x:si>
    <x:t>20250923</x:t>
  </x:si>
  <x:si>
    <x:t>20250925</x:t>
  </x:si>
  <x:si>
    <x:t>20260202</x:t>
  </x:si>
  <x:si>
    <x:t>20251029</x:t>
  </x:si>
  <x:si>
    <x:t>20251027</x:t>
  </x:si>
  <x:si>
    <x:t>20260408</x:t>
  </x:si>
  <x:si>
    <x:t>[200102]김은수</x:t>
  </x:si>
  <x:si>
    <x:t>20260331</x:t>
  </x:si>
  <x:si>
    <x:t>교육장소(강의실)코드</x:t>
  </x:si>
  <x:si>
    <x:t>취업특강 및 모의면접</x:t>
  </x:si>
  <x:si>
    <x:t>20260312</x:t>
  </x:si>
  <x:si>
    <x:t>20260311</x:t>
  </x:si>
  <x:si>
    <x:t>20260401</x:t>
  </x:si>
  <x:si>
    <x:t>공휴일(주말제외)</x:t>
  </x:si>
  <x:si>
    <x:t>20251111</x:t>
  </x:si>
  <x:si>
    <x:t>20251010</x:t>
  </x:si>
  <x:si>
    <x:t>20250930</x:t>
  </x:si>
  <x:si>
    <x:t>20250926</x:t>
  </x:si>
  <x:si>
    <x:t>비고
(불참자등)</x:t>
  </x:si>
  <x:si>
    <x:t>20251028</x:t>
  </x:si>
  <x:si>
    <x:t>20260120</x:t>
  </x:si>
  <x:si>
    <x:t>미어캣,고릴라,코알라</x:t>
  </x:si>
  <x:si>
    <x:t>20251015</x:t>
  </x:si>
  <x:si>
    <x:t>20260317</x:t>
  </x:si>
  <x:si>
    <x:t>20251119</x:t>
  </x:si>
  <x:si>
    <x:t>20251017</x:t>
  </x:si>
  <x:si>
    <x:t>20260326</x:t>
  </x:si>
  <x:si>
    <x:t>20251021</x:t>
  </x:si>
  <x:si>
    <x:t>20260211</x:t>
  </x:si>
  <x:si>
    <x:t>20251202</x:t>
  </x:si>
  <x:si>
    <x:t>20251022</x:t>
  </x:si>
  <x:si>
    <x:t>20251030</x:t>
  </x:si>
  <x:si>
    <x:t>20260318</x:t>
  </x:si>
  <x:si>
    <x:t>20251016</x:t>
  </x:si>
  <x:si>
    <x:t>20260327</x:t>
  </x:si>
  <x:si>
    <x:t>20251216</x:t>
  </x:si>
  <x:si>
    <x:t xml:space="preserve">훈련과정명 : </x:t>
  </x:si>
  <x:si>
    <x:t>20251219</x:t>
  </x:si>
  <x:si>
    <x:t>20260210</x:t>
  </x:si>
  <x:si>
    <x:t>20260225</x:t>
  </x:si>
  <x:si>
    <x:t>20251023</x:t>
  </x:si>
  <x:si>
    <x:t>20251024</x:t>
  </x:si>
  <x:si>
    <x:t>14:40~15:30</x:t>
  </x:si>
  <x:si>
    <x:t>20260316</x:t>
  </x:si>
  <x:si>
    <x:t>시간/일/일평균시간</x:t>
  </x:si>
  <x:si>
    <x:t>20251215</x:t>
  </x:si>
  <x:si>
    <x:t>20251110</x:t>
  </x:si>
  <x:si>
    <x:t>20260223</x:t>
  </x:si>
  <x:si>
    <x:t>20251020</x:t>
  </x:si>
  <x:si>
    <x:t>16:40~17:30</x:t>
  </x:si>
  <x:si>
    <x:t>,고릴라,코알라</x:t>
  </x:si>
  <x:si>
    <x:t>20251203</x:t>
  </x:si>
  <x:si>
    <x:t>20251125</x:t>
  </x:si>
  <x:si>
    <x:t>11:00~11:50</x:t>
  </x:si>
  <x:si>
    <x:t>20260304</x:t>
  </x:si>
  <x:si>
    <x:t>20260309</x:t>
  </x:si>
  <x:si>
    <x:t>20251107</x:t>
  </x:si>
  <x:si>
    <x:t>20260407</x:t>
  </x:si>
  <x:si>
    <x:t>20260303</x:t>
  </x:si>
  <x:si>
    <x:t>20251105</x:t>
  </x:si>
  <x:si>
    <x:t>20251127</x:t>
  </x:si>
  <x:si>
    <x:t>20260305</x:t>
  </x:si>
  <x:si>
    <x:t>20251212</x:t>
  </x:si>
  <x:si>
    <x:t>15:40~16:30</x:t>
  </x:si>
  <x:si>
    <x:t>20260102</x:t>
  </x:si>
  <x:si>
    <x:t>09:00~09:50</x:t>
  </x:si>
  <x:si>
    <x:t>20251114</x:t>
  </x:si>
  <x:si>
    <x:t>20260310</x:t>
  </x:si>
  <x:si>
    <x:t>20260220</x:t>
  </x:si>
  <x:si>
    <x:t>[200102]박기태</x:t>
  </x:si>
  <x:si>
    <x:t>20251117</x:t>
  </x:si>
  <x:si>
    <x:t>2025-10-06</x:t>
  </x:si>
  <x:si>
    <x:t>20250922</x:t>
  </x:si>
  <x:si>
    <x:t>Final 프로젝트</x:t>
  </x:si>
  <x:si>
    <x:t>20260212</x:t>
  </x:si>
  <x:si>
    <x:t>80%시점
(기본)</x:t>
  </x:si>
  <x:si>
    <x:t>12:00~12:50</x:t>
  </x:si>
  <x:si>
    <x:t>AI개발 기초__1</x:t>
  </x:si>
  <x:si>
    <x:t>박기태_1947477</x:t>
  </x:si>
  <x:si>
    <x:t>[200102]양현수</x:t>
  </x:si>
  <x:si>
    <x:t>20260106</x:t>
  </x:si>
  <x:si>
    <x:t xml:space="preserve">훈련기관명 : </x:t>
  </x:si>
  <x:si>
    <x:t>20260320</x:t>
  </x:si>
  <x:si>
    <x:t>20260313</x:t>
  </x:si>
  <x:si>
    <x:t>(주)휴먼교육센터</x:t>
  </x:si>
  <x:si>
    <x:t>20260330</x:t>
  </x:si>
  <x:si>
    <x:t xml:space="preserve">훈  련  일  : </x:t>
  </x:si>
  <x:si>
    <x:t>2025-10-03</x:t>
  </x:si>
  <x:si>
    <x:t>20251201</x:t>
  </x:si>
  <x:si>
    <x:t>20251112</x:t>
  </x:si>
  <x:si>
    <x:t>20251218</x:t>
  </x:si>
  <x:si>
    <x:t>20251222</x:t>
  </x:si>
  <x:si>
    <x:t>20251031</x:t>
  </x:si>
  <x:si>
    <x:t>20251120</x:t>
  </x:si>
  <x:si>
    <x:t>20260122</x:t>
  </x:si>
  <x:si>
    <x:t>웹 애플리케이션 개발</x:t>
  </x:si>
  <x:si>
    <x:t>20260213</x:t>
  </x:si>
  <x:si>
    <x:t>양현수_53778</x:t>
  </x:si>
  <x:si>
    <x:t>20251126</x:t>
  </x:si>
  <x:si>
    <x:t>20260406</x:t>
  </x:si>
  <x:si>
    <x:t>20251113</x:t>
  </x:si>
  <x:si>
    <x:t xml:space="preserve">훈련기간   : </x:t>
  </x:si>
  <x:si>
    <x:t>20251224</x:t>
  </x:si>
  <x:si>
    <x:t>20251210</x:t>
  </x:si>
  <x:si>
    <x:t>20260116</x:t>
  </x:si>
  <x:si>
    <x:t>20260121</x:t>
  </x:si>
  <x:si>
    <x:t>20251128</x:t>
  </x:si>
  <x:si>
    <x:t>김은수_52618</x:t>
  </x:si>
  <x:si>
    <x:t>20251001</x:t>
  </x:si>
  <x:si>
    <x:t>20260324</x:t>
  </x:si>
  <x:si>
    <x:t>20260112</x:t>
  </x:si>
  <x:si>
    <x:t>인공지능 프로그래밍</x:t>
  </x:si>
  <x:si>
    <x:t>시설(강의실명)</x:t>
  </x:si>
  <x:si>
    <x:t>훈련내용(능력단위명)</x:t>
  </x:si>
  <x:si>
    <x:t>10:00~10:50</x:t>
  </x:si>
  <x:si>
    <x:t>20251230</x:t>
  </x:si>
  <x:si>
    <x:t>20260204</x:t>
  </x:si>
  <x:si>
    <x:t>20251124</x:t>
  </x:si>
  <x:si>
    <x:t>빅데이터 플랫폼 개발</x:t>
  </x:si>
  <x:si>
    <x:t>20251223</x:t>
  </x:si>
  <x:si>
    <x:t>20251204</x:t>
  </x:si>
  <x:si>
    <x:t>20251209</x:t>
  </x:si>
  <x:si>
    <x:t>20260126</x:t>
  </x:si>
  <x:si>
    <x:t>20260105</x:t>
  </x:si>
  <x:si>
    <x:t>20251217</x:t>
  </x:si>
  <x:si>
    <x:t>빅데이터 시스템 구축</x:t>
  </x:si>
  <x:si>
    <x:t>20260114</x:t>
  </x:si>
  <x:si>
    <x:t>20251205</x:t>
  </x:si>
  <x:si>
    <x:t>20260113</x:t>
  </x:si>
  <x:si>
    <x:t>20251229</x:t>
  </x:si>
  <x:si>
    <x:t>20260107</x:t>
  </x:si>
  <x:si>
    <x:t>20260123</x:t>
  </x:si>
  <x:si>
    <x:t>20260227</x:t>
  </x:si>
  <x:si>
    <x:t>20251121</x:t>
  </x:si>
  <x:si>
    <x:t>20260115</x:t>
  </x:si>
  <x:si>
    <x:t>20260319</x:t>
  </x:si>
  <x:si>
    <x:t>20260219</x:t>
  </x:si>
  <x:si>
    <x:t>20260119</x:t>
  </x:si>
  <x:si>
    <x:t>20260209</x:t>
  </x:si>
  <x:si>
    <x:t>20251208</x:t>
  </x:si>
  <x:si>
    <x:t>20260224</x:t>
  </x:si>
  <x:si>
    <x:t>20260109</x:t>
  </x:si>
  <x:si>
    <x:t>20251231</x:t>
  </x:si>
  <x:si>
    <x:t>20260203</x:t>
  </x:si>
  <x:si>
    <x:t>20251226</x:t>
  </x:si>
  <x:si>
    <x:t>20260306</x:t>
  </x:si>
  <x:si>
    <x:t>20251118</x:t>
  </x:si>
  <x:si>
    <x:t>20260323</x:t>
  </x:si>
  <x:si>
    <x:t>20260108</x:t>
  </x:si>
  <x:si>
    <x:t>이준오,김담현,김용,박성준,임동주</x:t>
  </x:si>
  <x:si>
    <x:t>,이준오,김담현,김용,박성준,임동주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</x:si>
</x:sst>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mm&quot;월&quot;\ dd&quot;일&quot;"/>
    <x:numFmt numFmtId="165" formatCode="aaaa"/>
    <x:numFmt numFmtId="166" formatCode="0_ "/>
    <x:numFmt numFmtId="167" formatCode="0_);[Red]\(0\)"/>
  </x:numFmts>
  <x:fonts count="3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f81b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f81b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a6a6a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a6a6a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7"/>
          <x:color rgb="ff000000"/>
          <x:b val="1"/>
          <x:u val="double"/>
          <hs:underlineType val="1"/>
          <hs:underlineShape val="doubleslim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27"/>
          <x:color rgb="ff000000"/>
          <x:b val="1"/>
          <x:u val="doubl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36"/>
          <x:color rgb="ff000000"/>
          <x:b val="1"/>
          <x:u val="double"/>
          <hs:underlineType val="1"/>
          <hs:underlineShape val="doubleslim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36"/>
          <x:color rgb="ff000000"/>
          <x:b val="1"/>
          <x:u val="doubl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206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2060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69b4"/>
        <x:bgColor indexed="64"/>
      </x:patternFill>
    </x:fill>
    <x:fill>
      <x:patternFill patternType="solid">
        <x:fgColor rgb="fff1f1f1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c8c8c8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8f8f8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6495ed"/>
        <x:bgColor indexed="64"/>
      </x:patternFill>
    </x:fill>
  </x:fills>
  <x:borders count="8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>
        <x:color auto="1"/>
      </x:bottom>
    </x:border>
    <x:border>
      <x:left style="hair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7030a0"/>
      </x:left>
      <x:right style="thick">
        <x:color rgb="ff7030a0"/>
      </x:right>
      <x:top style="thick">
        <x:color rgb="ff7030a0"/>
      </x:top>
      <x:bottom style="thick">
        <x:color rgb="ff7030a0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ck">
        <x:color rgb="ff7030a0"/>
      </x:left>
      <x:right style="thick">
        <x:color rgb="ff7030a0"/>
      </x:right>
      <x:top style="thick">
        <x:color rgb="ff7030a0"/>
      </x:top>
      <x:bottom style="thick">
        <x:color rgb="ff7030a0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ck">
        <x:color rgb="ff7030a0"/>
      </x:left>
      <x:right style="thin">
        <x:color auto="1"/>
      </x:right>
      <x:top style="thick">
        <x:color rgb="ff7030a0"/>
      </x:top>
      <x:bottom style="thin">
        <x:color auto="1"/>
      </x:bottom>
    </x:border>
    <x:border>
      <x:left style="thin">
        <x:color auto="1"/>
      </x:left>
      <x:right style="thick">
        <x:color rgb="ff7030a0"/>
      </x:right>
      <x:top style="thick">
        <x:color rgb="ff7030a0"/>
      </x:top>
      <x:bottom style="thin">
        <x:color auto="1"/>
      </x:bottom>
    </x:border>
    <x:border>
      <x:left style="thick">
        <x:color rgb="ff7030a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ck">
        <x:color rgb="ff7030a0"/>
      </x:right>
      <x:top style="thin">
        <x:color auto="1"/>
      </x:top>
      <x:bottom style="thin">
        <x:color auto="1"/>
      </x:bottom>
    </x:border>
    <x:border>
      <x:left style="thick">
        <x:color rgb="ff7030a0"/>
      </x:left>
      <x:right style="thin">
        <x:color auto="1"/>
      </x:right>
      <x:top style="thin">
        <x:color auto="1"/>
      </x:top>
      <x:bottom style="thick">
        <x:color rgb="ff7030a0"/>
      </x:bottom>
    </x:border>
    <x:border>
      <x:left style="thin">
        <x:color auto="1"/>
      </x:left>
      <x:right style="thick">
        <x:color rgb="ff7030a0"/>
      </x:right>
      <x:top style="thin">
        <x:color auto="1"/>
      </x:top>
      <x:bottom style="thick">
        <x:color rgb="ff7030a0"/>
      </x:bottom>
    </x:border>
    <x:border>
      <x:left style="thick">
        <x:color rgb="ff7030a0"/>
      </x:left>
      <x:right style="thick">
        <x:color rgb="ff7030a0"/>
      </x:right>
      <x:top style="thick">
        <x:color rgb="ff7030a0"/>
      </x:top>
      <x:bottom style="thin">
        <x:color auto="1"/>
      </x:bottom>
    </x:border>
    <x:border>
      <x:left style="thick">
        <x:color rgb="ff7030a0"/>
      </x:left>
      <x:right style="thick">
        <x:color rgb="ff7030a0"/>
      </x:right>
      <x:top style="thin">
        <x:color auto="1"/>
      </x:top>
      <x:bottom style="thin">
        <x:color auto="1"/>
      </x:bottom>
    </x:border>
    <x:border>
      <x:left style="thick">
        <x:color rgb="ff7030a0"/>
      </x:left>
      <x:right style="thick">
        <x:color rgb="ff7030a0"/>
      </x:right>
      <x:top style="thin">
        <x:color auto="1"/>
      </x:top>
      <x:bottom style="thick">
        <x:color rgb="ff7030a0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ck">
        <x:color rgb="ff7030a0"/>
      </x:left>
      <x:right style="thin">
        <x:color auto="1"/>
      </x:right>
      <x:top style="thick">
        <x:color rgb="ff7030a0"/>
      </x:top>
      <x:bottom style="thin">
        <x:color rgb="ff000000"/>
      </x:bottom>
    </x:border>
    <x:border>
      <x:left style="thick">
        <x:color rgb="ff7030a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ck">
        <x:color rgb="ff7030a0"/>
      </x:left>
      <x:right style="thin">
        <x:color rgb="ff7030a0"/>
      </x:right>
      <x:top style="thick">
        <x:color rgb="ff7030a0"/>
      </x:top>
      <x:bottom style="thick">
        <x:color rgb="ff7030a0"/>
      </x:bottom>
    </x:border>
    <x:border>
      <x:left style="thin">
        <x:color rgb="ff7030a0"/>
      </x:left>
      <x:right style="thin">
        <x:color rgb="ff7030a0"/>
      </x:right>
      <x:top style="thick">
        <x:color rgb="ff7030a0"/>
      </x:top>
      <x:bottom style="thick">
        <x:color rgb="ff7030a0"/>
      </x:bottom>
    </x:border>
    <x:border>
      <x:left style="thick">
        <x:color rgb="ff7030a0"/>
      </x:left>
      <x:right>
        <x:color auto="1"/>
      </x:right>
      <x:top style="thick">
        <x:color rgb="ff7030a0"/>
      </x:top>
      <x:bottom style="thin">
        <x:color auto="1"/>
      </x:bottom>
    </x:border>
    <x:border>
      <x:left>
        <x:color auto="1"/>
      </x:left>
      <x:right>
        <x:color auto="1"/>
      </x:right>
      <x:top style="thick">
        <x:color rgb="ff7030a0"/>
      </x:top>
      <x:bottom style="thin">
        <x:color auto="1"/>
      </x:bottom>
    </x:border>
    <x:border>
      <x:left>
        <x:color auto="1"/>
      </x:left>
      <x:right style="thick">
        <x:color rgb="ff7030a0"/>
      </x:right>
      <x:top style="thick">
        <x:color rgb="ff7030a0"/>
      </x:top>
      <x:bottom style="thin">
        <x:color auto="1"/>
      </x:bottom>
    </x:border>
    <x:border>
      <x:left style="thick">
        <x:color rgb="ff7030a0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ck">
        <x:color rgb="ff7030a0"/>
      </x:right>
      <x:top style="thin">
        <x:color auto="1"/>
      </x:top>
      <x:bottom style="thin">
        <x:color auto="1"/>
      </x:bottom>
    </x:border>
    <x:border>
      <x:left style="thick">
        <x:color rgb="ff7030a0"/>
      </x:left>
      <x:right>
        <x:color auto="1"/>
      </x:right>
      <x:top style="thin">
        <x:color auto="1"/>
      </x:top>
      <x:bottom style="thick">
        <x:color rgb="ff7030a0"/>
      </x:bottom>
    </x:border>
    <x:border>
      <x:left>
        <x:color auto="1"/>
      </x:left>
      <x:right>
        <x:color auto="1"/>
      </x:right>
      <x:top style="thin">
        <x:color auto="1"/>
      </x:top>
      <x:bottom style="thick">
        <x:color rgb="ff7030a0"/>
      </x:bottom>
    </x:border>
    <x:border>
      <x:left>
        <x:color auto="1"/>
      </x:left>
      <x:right style="thick">
        <x:color rgb="ff7030a0"/>
      </x:right>
      <x:top style="thin">
        <x:color auto="1"/>
      </x:top>
      <x:bottom style="thick">
        <x:color rgb="ff7030a0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 style="hair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medium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ck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ck">
        <x:color auto="1"/>
      </x:right>
      <x:top>
        <x:color auto="1"/>
      </x:top>
      <x:bottom style="medium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0" fillId="0" borderId="0">
      <x:alignment horizontal="general" vertical="center"/>
    </x:xf>
  </x:cellStyleXfs>
  <x:cellXfs count="287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3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3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3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3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ill="1" applyBorder="1" applyAlignment="1">
          <x:alignment horizontal="center" vertical="center" shrinkToFit="1"/>
        </x:xf>
      </mc:Fallback>
    </mc:AlternateContent>
    <x:xf numFmtId="0" fontId="0" fillId="0" borderId="0" xfId="0" applyNumberForma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49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6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6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2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6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6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0" xfId="0" applyNumberFormat="1" applyFont="1" applyFill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0" xfId="0" applyNumberFormat="1" applyFont="1" applyFill="1" applyAlignment="1">
          <x:alignment horizontal="center" vertical="center" wrapText="1" shrinkToFit="1"/>
        </x:xf>
      </mc:Fallback>
    </mc:AlternateContent>
    <x:xf numFmtId="0" fontId="7" fillId="0" borderId="0" xfId="0" applyNumberFormat="1" applyFont="1" applyAlignment="1">
      <x:alignment horizontal="general" vertical="center" shrinkToFit="1"/>
    </x:xf>
    <x:xf numFmtId="0" fontId="10" fillId="0" borderId="0" xfId="0" applyNumberFormat="1" applyFont="1">
      <x:alignment horizontal="general" vertical="center"/>
    </x:xf>
    <x:xf numFmtId="14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 shrinkToFit="1"/>
        </x:xf>
      </mc:Fallback>
    </mc:AlternateContent>
    <x:xf numFmtId="0" fontId="0" fillId="6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7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 shrinkToFit="1"/>
        </x:xf>
      </mc:Fallback>
    </mc:AlternateContent>
    <x:xf numFmtId="0" fontId="10" fillId="0" borderId="0" xfId="0" applyNumberFormat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4" xfId="0" applyNumberFormat="1" applyFont="1" applyBorder="1" applyAlignment="1">
          <x:alignment horizontal="center" vertical="center" shrinkToFit="1"/>
        </x:xf>
      </mc:Fallback>
    </mc:AlternateContent>
    <x:xf numFmtId="0" fontId="13" fillId="0" borderId="0" xfId="0" applyNumberFormat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0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9" xfId="0" applyNumberFormat="1" applyFont="1" applyBorder="1" applyAlignment="1">
          <x:alignment horizontal="center" vertical="center"/>
        </x:xf>
      </mc:Fallback>
    </mc:AlternateContent>
    <x:xf numFmtId="0" fontId="14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6" xfId="0" applyNumberFormat="1" applyFont="1" applyBorder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2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1" applyNumberFormat="1" applyFont="1" applyAlignment="1">
          <x:alignment horizontal="centerContinuous" vertical="center"/>
        </x:xf>
      </mc:Fallback>
    </mc:AlternateContent>
    <x:xf numFmtId="14" fontId="17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1" applyNumberFormat="1" applyFont="1" applyAlignment="1">
          <x:alignment horizontal="center" vertical="center"/>
        </x:xf>
      </mc:Fallback>
    </mc:AlternateContent>
    <x:xf numFmtId="14" fontId="17" fillId="0" borderId="0" xfId="1" applyNumberFormat="1" applyFont="1" applyAlignment="1">
      <x:alignment horizontal="left" vertical="center"/>
    </x:xf>
    <x:xf numFmtId="0" fontId="17" fillId="0" borderId="0" xfId="1" applyNumberFormat="1" applyFont="1" applyAlignment="1">
      <x:alignment horizontal="left" vertical="center"/>
    </x:xf>
    <x:xf numFmtId="0" fontId="17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right" vertical="center"/>
        </x:xf>
      </mc:Fallback>
    </mc:AlternateContent>
    <x:xf numFmtId="0" fontId="0" fillId="0" borderId="2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31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31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2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2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x:xf numFmtId="0" fontId="17" fillId="0" borderId="0" xfId="1" applyNumberFormat="1" applyFont="1">
      <x:alignment horizontal="general" vertical="bottom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bottom"/>
        </x:xf>
      </mc:Fallback>
    </mc:AlternateContent>
    <x:xf numFmtId="0" fontId="12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0" borderId="3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0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0" xfId="2" applyNumberFormat="1" applyFont="1" applyBorder="1" applyAlignment="1" applyProtection="1">
          <x:alignment horizontal="right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1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1" xfId="2" applyNumberFormat="1" applyFont="1" applyBorder="1" applyAlignment="1" applyProtection="1">
          <x:alignment horizontal="right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0" xfId="0" applyNumberForma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0" borderId="0" xfId="0" applyNumberForma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 wrapText="1"/>
        </x:xf>
      </mc:Fallback>
    </mc:AlternateContent>
    <x:xf numFmtId="0" fontId="1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Continuous" vertical="center"/>
        </x:xf>
      </mc:Fallback>
    </mc:AlternateContent>
    <x:xf numFmtId="0" fontId="19" fillId="0" borderId="0" xfId="1" applyNumberFormat="1" applyFont="1" applyAlignment="1">
      <x:alignment horizontal="general" vertical="center"/>
    </x:xf>
    <x:xf numFmtId="14" fontId="19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9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9" fillId="0" borderId="0" xfId="1" applyNumberFormat="1" applyFont="1" applyAlignment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1" applyNumberFormat="1" applyFont="1" applyAlignment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0" borderId="31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0" borderId="31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2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2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0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0" xfId="2" applyNumberFormat="1" applyFont="1" applyBorder="1" applyAlignment="1" applyProtection="1">
          <x:alignment horizontal="right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1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1" xfId="2" applyNumberFormat="1" applyFont="1" applyBorder="1" applyAlignment="1" applyProtection="1">
          <x:alignment horizontal="right" vertical="top"/>
          <x:protection locked="0"/>
        </x:xf>
      </mc:Fallback>
    </mc:AlternateContent>
    <x:xf numFmtId="14" fontId="0" fillId="0" borderId="0" xfId="0" applyNumberFormat="1">
      <x:alignment horizontal="general" vertical="center"/>
    </x:xf>
    <x:xf numFmtId="0" fontId="21" fillId="0" borderId="0" xfId="0" applyNumberFormat="1" applyFont="1" applyAlignment="1">
      <x:alignment horizontal="general" vertical="center" wrapText="1"/>
    </x:xf>
    <x:xf numFmtId="0" fontId="22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9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9" borderId="8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9" borderId="8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9" borderId="13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9" borderId="13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3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35" xfId="0" applyNumberFormat="1" applyFont="1" applyFill="1" applyBorder="1" applyAlignment="1">
          <x:alignment horizontal="center" vertical="center" shrinkToFit="1"/>
        </x:xf>
      </mc:Fallback>
    </mc:AlternateContent>
    <x:xf numFmtId="0" fontId="2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7" fillId="10" borderId="36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36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0" xfId="1" applyNumberFormat="1" applyFont="1" applyAlignment="1">
          <x:alignment horizontal="centerContinuous" vertical="center"/>
        </x:xf>
      </mc:Fallback>
    </mc:AlternateContent>
    <x:xf numFmtId="0" fontId="2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2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3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3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9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9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8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8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40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40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9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9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9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9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9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9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2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2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3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3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4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4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5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5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6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6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7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7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48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48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49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49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50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50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49" xfId="0" applyNumberFormat="1" applyBorder="1" applyProtection="1">
      <x:alignment horizontal="general" vertical="center"/>
      <x:protection locked="0"/>
    </x:xf>
    <x:xf numFmtId="0" fontId="0" fillId="0" borderId="50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9" fontId="7" fillId="4" borderId="43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3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10" borderId="4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4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4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4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10" borderId="4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4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10" borderId="4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4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21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21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7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7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9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9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54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54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5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5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8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8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8" fillId="0" borderId="3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8" fillId="0" borderId="3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5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5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8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8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9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9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0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0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1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1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2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2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5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5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3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3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4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5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5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29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9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3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35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9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9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5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5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0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0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12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12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12" borderId="6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12" borderId="6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7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7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12" borderId="73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12" borderId="73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12" borderId="7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12" borderId="7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12" borderId="7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12" borderId="7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0" xfId="2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0" xfId="2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8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8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81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81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8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82" xfId="2" applyNumberFormat="1" applyFont="1" applyFill="1" applyBorder="1" applyAlignment="1">
          <x:alignment horizontal="center" vertical="center" wrapText="1"/>
        </x:xf>
      </mc:Fallback>
    </mc:AlternateContent>
    <x:xf numFmtId="0" fontId="31" fillId="0" borderId="83" xfId="2" applyNumberFormat="1" applyFont="1" applyBorder="1" applyAlignment="1" applyProtection="1">
      <x:alignment horizontal="left" vertical="center" wrapText="1"/>
      <x:protection locked="0"/>
    </x:xf>
    <x:xf numFmtId="0" fontId="31" fillId="0" borderId="67" xfId="2" applyNumberFormat="1" applyFont="1" applyBorder="1" applyAlignment="1" applyProtection="1">
      <x:alignment horizontal="left" vertical="center" wrapText="1"/>
      <x:protection locked="0"/>
    </x:xf>
    <x:xf numFmtId="0" fontId="31" fillId="0" borderId="84" xfId="2" applyNumberFormat="1" applyFont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3" xfId="0" applyNumberFormat="1" applyFill="1" applyBorder="1" applyAlignment="1">
          <x:alignment horizontal="center" vertical="center"/>
        </x:xf>
      </mc:Fallback>
    </mc:AlternateContent>
    <x:xf numFmtId="0" fontId="17" fillId="0" borderId="0" xfId="1" applyNumberFormat="1" applyFont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31" fontId="12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1" fontId="12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1" applyNumberFormat="1" applyFont="1" applyAlignment="1">
          <x:alignment horizontal="center" vertical="center"/>
        </x:xf>
      </mc:Fallback>
    </mc:AlternateContent>
    <x:xf numFmtId="0" fontId="19" fillId="0" borderId="0" xfId="1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6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6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3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3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0" xfId="2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0" xfId="2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8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8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81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81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8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82" xfId="2" applyNumberFormat="1" applyFont="1" applyFill="1" applyBorder="1" applyAlignment="1">
          <x:alignment horizontal="center" vertical="center" wrapText="1"/>
        </x:xf>
      </mc:Fallback>
    </mc:AlternateContent>
    <x:xf numFmtId="0" fontId="20" fillId="0" borderId="83" xfId="2" applyNumberFormat="1" applyFont="1" applyBorder="1" applyAlignment="1" applyProtection="1">
      <x:alignment horizontal="left" vertical="center" wrapText="1"/>
      <x:protection locked="0"/>
    </x:xf>
    <x:xf numFmtId="0" fontId="20" fillId="0" borderId="67" xfId="2" applyNumberFormat="1" applyFont="1" applyBorder="1" applyAlignment="1" applyProtection="1">
      <x:alignment horizontal="left" vertical="center" wrapText="1"/>
      <x:protection locked="0"/>
    </x:xf>
    <x:xf numFmtId="0" fontId="20" fillId="0" borderId="84" xfId="2" applyNumberFormat="1" applyFont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7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7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0" xfId="1" applyNumberFormat="1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0" xfId="1" applyNumberFormat="1" applyFont="1" applyAlignment="1">
          <x:alignment horizontal="center" vertical="top"/>
        </x:xf>
      </mc:Fallback>
    </mc:AlternateContent>
    <x:xf numFmtId="0" fontId="19" fillId="0" borderId="0" xfId="1" applyNumberFormat="1" applyFont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31" fontId="35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1" fontId="35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8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8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8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8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8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8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8" xfId="0" applyNumberFormat="1" applyFon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8" xfId="0" applyNumberFormat="1" applyFon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 shrinkToFit="1"/>
        </x:xf>
      </mc:Fallback>
    </mc:AlternateContent>
  </x:cellXfs>
  <x:cellStyles count="3">
    <x:cellStyle name="표준" xfId="0" builtinId="0"/>
    <x:cellStyle name="표준 2" xfId="1"/>
    <x:cellStyle name="표준 3" xfId="2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bfbfbf"/>
        </x:patternFill>
      </x:fill>
    </x:dxf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1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9</xdr:col>
      <xdr:colOff>266700</xdr:colOff>
      <xdr:row>2</xdr:row>
      <xdr:rowOff>9525</xdr:rowOff>
    </xdr:from>
    <xdr:to>
      <xdr:col>14</xdr:col>
      <xdr:colOff>428625</xdr:colOff>
      <xdr:row>5</xdr:row>
      <xdr:rowOff>9525</xdr:rowOff>
    </xdr:to>
    <xdr:grpSp>
      <xdr:nvGrpSpPr>
        <xdr:cNvPr id="2" name="Group 4"/>
        <xdr:cNvGrpSpPr>
          <a:grpSpLocks noChangeAspect="1"/>
        </xdr:cNvGrpSpPr>
      </xdr:nvGrpSpPr>
      <xdr:grpSpPr>
        <a:xfrm rot="0">
          <a:off x="4810125" y="904875"/>
          <a:ext cx="2686050" cy="942975"/>
          <a:chOff x="416" y="63"/>
          <a:chExt cx="254" cy="96"/>
        </a:xfrm>
      </xdr:grpSpPr>
      <xdr:sp fLocksText="1" fPublished="0">
        <xdr:nvSpPr>
          <xdr:cNvPr id="3" name="AutoShape 3"/>
          <xdr:cNvSpPr>
            <a:spLocks noChangeAspect="1" noChangeArrowheads="1" noTextEdit="1"/>
          </xdr:cNvSpPr>
        </xdr:nvSpPr>
        <xdr:spPr>
          <a:xfrm>
            <a:off x="416" y="63"/>
            <a:ext cx="254" cy="96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4" name="Rectangle 5"/>
          <xdr:cNvSpPr>
            <a:spLocks noRot="1" noChangeArrowheads="1"/>
          </xdr:cNvSpPr>
        </xdr:nvSpPr>
        <xdr:spPr>
          <a:xfrm>
            <a:off x="471" y="65"/>
            <a:ext cx="30" cy="2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담당</a:t>
            </a:r>
          </a:p>
        </xdr:txBody>
      </xdr:sp>
      <xdr:sp fLocksText="1" fPublished="0">
        <xdr:nvSpPr>
          <xdr:cNvPr id="5" name="Rectangle 6"/>
          <xdr:cNvSpPr>
            <a:spLocks noRot="1" noChangeArrowheads="1"/>
          </xdr:cNvSpPr>
        </xdr:nvSpPr>
        <xdr:spPr>
          <a:xfrm>
            <a:off x="537" y="65"/>
            <a:ext cx="36" cy="2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팀장</a:t>
            </a:r>
          </a:p>
        </xdr:txBody>
      </xdr:sp>
      <xdr:sp fLocksText="1" fPublished="0">
        <xdr:nvSpPr>
          <xdr:cNvPr id="6" name="Rectangle 7"/>
          <xdr:cNvSpPr>
            <a:spLocks noRot="1" noChangeArrowheads="1"/>
          </xdr:cNvSpPr>
        </xdr:nvSpPr>
        <xdr:spPr>
          <a:xfrm>
            <a:off x="610" y="64"/>
            <a:ext cx="44" cy="2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기관장</a:t>
            </a:r>
          </a:p>
        </xdr:txBody>
      </xdr:sp>
      <xdr:sp fLocksText="1" fPublished="0">
        <xdr:nvSpPr>
          <xdr:cNvPr id="7" name="Rectangle 8"/>
          <xdr:cNvSpPr>
            <a:spLocks noRot="1" noChangeArrowheads="1"/>
          </xdr:cNvSpPr>
        </xdr:nvSpPr>
        <xdr:spPr>
          <a:xfrm>
            <a:off x="425" y="80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결</a:t>
            </a:r>
          </a:p>
        </xdr:txBody>
      </xdr:sp>
      <xdr:sp fLocksText="1" fPublished="0">
        <xdr:nvSpPr>
          <xdr:cNvPr id="8" name="Rectangle 9"/>
          <xdr:cNvSpPr>
            <a:spLocks noRot="1" noChangeArrowheads="1"/>
          </xdr:cNvSpPr>
        </xdr:nvSpPr>
        <xdr:spPr>
          <a:xfrm>
            <a:off x="425" y="118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재</a:t>
            </a:r>
          </a:p>
        </xdr:txBody>
      </xdr:sp>
      <xdr:sp fLocksText="1" fPublished="0">
        <xdr:nvSpPr>
          <xdr:cNvPr id="9" name="Line 10"/>
          <xdr:cNvSpPr>
            <a:spLocks noChangeShapeType="1"/>
          </xdr:cNvSpPr>
        </xdr:nvSpPr>
        <xdr:spPr>
          <a:xfrm>
            <a:off x="416" y="63"/>
            <a:ext cx="0" cy="9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0" name="Rectangle 11"/>
          <xdr:cNvSpPr>
            <a:spLocks noChangeArrowheads="1"/>
          </xdr:cNvSpPr>
        </xdr:nvSpPr>
        <xdr:spPr>
          <a:xfrm>
            <a:off x="416" y="63"/>
            <a:ext cx="1" cy="96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1" name="Line 12"/>
          <xdr:cNvSpPr>
            <a:spLocks noChangeShapeType="1"/>
          </xdr:cNvSpPr>
        </xdr:nvSpPr>
        <xdr:spPr>
          <a:xfrm>
            <a:off x="448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3" name="Line 14"/>
          <xdr:cNvSpPr>
            <a:spLocks noChangeShapeType="1"/>
          </xdr:cNvSpPr>
        </xdr:nvSpPr>
        <xdr:spPr>
          <a:xfrm>
            <a:off x="521" y="64"/>
            <a:ext cx="0" cy="95"/>
          </a:xfrm>
          <a:prstGeom prst="line">
            <a:avLst/>
          </a:prstGeom>
          <a:noFill/>
          <a:ln w="635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5" name="Line 16"/>
          <xdr:cNvSpPr>
            <a:spLocks noChangeShapeType="1"/>
          </xdr:cNvSpPr>
        </xdr:nvSpPr>
        <xdr:spPr>
          <a:xfrm>
            <a:off x="595" y="64"/>
            <a:ext cx="0" cy="95"/>
          </a:xfrm>
          <a:prstGeom prst="line">
            <a:avLst/>
          </a:prstGeom>
          <a:noFill/>
          <a:ln w="635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7" name="Line 18"/>
          <xdr:cNvSpPr>
            <a:spLocks noChangeShapeType="1"/>
          </xdr:cNvSpPr>
        </xdr:nvSpPr>
        <xdr:spPr>
          <a:xfrm>
            <a:off x="669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8" name="Rectangle 19"/>
          <xdr:cNvSpPr>
            <a:spLocks noChangeArrowheads="1"/>
          </xdr:cNvSpPr>
        </xdr:nvSpPr>
        <xdr:spPr>
          <a:xfrm>
            <a:off x="669" y="64"/>
            <a:ext cx="1" cy="95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9" name="Line 20"/>
          <xdr:cNvSpPr>
            <a:spLocks noChangeShapeType="1"/>
          </xdr:cNvSpPr>
        </xdr:nvSpPr>
        <xdr:spPr>
          <a:xfrm>
            <a:off x="417" y="63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0" name="Rectangle 21"/>
          <xdr:cNvSpPr>
            <a:spLocks noChangeArrowheads="1"/>
          </xdr:cNvSpPr>
        </xdr:nvSpPr>
        <xdr:spPr>
          <a:xfrm>
            <a:off x="417" y="63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1" name="Line 22"/>
          <xdr:cNvSpPr>
            <a:spLocks noChangeShapeType="1"/>
          </xdr:cNvSpPr>
        </xdr:nvSpPr>
        <xdr:spPr>
          <a:xfrm>
            <a:off x="448" y="87"/>
            <a:ext cx="22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3" name="Line 24"/>
          <xdr:cNvSpPr>
            <a:spLocks noChangeShapeType="1"/>
          </xdr:cNvSpPr>
        </xdr:nvSpPr>
        <xdr:spPr>
          <a:xfrm>
            <a:off x="417" y="158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4" name="Rectangle 25"/>
          <xdr:cNvSpPr>
            <a:spLocks noChangeArrowheads="1"/>
          </xdr:cNvSpPr>
        </xdr:nvSpPr>
        <xdr:spPr>
          <a:xfrm>
            <a:off x="417" y="158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</xdr:grpSp>
    <xdr:clientData fLocksWithSheet="1" fPrintsWithSheet="1"/>
  </xdr:twoCellAnchor>
</xdr:wsDr>
</file>

<file path=xl/drawings/drawing19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9</xdr:col>
      <xdr:colOff>447675</xdr:colOff>
      <xdr:row>2</xdr:row>
      <xdr:rowOff>0</xdr:rowOff>
    </xdr:from>
    <xdr:to>
      <xdr:col>14</xdr:col>
      <xdr:colOff>419100</xdr:colOff>
      <xdr:row>5</xdr:row>
      <xdr:rowOff>0</xdr:rowOff>
    </xdr:to>
    <xdr:grpSp>
      <xdr:nvGrpSpPr>
        <xdr:cNvPr id="2" name="Group 4"/>
        <xdr:cNvGrpSpPr>
          <a:grpSpLocks noChangeAspect="1"/>
        </xdr:cNvGrpSpPr>
      </xdr:nvGrpSpPr>
      <xdr:grpSpPr>
        <a:xfrm rot="0">
          <a:off x="4991100" y="819150"/>
          <a:ext cx="2495550" cy="942975"/>
          <a:chOff x="416" y="63"/>
          <a:chExt cx="254" cy="96"/>
        </a:xfrm>
      </xdr:grpSpPr>
      <xdr:sp fLocksText="1" fPublished="0">
        <xdr:nvSpPr>
          <xdr:cNvPr id="3" name="AutoShape 3"/>
          <xdr:cNvSpPr>
            <a:spLocks noChangeAspect="1" noChangeArrowheads="1" noTextEdit="1"/>
          </xdr:cNvSpPr>
        </xdr:nvSpPr>
        <xdr:spPr>
          <a:xfrm>
            <a:off x="416" y="63"/>
            <a:ext cx="254" cy="96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4" name="Rectangle 5"/>
          <xdr:cNvSpPr>
            <a:spLocks noRot="1" noChangeArrowheads="1"/>
          </xdr:cNvSpPr>
        </xdr:nvSpPr>
        <xdr:spPr>
          <a:xfrm>
            <a:off x="471" y="66"/>
            <a:ext cx="30" cy="21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/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담당</a:t>
            </a:r>
          </a:p>
        </xdr:txBody>
      </xdr:sp>
      <xdr:sp fLocksText="1" fPublished="0">
        <xdr:nvSpPr>
          <xdr:cNvPr id="5" name="Rectangle 6"/>
          <xdr:cNvSpPr>
            <a:spLocks noRot="1" noChangeArrowheads="1"/>
          </xdr:cNvSpPr>
        </xdr:nvSpPr>
        <xdr:spPr>
          <a:xfrm>
            <a:off x="537" y="66"/>
            <a:ext cx="39" cy="2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팀장</a:t>
            </a:r>
          </a:p>
        </xdr:txBody>
      </xdr:sp>
      <xdr:sp fLocksText="1" fPublished="0">
        <xdr:nvSpPr>
          <xdr:cNvPr id="6" name="Rectangle 7"/>
          <xdr:cNvSpPr>
            <a:spLocks noRot="1" noChangeArrowheads="1"/>
          </xdr:cNvSpPr>
        </xdr:nvSpPr>
        <xdr:spPr>
          <a:xfrm>
            <a:off x="610" y="65"/>
            <a:ext cx="44" cy="2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기관장</a:t>
            </a:r>
          </a:p>
        </xdr:txBody>
      </xdr:sp>
      <xdr:sp fLocksText="1" fPublished="0">
        <xdr:nvSpPr>
          <xdr:cNvPr id="7" name="Rectangle 8"/>
          <xdr:cNvSpPr>
            <a:spLocks noRot="1" noChangeArrowheads="1"/>
          </xdr:cNvSpPr>
        </xdr:nvSpPr>
        <xdr:spPr>
          <a:xfrm>
            <a:off x="425" y="80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결</a:t>
            </a:r>
          </a:p>
        </xdr:txBody>
      </xdr:sp>
      <xdr:sp fLocksText="1" fPublished="0">
        <xdr:nvSpPr>
          <xdr:cNvPr id="8" name="Rectangle 9"/>
          <xdr:cNvSpPr>
            <a:spLocks noRot="1" noChangeArrowheads="1"/>
          </xdr:cNvSpPr>
        </xdr:nvSpPr>
        <xdr:spPr>
          <a:xfrm>
            <a:off x="425" y="118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재</a:t>
            </a:r>
          </a:p>
        </xdr:txBody>
      </xdr:sp>
      <xdr:sp fLocksText="1" fPublished="0">
        <xdr:nvSpPr>
          <xdr:cNvPr id="9" name="Line 10"/>
          <xdr:cNvSpPr>
            <a:spLocks noChangeShapeType="1"/>
          </xdr:cNvSpPr>
        </xdr:nvSpPr>
        <xdr:spPr>
          <a:xfrm>
            <a:off x="416" y="63"/>
            <a:ext cx="0" cy="9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0" name="Rectangle 11"/>
          <xdr:cNvSpPr>
            <a:spLocks noChangeArrowheads="1"/>
          </xdr:cNvSpPr>
        </xdr:nvSpPr>
        <xdr:spPr>
          <a:xfrm>
            <a:off x="416" y="63"/>
            <a:ext cx="1" cy="96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1" name="Line 12"/>
          <xdr:cNvSpPr>
            <a:spLocks noChangeShapeType="1"/>
          </xdr:cNvSpPr>
        </xdr:nvSpPr>
        <xdr:spPr>
          <a:xfrm>
            <a:off x="448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2" name="Line 14"/>
          <xdr:cNvSpPr>
            <a:spLocks noChangeShapeType="1"/>
          </xdr:cNvSpPr>
        </xdr:nvSpPr>
        <xdr:spPr>
          <a:xfrm>
            <a:off x="521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3" name="Line 16"/>
          <xdr:cNvSpPr>
            <a:spLocks noChangeShapeType="1"/>
          </xdr:cNvSpPr>
        </xdr:nvSpPr>
        <xdr:spPr>
          <a:xfrm>
            <a:off x="595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4" name="Line 18"/>
          <xdr:cNvSpPr>
            <a:spLocks noChangeShapeType="1"/>
          </xdr:cNvSpPr>
        </xdr:nvSpPr>
        <xdr:spPr>
          <a:xfrm>
            <a:off x="669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5" name="Rectangle 19"/>
          <xdr:cNvSpPr>
            <a:spLocks noChangeArrowheads="1"/>
          </xdr:cNvSpPr>
        </xdr:nvSpPr>
        <xdr:spPr>
          <a:xfrm>
            <a:off x="669" y="64"/>
            <a:ext cx="1" cy="95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6" name="Line 20"/>
          <xdr:cNvSpPr>
            <a:spLocks noChangeShapeType="1"/>
          </xdr:cNvSpPr>
        </xdr:nvSpPr>
        <xdr:spPr>
          <a:xfrm>
            <a:off x="417" y="63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7" name="Rectangle 21"/>
          <xdr:cNvSpPr>
            <a:spLocks noChangeArrowheads="1"/>
          </xdr:cNvSpPr>
        </xdr:nvSpPr>
        <xdr:spPr>
          <a:xfrm>
            <a:off x="417" y="63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8" name="Line 22"/>
          <xdr:cNvSpPr>
            <a:spLocks noChangeShapeType="1"/>
          </xdr:cNvSpPr>
        </xdr:nvSpPr>
        <xdr:spPr>
          <a:xfrm>
            <a:off x="448" y="91"/>
            <a:ext cx="22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9" name="Line 24"/>
          <xdr:cNvSpPr>
            <a:spLocks noChangeShapeType="1"/>
          </xdr:cNvSpPr>
        </xdr:nvSpPr>
        <xdr:spPr>
          <a:xfrm>
            <a:off x="417" y="158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0" name="Rectangle 25"/>
          <xdr:cNvSpPr>
            <a:spLocks noChangeArrowheads="1"/>
          </xdr:cNvSpPr>
        </xdr:nvSpPr>
        <xdr:spPr>
          <a:xfrm>
            <a:off x="417" y="158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8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9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4"/>
  <x:sheetViews>
    <x:sheetView topLeftCell="A1" zoomScale="145" zoomScaleNormal="145" zoomScaleSheetLayoutView="75" workbookViewId="0">
      <x:selection activeCell="E28" activeCellId="0" sqref="E28:O28"/>
    </x:sheetView>
  </x:sheetViews>
  <x:sheetFormatPr defaultColWidth="9" defaultRowHeight="16.5"/>
  <x:cols>
    <x:col min="1" max="1" width="6.875" customWidth="1"/>
    <x:col min="2" max="2" width="18.25" customWidth="1"/>
    <x:col min="3" max="3" width="16.5" customWidth="1"/>
    <x:col min="4" max="4" width="7.5" bestFit="1" customWidth="1"/>
    <x:col min="5" max="5" width="17.5" customWidth="1"/>
    <x:col min="6" max="6" width="36" customWidth="1"/>
    <x:col min="7" max="7" width="0.875" customWidth="1"/>
    <x:col min="8" max="8" width="14.375" customWidth="1"/>
    <x:col min="9" max="9" width="0.75" customWidth="1"/>
    <x:col min="10" max="10" width="13.5" customWidth="1"/>
    <x:col min="11" max="11" width="1" customWidth="1"/>
    <x:col min="12" max="12" width="14.125" customWidth="1"/>
    <x:col min="13" max="13" width="15.375" bestFit="1" customWidth="1"/>
    <x:col min="14" max="14" width="13.625" bestFit="1" customWidth="1"/>
  </x:cols>
  <x:sheetData>
    <x:row r="1" spans="1:10" ht="17.25" customHeight="1">
      <x:c r="A1" s="198" t="s">
        <x:v>19</x:v>
      </x:c>
      <x:c r="B1" s="199"/>
      <x:c r="C1" s="189" t="s">
        <x:v>118</x:v>
      </x:c>
      <x:c r="D1" s="190"/>
      <x:c r="E1" s="190"/>
      <x:c r="F1" s="191"/>
      <x:c r="H1" s="149" t="s">
        <x:v>128</x:v>
      </x:c>
      <x:c r="J1" s="150" t="s">
        <x:v>193</x:v>
      </x:c>
    </x:row>
    <x:row r="2" spans="1:10" ht="17.25" customHeight="1">
      <x:c r="A2" s="198" t="s">
        <x:v>34</x:v>
      </x:c>
      <x:c r="B2" s="199"/>
      <x:c r="C2" s="192" t="s">
        <x:v>79</x:v>
      </x:c>
      <x:c r="D2" s="193"/>
      <x:c r="E2" s="193"/>
      <x:c r="F2" s="194"/>
      <x:c r="H2" s="155">
        <x:v>45922</x:v>
      </x:c>
      <x:c r="J2" s="151">
        <x:v>45884</x:v>
      </x:c>
    </x:row>
    <x:row r="3" spans="1:10" customHeight="1">
      <x:c r="A3" s="200" t="s">
        <x:v>224</x:v>
      </x:c>
      <x:c r="B3" s="201"/>
      <x:c r="C3" s="195" t="s">
        <x:v>124</x:v>
      </x:c>
      <x:c r="D3" s="196"/>
      <x:c r="E3" s="196"/>
      <x:c r="F3" s="197"/>
      <x:c r="H3" s="149" t="s">
        <x:v>134</x:v>
      </x:c>
      <x:c r="J3" s="153" t="s">
        <x:v>267</x:v>
      </x:c>
    </x:row>
    <x:row r="4" spans="5:10" ht="17.25" customHeight="1">
      <x:c r="E4" s="133"/>
      <x:c r="F4" s="132"/>
      <x:c r="H4" s="155">
        <x:v>46106</x:v>
      </x:c>
      <x:c r="J4" s="153" t="s">
        <x:v>251</x:v>
      </x:c>
    </x:row>
    <x:row r="5" spans="1:10" ht="17.25" customHeight="1">
      <x:c r="A5" s="185" t="s">
        <x:v>292</x:v>
      </x:c>
      <x:c r="B5" s="186"/>
      <x:c r="C5" s="134" t="s">
        <x:v>25</x:v>
      </x:c>
      <x:c r="E5" s="132"/>
      <x:c r="F5" s="132"/>
      <x:c r="H5" s="148" t="s">
        <x:v>30</x:v>
      </x:c>
      <x:c r="J5" s="151">
        <x:v>45937</x:v>
      </x:c>
    </x:row>
    <x:row r="6" spans="1:10" ht="17.25" customHeight="1">
      <x:c r="A6" s="187" t="s">
        <x:v>111</x:v>
      </x:c>
      <x:c r="B6" s="188"/>
      <x:c r="C6" s="143" t="s">
        <x:v>84</x:v>
      </x:c>
      <x:c r="D6" s="34"/>
      <x:c r="E6" s="132"/>
      <x:c r="F6" s="135"/>
      <x:c r="H6" s="155">
        <x:v>45922</x:v>
      </x:c>
      <x:c r="J6" s="151">
        <x:v>45938</x:v>
      </x:c>
    </x:row>
    <x:row r="7" spans="10:14" customHeight="1">
      <x:c r="J7" s="151">
        <x:v>45939</x:v>
      </x:c>
      <x:c r="M7" s="184" t="s">
        <x:v>26</x:v>
      </x:c>
      <x:c r="N7" s="184"/>
    </x:row>
    <x:row r="8" spans="1:14">
      <x:c r="A8" s="136" t="s">
        <x:v>42</x:v>
      </x:c>
      <x:c r="B8" s="137" t="s">
        <x:v>135</x:v>
      </x:c>
      <x:c r="C8" s="137" t="s">
        <x:v>153</x:v>
      </x:c>
      <x:c r="D8" s="138" t="s">
        <x:v>7</x:v>
      </x:c>
      <x:c r="E8" s="139" t="s">
        <x:v>21</x:v>
      </x:c>
      <x:c r="F8" s="139" t="s">
        <x:v>9</x:v>
      </x:c>
      <x:c r="J8" s="151">
        <x:v>46016</x:v>
      </x:c>
      <x:c r="L8" s="34" t="s">
        <x:v>2</x:v>
      </x:c>
      <x:c r="M8" s="139" t="s">
        <x:v>2</x:v>
      </x:c>
      <x:c r="N8" s="139" t="s">
        <x:v>139</x:v>
      </x:c>
    </x:row>
    <x:row r="9" spans="1:14" customHeight="1">
      <x:c r="A9" s="140">
        <x:f>IF(B9="","",ROW()-8)</x:f>
        <x:v>1</x:v>
      </x:c>
      <x:c r="B9" s="159" t="s">
        <x:v>275</x:v>
      </x:c>
      <x:c r="C9" s="160">
        <x:v>80</x:v>
      </x:c>
      <x:c r="D9" s="141">
        <x:f>IF(과목1="","",SUM($C$9:$C9))</x:f>
        <x:v>80</x:v>
      </x:c>
      <x:c r="E9" s="156" t="str">
        <x:f>IF(L9="","",VLOOKUP(L9,$M$9:$N$12,2,FALSE))</x:f>
        <x:v>양현수_53778</x:v>
      </x:c>
      <x:c r="F9" s="165" t="s">
        <x:v>114</x:v>
      </x:c>
      <x:c r="J9" s="151">
        <x:v>46023</x:v>
      </x:c>
      <x:c r="L9" s="182" t="s">
        <x:v>259</x:v>
      </x:c>
      <x:c r="M9" s="180" t="s">
        <x:v>186</x:v>
      </x:c>
      <x:c r="N9" s="170" t="s">
        <x:v>287</x:v>
      </x:c>
    </x:row>
    <x:row r="10" spans="1:14" customHeight="1">
      <x:c r="A10" s="140">
        <x:f>IF(B10="","",ROW()-8)</x:f>
        <x:v>2</x:v>
      </x:c>
      <x:c r="B10" s="161" t="s">
        <x:v>90</x:v>
      </x:c>
      <x:c r="C10" s="162">
        <x:v>40</x:v>
      </x:c>
      <x:c r="D10" s="141">
        <x:f>IF(과목2="","",SUM($C$9:$C10))</x:f>
        <x:v>120</x:v>
      </x:c>
      <x:c r="E10" s="157" t="str">
        <x:f t="shared" ref="E10:E33" si="0">IF(L10="","",VLOOKUP(L10,$M$9:$N$12,2,FALSE))</x:f>
        <x:v>양현수_53778</x:v>
      </x:c>
      <x:c r="F10" s="166" t="s">
        <x:v>96</x:v>
      </x:c>
      <x:c r="J10" s="151">
        <x:v>46069</x:v>
      </x:c>
      <x:c r="L10" s="179" t="s">
        <x:v>259</x:v>
      </x:c>
      <x:c r="M10" s="181" t="s">
        <x:v>249</x:v>
      </x:c>
      <x:c r="N10" s="171" t="s">
        <x:v>258</x:v>
      </x:c>
    </x:row>
    <x:row r="11" spans="1:14" customHeight="1">
      <x:c r="A11" s="140">
        <x:f t="shared" ref="A11:A33" si="1">IF(B11="","",ROW()-8)</x:f>
        <x:v>3</x:v>
      </x:c>
      <x:c r="B11" s="161" t="s">
        <x:v>92</x:v>
      </x:c>
      <x:c r="C11" s="162">
        <x:v>72</x:v>
      </x:c>
      <x:c r="D11" s="141">
        <x:f>IF(과목3="","",SUM($C$9:$C11))</x:f>
        <x:v>192</x:v>
      </x:c>
      <x:c r="E11" s="157" t="str">
        <x:f t="shared" si="0"/>
        <x:v>양현수_53778</x:v>
      </x:c>
      <x:c r="F11" s="166" t="s">
        <x:v>67</x:v>
      </x:c>
      <x:c r="J11" s="151">
        <x:v>46070</x:v>
      </x:c>
      <x:c r="L11" s="179" t="s">
        <x:v>259</x:v>
      </x:c>
      <x:c r="M11" s="172" t="s">
        <x:v>259</x:v>
      </x:c>
      <x:c r="N11" s="173" t="s">
        <x:v>277</x:v>
      </x:c>
    </x:row>
    <x:row r="12" spans="1:14" customHeight="1">
      <x:c r="A12" s="140">
        <x:f t="shared" si="1"/>
        <x:v>4</x:v>
      </x:c>
      <x:c r="B12" s="161" t="s">
        <x:v>24</x:v>
      </x:c>
      <x:c r="C12" s="162">
        <x:v>100</x:v>
      </x:c>
      <x:c r="D12" s="141">
        <x:f>IF(과목4="","",SUM($C$9:$C12))</x:f>
        <x:v>292</x:v>
      </x:c>
      <x:c r="E12" s="157" t="str">
        <x:f t="shared" si="0"/>
        <x:v>양현수_53778</x:v>
      </x:c>
      <x:c r="F12" s="166" t="s">
        <x:v>257</x:v>
      </x:c>
      <x:c r="J12" s="151">
        <x:v>46071</x:v>
      </x:c>
      <x:c r="L12" s="179" t="s">
        <x:v>259</x:v>
      </x:c>
      <x:c r="M12" s="174"/>
      <x:c r="N12" s="175"/>
    </x:row>
    <x:row r="13" spans="1:12" customHeight="1">
      <x:c r="A13" s="140">
        <x:f t="shared" si="1"/>
        <x:v>5</x:v>
      </x:c>
      <x:c r="B13" s="161" t="s">
        <x:v>291</x:v>
      </x:c>
      <x:c r="C13" s="162">
        <x:v>128</x:v>
      </x:c>
      <x:c r="D13" s="141">
        <x:f>IF(과목5="","",SUM($C$9:$C13))</x:f>
        <x:v>420</x:v>
      </x:c>
      <x:c r="E13" s="157" t="str">
        <x:f t="shared" si="0"/>
        <x:v>양현수_53778</x:v>
      </x:c>
      <x:c r="F13" s="166" t="s">
        <x:v>95</x:v>
      </x:c>
      <x:c r="J13" s="151">
        <x:v>46083</x:v>
      </x:c>
      <x:c r="L13" s="179" t="s">
        <x:v>259</x:v>
      </x:c>
    </x:row>
    <x:row r="14" spans="1:12" customHeight="1">
      <x:c r="A14" s="140">
        <x:f t="shared" si="1"/>
        <x:v>6</x:v>
      </x:c>
      <x:c r="B14" s="161" t="s">
        <x:v>91</x:v>
      </x:c>
      <x:c r="C14" s="162">
        <x:v>104</x:v>
      </x:c>
      <x:c r="D14" s="141">
        <x:f>IF(과목6="","",SUM($C$9:$C14))</x:f>
        <x:v>524</x:v>
      </x:c>
      <x:c r="E14" s="157" t="str">
        <x:f t="shared" si="0"/>
        <x:v>양현수_53778</x:v>
      </x:c>
      <x:c r="F14" s="166" t="s">
        <x:v>116</x:v>
      </x:c>
      <x:c r="J14" s="153"/>
      <x:c r="L14" s="179" t="s">
        <x:v>259</x:v>
      </x:c>
    </x:row>
    <x:row r="15" spans="1:12" customHeight="1">
      <x:c r="A15" s="140">
        <x:f t="shared" si="1"/>
        <x:v>7</x:v>
      </x:c>
      <x:c r="B15" s="161" t="s">
        <x:v>103</x:v>
      </x:c>
      <x:c r="C15" s="162">
        <x:v>40</x:v>
      </x:c>
      <x:c r="D15" s="141">
        <x:f>IF(과목7="","",SUM($C$9:$C15))</x:f>
        <x:v>564</x:v>
      </x:c>
      <x:c r="E15" s="157" t="str">
        <x:f t="shared" si="0"/>
        <x:v>양현수_53778</x:v>
      </x:c>
      <x:c r="F15" s="166" t="s">
        <x:v>76</x:v>
      </x:c>
      <x:c r="J15" s="151"/>
      <x:c r="L15" s="179" t="s">
        <x:v>259</x:v>
      </x:c>
    </x:row>
    <x:row r="16" spans="1:12" customHeight="1">
      <x:c r="A16" s="140">
        <x:f t="shared" si="1"/>
        <x:v>8</x:v>
      </x:c>
      <x:c r="B16" s="161" t="s">
        <x:v>305</x:v>
      </x:c>
      <x:c r="C16" s="162">
        <x:v>80</x:v>
      </x:c>
      <x:c r="D16" s="141">
        <x:f>IF(과목8="","",SUM($C$9:$C16))</x:f>
        <x:v>644</x:v>
      </x:c>
      <x:c r="E16" s="157" t="str">
        <x:f t="shared" si="0"/>
        <x:v>양현수_53778</x:v>
      </x:c>
      <x:c r="F16" s="166" t="s">
        <x:v>89</x:v>
      </x:c>
      <x:c r="J16" s="151"/>
      <x:c r="L16" s="179" t="s">
        <x:v>259</x:v>
      </x:c>
    </x:row>
    <x:row r="17" spans="1:12" customHeight="1">
      <x:c r="A17" s="140">
        <x:f t="shared" si="1"/>
        <x:v>9</x:v>
      </x:c>
      <x:c r="B17" s="161" t="s">
        <x:v>298</x:v>
      </x:c>
      <x:c r="C17" s="162">
        <x:v>60</x:v>
      </x:c>
      <x:c r="D17" s="141">
        <x:f>IF(과목9="","",SUM($C$9:$C17))</x:f>
        <x:v>704</x:v>
      </x:c>
      <x:c r="E17" s="157" t="str">
        <x:f t="shared" si="0"/>
        <x:v>양현수_53778</x:v>
      </x:c>
      <x:c r="F17" s="166" t="s">
        <x:v>98</x:v>
      </x:c>
      <x:c r="J17" s="151"/>
      <x:c r="L17" s="179" t="s">
        <x:v>259</x:v>
      </x:c>
    </x:row>
    <x:row r="18" spans="1:12" customHeight="1">
      <x:c r="A18" s="140">
        <x:f t="shared" si="1"/>
        <x:v>10</x:v>
      </x:c>
      <x:c r="B18" s="161" t="s">
        <x:v>253</x:v>
      </x:c>
      <x:c r="C18" s="162">
        <x:v>256</x:v>
      </x:c>
      <x:c r="D18" s="141">
        <x:f>IF(과목10="","",SUM($C$9:$C18))</x:f>
        <x:v>960</x:v>
      </x:c>
      <x:c r="E18" s="157" t="str">
        <x:f t="shared" si="0"/>
        <x:v>양현수_53778</x:v>
      </x:c>
      <x:c r="F18" s="166" t="s">
        <x:v>105</x:v>
      </x:c>
      <x:c r="J18" s="151"/>
      <x:c r="L18" s="179" t="s">
        <x:v>259</x:v>
      </x:c>
    </x:row>
    <x:row r="19" spans="1:12" customHeight="1">
      <x:c r="A19" s="140">
        <x:f t="shared" si="1"/>
        <x:v>11</x:v>
      </x:c>
      <x:c r="B19" s="161" t="s">
        <x:v>126</x:v>
      </x:c>
      <x:c r="C19" s="162">
        <x:v>4</x:v>
      </x:c>
      <x:c r="D19" s="141">
        <x:f>IF(과목11="","",SUM($C$9:$C19))</x:f>
        <x:v>964</x:v>
      </x:c>
      <x:c r="E19" s="158" t="str">
        <x:f t="shared" si="0"/>
        <x:v>양현수_53778</x:v>
      </x:c>
      <x:c r="F19" s="166" t="s">
        <x:v>123</x:v>
      </x:c>
      <x:c r="J19" s="151"/>
      <x:c r="L19" s="179" t="s">
        <x:v>259</x:v>
      </x:c>
    </x:row>
    <x:row r="20" spans="1:12" customHeight="1">
      <x:c r="A20" s="140">
        <x:f t="shared" si="1"/>
        <x:v>12</x:v>
      </x:c>
      <x:c r="B20" s="161" t="s">
        <x:v>189</x:v>
      </x:c>
      <x:c r="C20" s="162">
        <x:v>8</x:v>
      </x:c>
      <x:c r="D20" s="141">
        <x:f>IF(과목12="","",SUM($C$9:$C20))</x:f>
        <x:v>972</x:v>
      </x:c>
      <x:c r="E20" s="157" t="str">
        <x:f t="shared" si="0"/>
        <x:v>양현수_53778</x:v>
      </x:c>
      <x:c r="F20" s="166" t="s">
        <x:v>112</x:v>
      </x:c>
      <x:c r="J20" s="151"/>
      <x:c r="L20" s="179" t="s">
        <x:v>259</x:v>
      </x:c>
    </x:row>
    <x:row r="21" spans="1:12" customHeight="1">
      <x:c r="A21" s="140">
        <x:f t="shared" si="1"/>
        <x:v>13</x:v>
      </x:c>
      <x:c r="B21" s="161" t="s">
        <x:v>126</x:v>
      </x:c>
      <x:c r="C21" s="162">
        <x:v>4</x:v>
      </x:c>
      <x:c r="D21" s="141">
        <x:f>IF(과목13="","",SUM($C$9:$C21))</x:f>
        <x:v>976</x:v>
      </x:c>
      <x:c r="E21" s="157" t="str">
        <x:f t="shared" si="0"/>
        <x:v>양현수_53778</x:v>
      </x:c>
      <x:c r="F21" s="166" t="s">
        <x:v>123</x:v>
      </x:c>
      <x:c r="J21" s="151"/>
      <x:c r="L21" s="179" t="s">
        <x:v>259</x:v>
      </x:c>
    </x:row>
    <x:row r="22" spans="1:12" customHeight="1">
      <x:c r="A22" s="140" t="str">
        <x:f t="shared" si="1"/>
        <x:v/>
      </x:c>
      <x:c r="B22" s="161"/>
      <x:c r="C22" s="162"/>
      <x:c r="D22" s="141" t="str">
        <x:f>IF(과목14="","",SUM($C$9:$C22))</x:f>
        <x:v/>
      </x:c>
      <x:c r="E22" s="157" t="str">
        <x:f t="shared" si="0"/>
        <x:v/>
      </x:c>
      <x:c r="F22" s="166"/>
      <x:c r="J22" s="151"/>
      <x:c r="L22" s="179"/>
    </x:row>
    <x:row r="23" spans="1:12" customHeight="1">
      <x:c r="A23" s="140" t="str">
        <x:f t="shared" si="1"/>
        <x:v/>
      </x:c>
      <x:c r="B23" s="161"/>
      <x:c r="C23" s="162"/>
      <x:c r="D23" s="141" t="str">
        <x:f>IF(과목15="","",SUM($C$9:$C23))</x:f>
        <x:v/>
      </x:c>
      <x:c r="E23" s="157" t="str">
        <x:f t="shared" si="0"/>
        <x:v/>
      </x:c>
      <x:c r="F23" s="166"/>
      <x:c r="J23" s="151"/>
      <x:c r="L23" s="179"/>
    </x:row>
    <x:row r="24" spans="1:12" customHeight="1">
      <x:c r="A24" s="140"/>
      <x:c r="B24" s="161"/>
      <x:c r="C24" s="162"/>
      <x:c r="D24" s="141" t="str">
        <x:f>IF(과목16="","",SUM($C$9:$C24))</x:f>
        <x:v/>
      </x:c>
      <x:c r="E24" s="157" t="str">
        <x:f t="shared" si="0"/>
        <x:v/>
      </x:c>
      <x:c r="F24" s="166"/>
      <x:c r="J24" s="151"/>
      <x:c r="L24" s="179"/>
    </x:row>
    <x:row r="25" spans="1:12" customHeight="1">
      <x:c r="A25" s="140"/>
      <x:c r="B25" s="161"/>
      <x:c r="C25" s="162"/>
      <x:c r="D25" s="141" t="str">
        <x:f>IF(과목17="","",SUM($C$9:$C25))</x:f>
        <x:v/>
      </x:c>
      <x:c r="E25" s="157" t="str">
        <x:f t="shared" si="0"/>
        <x:v/>
      </x:c>
      <x:c r="F25" s="166"/>
      <x:c r="J25" s="151"/>
      <x:c r="L25" s="179"/>
    </x:row>
    <x:row r="26" spans="1:12" customHeight="1">
      <x:c r="A26" s="140"/>
      <x:c r="B26" s="161"/>
      <x:c r="C26" s="162"/>
      <x:c r="D26" s="141" t="str">
        <x:f>IF(과목18="","",SUM($C$9:$C26))</x:f>
        <x:v/>
      </x:c>
      <x:c r="E26" s="157" t="str">
        <x:f t="shared" si="0"/>
        <x:v/>
      </x:c>
      <x:c r="F26" s="166"/>
      <x:c r="J26" s="151"/>
      <x:c r="L26" s="179"/>
    </x:row>
    <x:row r="27" spans="1:12">
      <x:c r="A27" s="140" t="str">
        <x:f t="shared" si="1"/>
        <x:v/>
      </x:c>
      <x:c r="B27" s="161"/>
      <x:c r="C27" s="162"/>
      <x:c r="D27" s="141" t="str">
        <x:f>IF(과목19="","",SUM($C$9:$C27))</x:f>
        <x:v/>
      </x:c>
      <x:c r="E27" s="157" t="str">
        <x:f t="shared" si="0"/>
        <x:v/>
      </x:c>
      <x:c r="F27" s="166"/>
      <x:c r="J27" s="151"/>
      <x:c r="L27" s="168"/>
    </x:row>
    <x:row r="28" spans="1:12">
      <x:c r="A28" s="140" t="str">
        <x:f t="shared" si="1"/>
        <x:v/>
      </x:c>
      <x:c r="B28" s="161"/>
      <x:c r="C28" s="162"/>
      <x:c r="D28" s="141" t="str">
        <x:f>IF(과목20="","",SUM($C$9:$C28))</x:f>
        <x:v/>
      </x:c>
      <x:c r="E28" s="156" t="str">
        <x:f t="shared" si="0"/>
        <x:v/>
      </x:c>
      <x:c r="F28" s="166"/>
      <x:c r="J28" s="151"/>
      <x:c r="L28" s="168"/>
    </x:row>
    <x:row r="29" spans="1:12">
      <x:c r="A29" s="140" t="str">
        <x:f t="shared" si="1"/>
        <x:v/>
      </x:c>
      <x:c r="B29" s="161"/>
      <x:c r="C29" s="162"/>
      <x:c r="D29" s="141" t="str">
        <x:f>IF(과목21="","",SUM($C$9:$C29))</x:f>
        <x:v/>
      </x:c>
      <x:c r="E29" s="156" t="str">
        <x:f t="shared" si="0"/>
        <x:v/>
      </x:c>
      <x:c r="F29" s="166"/>
      <x:c r="J29" s="151"/>
      <x:c r="L29" s="168"/>
    </x:row>
    <x:row r="30" spans="1:12">
      <x:c r="A30" s="140" t="str">
        <x:f t="shared" si="1"/>
        <x:v/>
      </x:c>
      <x:c r="B30" s="161"/>
      <x:c r="C30" s="162"/>
      <x:c r="D30" s="141" t="str">
        <x:f>IF(과목22="","",SUM($C$9:$C30))</x:f>
        <x:v/>
      </x:c>
      <x:c r="E30" s="157" t="str">
        <x:f t="shared" si="0"/>
        <x:v/>
      </x:c>
      <x:c r="F30" s="166"/>
      <x:c r="J30" s="152"/>
      <x:c r="L30" s="168"/>
    </x:row>
    <x:row r="31" spans="1:12">
      <x:c r="A31" s="140" t="str">
        <x:f t="shared" si="1"/>
        <x:v/>
      </x:c>
      <x:c r="B31" s="161"/>
      <x:c r="C31" s="162"/>
      <x:c r="D31" s="141" t="str">
        <x:f>IF(과목23="","",SUM($C$9:$C31))</x:f>
        <x:v/>
      </x:c>
      <x:c r="E31" s="157" t="str">
        <x:f t="shared" si="0"/>
        <x:v/>
      </x:c>
      <x:c r="F31" s="166"/>
      <x:c r="J31" s="152"/>
      <x:c r="L31" s="168"/>
    </x:row>
    <x:row r="32" spans="1:12">
      <x:c r="A32" s="140" t="str">
        <x:f t="shared" si="1"/>
        <x:v/>
      </x:c>
      <x:c r="B32" s="161"/>
      <x:c r="C32" s="162"/>
      <x:c r="D32" s="141" t="str">
        <x:f>IF(과목24="","",SUM($C$9:$C32))</x:f>
        <x:v/>
      </x:c>
      <x:c r="E32" s="157" t="str">
        <x:f t="shared" si="0"/>
        <x:v/>
      </x:c>
      <x:c r="F32" s="166"/>
      <x:c r="J32" s="152"/>
      <x:c r="L32" s="168"/>
    </x:row>
    <x:row r="33" spans="1:12">
      <x:c r="A33" s="140" t="str">
        <x:f t="shared" si="1"/>
        <x:v/>
      </x:c>
      <x:c r="B33" s="163"/>
      <x:c r="C33" s="164"/>
      <x:c r="D33" s="141" t="str">
        <x:f>IF(과목25="","",SUM($C$9:$C33))</x:f>
        <x:v/>
      </x:c>
      <x:c r="E33" s="157" t="str">
        <x:f t="shared" si="0"/>
        <x:v/>
      </x:c>
      <x:c r="F33" s="167"/>
      <x:c r="J33" s="154"/>
      <x:c r="L33" s="169"/>
    </x:row>
    <x:row r="34" spans="3:3">
      <x:c r="C34" s="142">
        <x:f>SUM(C9:C33)</x:f>
        <x:v>976</x:v>
      </x:c>
    </x:row>
  </x:sheetData>
  <x:sheetProtection sheet="0" objects="0" scenarios="0" formatCells="1" formatColumns="1" formatRows="1" insertColumns="1" insertRows="1" insertHyperlinks="1" deleteColumns="1" deleteRows="1" selectLockedCells="1" sort="1" autoFilter="1" pivotTables="1" selectUnlockedCells="0"/>
  <x:mergeCells count="9">
    <x:mergeCell ref="M7:N7"/>
    <x:mergeCell ref="A5:B5"/>
    <x:mergeCell ref="A6:B6"/>
    <x:mergeCell ref="C1:F1"/>
    <x:mergeCell ref="C2:F2"/>
    <x:mergeCell ref="C3:F3"/>
    <x:mergeCell ref="A1:B1"/>
    <x:mergeCell ref="A2:B2"/>
    <x:mergeCell ref="A3:B3"/>
  </x:mergeCells>
  <x:pageMargins left="0.69972223043441772461" right="0.69972223043441772461" top="0.75" bottom="0.75" header="0.30000001192092895508" footer="0.30000001192092895508"/>
  <x:pageSetup paperSize="9" scale="83" firstPageNumber="1" fitToWidth="1" fitToHeight="1" orientation="landscape" usePrinterDefaults="1" blackAndWhite="0" draft="0" useFirstPageNumber="0" horizontalDpi="4294967293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W1183"/>
  <x:sheetViews>
    <x:sheetView topLeftCell="A1069" zoomScale="115" zoomScaleNormal="115" zoomScaleSheetLayoutView="75" workbookViewId="0">
      <x:selection activeCell="E28" activeCellId="0" sqref="E28:O28"/>
    </x:sheetView>
  </x:sheetViews>
  <x:sheetFormatPr defaultColWidth="9" defaultRowHeight="16.5"/>
  <x:cols>
    <x:col min="1" max="1" width="9.75" bestFit="1" customWidth="1"/>
    <x:col min="2" max="3" width="11.375" bestFit="1" customWidth="1"/>
    <x:col min="4" max="4" width="11.375" customWidth="1"/>
    <x:col min="5" max="5" width="10.375" customWidth="1"/>
    <x:col min="6" max="6" width="9.75" customWidth="1"/>
    <x:col min="7" max="9" width="20.875" style="16" customWidth="1"/>
    <x:col min="10" max="10" width="6.25" style="39" bestFit="1" customWidth="1"/>
    <x:col min="11" max="11" width="4.75" style="39" bestFit="1" customWidth="1"/>
    <x:col min="12" max="12" width="3.5" style="39" customWidth="1"/>
    <x:col min="13" max="13" width="3.5" style="61" customWidth="1"/>
    <x:col min="14" max="15" width="3.625" style="30" customWidth="1"/>
    <x:col min="16" max="16" width="3.125" style="30" customWidth="1"/>
    <x:col min="17" max="17" width="3" style="30" customWidth="1"/>
    <x:col min="18" max="18" width="6.5" style="28" customWidth="1"/>
  </x:cols>
  <x:sheetData>
    <x:row r="1" spans="1:18" ht="54">
      <x:c r="A1" s="282" t="s">
        <x:v>63</x:v>
      </x:c>
      <x:c r="B1" s="283"/>
      <x:c r="C1" s="283"/>
      <x:c r="D1" s="284"/>
      <x:c r="E1" s="1" t="s">
        <x:v>85</x:v>
      </x:c>
      <x:c r="F1" s="9"/>
      <x:c r="G1" s="10"/>
      <x:c r="H1" s="10"/>
      <x:c r="I1" s="11"/>
      <x:c r="J1" s="285" t="s">
        <x:v>93</x:v>
      </x:c>
      <x:c r="K1" s="286" t="s">
        <x:v>156</x:v>
      </x:c>
      <x:c r="L1" s="286" t="s">
        <x:v>2</x:v>
      </x:c>
      <x:c r="R1" s="29"/>
    </x:row>
    <x:row r="2" spans="1:17" ht="22.5" customHeight="1">
      <x:c r="A2" s="2" t="s">
        <x:v>18</x:v>
      </x:c>
      <x:c r="B2" s="2" t="s">
        <x:v>8</x:v>
      </x:c>
      <x:c r="C2" s="2" t="s">
        <x:v>23</x:v>
      </x:c>
      <x:c r="D2" s="2" t="s">
        <x:v>6</x:v>
      </x:c>
      <x:c r="E2" s="2" t="s">
        <x:v>3</x:v>
      </x:c>
      <x:c r="F2" s="2" t="s">
        <x:v>31</x:v>
      </x:c>
      <x:c r="G2" s="12" t="s">
        <x:v>17</x:v>
      </x:c>
      <x:c r="H2" s="12" t="s">
        <x:v>188</x:v>
      </x:c>
      <x:c r="I2" s="12" t="s">
        <x:v>107</x:v>
      </x:c>
      <x:c r="J2" s="285"/>
      <x:c r="K2" s="286"/>
      <x:c r="L2" s="286"/>
      <x:c r="M2" s="62"/>
      <x:c r="N2" s="26" t="s">
        <x:v>27</x:v>
      </x:c>
      <x:c r="O2" s="26" t="s">
        <x:v>29</x:v>
      </x:c>
      <x:c r="P2" s="31"/>
      <x:c r="Q2" s="33" t="s">
        <x:v>35</x:v>
      </x:c>
    </x:row>
    <x:row r="3" spans="1:18">
      <x:c r="A3" s="144" t="str">
        <x:f>TEXT(R3,"yyyymmdd")</x:f>
        <x:v>20250922</x:v>
      </x:c>
      <x:c r="B3" s="4" t="s">
        <x:v>5</x:v>
      </x:c>
      <x:c r="C3" s="4">
        <x:v>1740</x:v>
      </x:c>
      <x:c r="D3" s="3" t="s">
        <x:v>1</x:v>
      </x:c>
      <x:c r="E3" s="4" t="s">
        <x:v>5</x:v>
      </x:c>
      <x:c r="F3" s="4" t="s">
        <x:v>40</x:v>
      </x:c>
      <x:c r="G3" s="13" t="str">
        <x:f>IF(OR(N3="",N3&gt;기본입력!$C$34),"",VLOOKUP(O3,기본입력!$A$9:$F$33,5))</x:f>
        <x:v>양현수_53778</x:v>
      </x:c>
      <x:c r="H3" s="13" t="str">
        <x:f>IF(OR(N3="",N3&gt;기본입력!$C$34),"",기본입력!$C$6)</x:f>
        <x:v>1교육실(실습겸용강의실)_243089</x:v>
      </x:c>
      <x:c r="I3" s="13" t="str">
        <x:f>IF(OR(O3="",N3&gt;기본입력!$C$34),"",VLOOKUP(O3,기본입력!$A$9:$F$33,6,FALSE))</x:f>
        <x:v>웹 애플리케이션 개발__3</x:v>
      </x:c>
      <x:c r="J3" s="38" t="str">
        <x:f>IF(F3="2","",LEFT(I3,FIND("_",I3,2)-1))</x:f>
        <x:v>웹 애플리케이션 개발</x:v>
      </x:c>
      <x:c r="K3" s="38" t="str">
        <x:f>IF(F3="2","",LEFT(H3,FIND("_",H3,2)-1))</x:f>
        <x:v>1교육실(실습겸용강의실)</x:v>
      </x:c>
      <x:c r="L3" s="38" t="str">
        <x:f>IF(F3="2","",LEFT(G3,FIND("_",G3,2)-1))</x:f>
        <x:v>양현수</x:v>
      </x:c>
      <x:c r="M3" s="63"/>
      <x:c r="N3" s="30">
        <x:f>IF(F3="2","",COUNTIF($F$3:$F3,"=1"))</x:f>
        <x:v>1</x:v>
      </x:c>
      <x:c r="O3" s="30">
        <x:f t="shared" ref="O3:O66" si="0">IF(F3="2","",IF(N3&lt;=누적시수1,1,IF(N3&lt;=누적시수2,2,IF(N3&lt;=누적시수3,3,IF(N3&lt;=누적시수4,4,IF(N3&lt;=누적시수5,5,IF(N3&lt;=누적시수6,6,IF(N3&lt;=누적시수7,7,IF(N3&lt;=누적시수8,8,IF(N3&lt;=누적시수9,9,IF(N3&lt;=누적시수10,10,IF(N3&lt;=누적시수11,11,IF(N3&lt;=누적시수12,12,IF(N3&lt;=누적시수13,13,IF(N3&lt;=누적시수14,14,IF(N3&lt;=누적시수15,15,IF(N3&lt;=누적시수16,16,IF(N3&lt;=누적시수17,17,IF(N3&lt;=누적시수18,18,IF(N3&lt;=누적시수19,19,IF(N3&lt;=누적시수20,20,IF(N3&lt;=누적시수21,21,IF(N3&lt;=누적시수22,22,IF(N3&lt;=누적시수23,23,IF(N3&lt;=누적시수24,24,IF(N3&lt;=누적시수25,25,0))))))))))))))))))))))))))</x:f>
        <x:v>1</x:v>
      </x:c>
      <x:c r="P3" s="30">
        <x:f>MOD(ROW(),9)</x:f>
        <x:v>3</x:v>
      </x:c>
      <x:c r="Q3" s="30">
        <x:f>COUNTIF($P$3:P3,"=3")</x:f>
        <x:v>1</x:v>
      </x:c>
      <x:c r="R3" s="29">
        <x:f>WORKDAY(기본입력!$H$2,Q3-1,공휴일)</x:f>
        <x:v>45922</x:v>
      </x:c>
    </x:row>
    <x:row r="4" spans="1:18">
      <x:c r="A4" s="144" t="str">
        <x:f t="shared" ref="A4:A67" si="1">TEXT(R4,"yyyymmdd")</x:f>
        <x:v>20250922</x:v>
      </x:c>
      <x:c r="B4" s="6" t="s">
        <x:v>5</x:v>
      </x:c>
      <x:c r="C4" s="6">
        <x:v>1740</x:v>
      </x:c>
      <x:c r="D4" s="5" t="s">
        <x:v>1</x:v>
      </x:c>
      <x:c r="E4" s="6" t="s">
        <x:v>117</x:v>
      </x:c>
      <x:c r="F4" s="6" t="s">
        <x:v>40</x:v>
      </x:c>
      <x:c r="G4" s="14" t="str">
        <x:f>IF(OR(N4="",N4&gt;기본입력!$C$34),"",VLOOKUP(O4,기본입력!$A$9:$F$33,5))</x:f>
        <x:v>양현수_53778</x:v>
      </x:c>
      <x:c r="H4" s="14" t="str">
        <x:f>IF(OR(N4="",N4&gt;기본입력!$C$34),"",기본입력!$C$6)</x:f>
        <x:v>1교육실(실습겸용강의실)_243089</x:v>
      </x:c>
      <x:c r="I4" s="14" t="str">
        <x:f>IF(OR(O4="",N4&gt;기본입력!$C$34),"",VLOOKUP(O4,기본입력!$A$9:$F$33,6,FALSE))</x:f>
        <x:v>웹 애플리케이션 개발__3</x:v>
      </x:c>
      <x:c r="J4" s="38" t="str">
        <x:f t="shared" ref="J4:J67" si="2">IF(F4="2","",LEFT(I4,FIND("_",I4,2)-1))</x:f>
        <x:v>웹 애플리케이션 개발</x:v>
      </x:c>
      <x:c r="K4" s="38" t="str">
        <x:f t="shared" ref="K4:K67" si="3">IF(F4="2","",LEFT(H4,FIND("_",H4,2)-1))</x:f>
        <x:v>1교육실(실습겸용강의실)</x:v>
      </x:c>
      <x:c r="L4" s="38" t="str">
        <x:f t="shared" ref="L4:L67" si="4">IF(F4="2","",LEFT(G4,FIND("_",G4,2)-1))</x:f>
        <x:v>양현수</x:v>
      </x:c>
      <x:c r="M4" s="63"/>
      <x:c r="N4" s="30">
        <x:f>IF(F4="2","",COUNTIF($F$3:$F4,"=1"))</x:f>
        <x:v>2</x:v>
      </x:c>
      <x:c r="O4" s="30">
        <x:f t="shared" si="0"/>
        <x:v>1</x:v>
      </x:c>
      <x:c r="P4" s="30">
        <x:f t="shared" ref="P4:P67" si="5">MOD(ROW(),9)</x:f>
        <x:v>4</x:v>
      </x:c>
      <x:c r="Q4" s="30">
        <x:f>COUNTIF($P$3:P4,"=3")</x:f>
        <x:v>1</x:v>
      </x:c>
      <x:c r="R4" s="29">
        <x:f>WORKDAY(기본입력!$H$2,Q4-1,공휴일)</x:f>
        <x:v>45922</x:v>
      </x:c>
    </x:row>
    <x:row r="5" spans="1:18">
      <x:c r="A5" s="144" t="str">
        <x:f t="shared" si="1"/>
        <x:v>20250922</x:v>
      </x:c>
      <x:c r="B5" s="6" t="s">
        <x:v>5</x:v>
      </x:c>
      <x:c r="C5" s="6">
        <x:v>1740</x:v>
      </x:c>
      <x:c r="D5" s="5" t="s">
        <x:v>1</x:v>
      </x:c>
      <x:c r="E5" s="6" t="s">
        <x:v>87</x:v>
      </x:c>
      <x:c r="F5" s="6" t="s">
        <x:v>40</x:v>
      </x:c>
      <x:c r="G5" s="14" t="str">
        <x:f>IF(OR(N5="",N5&gt;기본입력!$C$34),"",VLOOKUP(O5,기본입력!$A$9:$F$33,5))</x:f>
        <x:v>양현수_53778</x:v>
      </x:c>
      <x:c r="H5" s="14" t="str">
        <x:f>IF(OR(N5="",N5&gt;기본입력!$C$34),"",기본입력!$C$6)</x:f>
        <x:v>1교육실(실습겸용강의실)_243089</x:v>
      </x:c>
      <x:c r="I5" s="14" t="str">
        <x:f>IF(OR(O5="",N5&gt;기본입력!$C$34),"",VLOOKUP(O5,기본입력!$A$9:$F$33,6,FALSE))</x:f>
        <x:v>웹 애플리케이션 개발__3</x:v>
      </x:c>
      <x:c r="J5" s="38" t="str">
        <x:f t="shared" si="2"/>
        <x:v>웹 애플리케이션 개발</x:v>
      </x:c>
      <x:c r="K5" s="38" t="str">
        <x:f t="shared" si="3"/>
        <x:v>1교육실(실습겸용강의실)</x:v>
      </x:c>
      <x:c r="L5" s="38" t="str">
        <x:f t="shared" si="4"/>
        <x:v>양현수</x:v>
      </x:c>
      <x:c r="M5" s="63"/>
      <x:c r="N5" s="30">
        <x:f>IF(F5="2","",COUNTIF($F$3:$F5,"=1"))</x:f>
        <x:v>3</x:v>
      </x:c>
      <x:c r="O5" s="30">
        <x:f t="shared" si="0"/>
        <x:v>1</x:v>
      </x:c>
      <x:c r="P5" s="30">
        <x:f t="shared" si="5"/>
        <x:v>5</x:v>
      </x:c>
      <x:c r="Q5" s="30">
        <x:f>COUNTIF($P$3:P5,"=3")</x:f>
        <x:v>1</x:v>
      </x:c>
      <x:c r="R5" s="29">
        <x:f>WORKDAY(기본입력!$H$2,Q5-1,공휴일)</x:f>
        <x:v>45922</x:v>
      </x:c>
    </x:row>
    <x:row r="6" spans="1:18">
      <x:c r="A6" s="144" t="str">
        <x:f t="shared" si="1"/>
        <x:v>20250922</x:v>
      </x:c>
      <x:c r="B6" s="6" t="s">
        <x:v>5</x:v>
      </x:c>
      <x:c r="C6" s="6">
        <x:v>1740</x:v>
      </x:c>
      <x:c r="D6" s="5" t="s">
        <x:v>1</x:v>
      </x:c>
      <x:c r="E6" s="6" t="s">
        <x:v>88</x:v>
      </x:c>
      <x:c r="F6" s="6" t="s">
        <x:v>40</x:v>
      </x:c>
      <x:c r="G6" s="14" t="str">
        <x:f>IF(OR(N6="",N6&gt;기본입력!$C$34),"",VLOOKUP(O6,기본입력!$A$9:$F$33,5))</x:f>
        <x:v>양현수_53778</x:v>
      </x:c>
      <x:c r="H6" s="14" t="str">
        <x:f>IF(OR(N6="",N6&gt;기본입력!$C$34),"",기본입력!$C$6)</x:f>
        <x:v>1교육실(실습겸용강의실)_243089</x:v>
      </x:c>
      <x:c r="I6" s="14" t="str">
        <x:f>IF(OR(O6="",N6&gt;기본입력!$C$34),"",VLOOKUP(O6,기본입력!$A$9:$F$33,6,FALSE))</x:f>
        <x:v>웹 애플리케이션 개발__3</x:v>
      </x:c>
      <x:c r="J6" s="38" t="str">
        <x:f t="shared" si="2"/>
        <x:v>웹 애플리케이션 개발</x:v>
      </x:c>
      <x:c r="K6" s="38" t="str">
        <x:f t="shared" si="3"/>
        <x:v>1교육실(실습겸용강의실)</x:v>
      </x:c>
      <x:c r="L6" s="38" t="str">
        <x:f t="shared" si="4"/>
        <x:v>양현수</x:v>
      </x:c>
      <x:c r="M6" s="63"/>
      <x:c r="N6" s="30">
        <x:f>IF(F6="2","",COUNTIF($F$3:$F6,"=1"))</x:f>
        <x:v>4</x:v>
      </x:c>
      <x:c r="O6" s="30">
        <x:f t="shared" si="0"/>
        <x:v>1</x:v>
      </x:c>
      <x:c r="P6" s="30">
        <x:f t="shared" si="5"/>
        <x:v>6</x:v>
      </x:c>
      <x:c r="Q6" s="30">
        <x:f>COUNTIF($P$3:P6,"=3")</x:f>
        <x:v>1</x:v>
      </x:c>
      <x:c r="R6" s="29">
        <x:f>WORKDAY(기본입력!$H$2,Q6-1,공휴일)</x:f>
        <x:v>45922</x:v>
      </x:c>
    </x:row>
    <x:row r="7" spans="1:18">
      <x:c r="A7" s="144" t="str">
        <x:f t="shared" si="1"/>
        <x:v>20250922</x:v>
      </x:c>
      <x:c r="B7" s="6" t="s">
        <x:v>5</x:v>
      </x:c>
      <x:c r="C7" s="6">
        <x:v>1740</x:v>
      </x:c>
      <x:c r="D7" s="5" t="s">
        <x:v>1</x:v>
      </x:c>
      <x:c r="E7" s="6" t="s">
        <x:v>0</x:v>
      </x:c>
      <x:c r="F7" s="6" t="s">
        <x:v>41</x:v>
      </x:c>
      <x:c r="G7" s="14" t="str">
        <x:f>IF(OR(N7="",N7&gt;기본입력!$C$34),"",VLOOKUP(O7,기본입력!$A$9:$F$33,5))</x:f>
        <x:v/>
      </x:c>
      <x:c r="H7" s="14" t="str">
        <x:f>IF(OR(N7="",N7&gt;기본입력!$C$34),"",기본입력!$C$6)</x:f>
        <x:v/>
      </x:c>
      <x:c r="I7" s="14" t="str">
        <x:f>IF(OR(O7="",N7&gt;기본입력!$C$34),"",VLOOKUP(O7,기본입력!$A$9:$F$33,6,FALSE))</x:f>
        <x:v/>
      </x:c>
      <x:c r="J7" s="38" t="str">
        <x:f t="shared" si="2"/>
        <x:v/>
      </x:c>
      <x:c r="K7" s="38" t="str">
        <x:f t="shared" si="3"/>
        <x:v/>
      </x:c>
      <x:c r="L7" s="38" t="str">
        <x:f t="shared" si="4"/>
        <x:v/>
      </x:c>
      <x:c r="M7" s="63"/>
      <x:c r="N7" s="30" t="str">
        <x:f>IF(F7="2","",COUNTIF($F$3:$F7,"=1"))</x:f>
        <x:v/>
      </x:c>
      <x:c r="O7" s="30" t="str">
        <x:f t="shared" si="0"/>
        <x:v/>
      </x:c>
      <x:c r="P7" s="30">
        <x:f t="shared" si="5"/>
        <x:v>7</x:v>
      </x:c>
      <x:c r="Q7" s="30">
        <x:f>COUNTIF($P$3:P7,"=3")</x:f>
        <x:v>1</x:v>
      </x:c>
      <x:c r="R7" s="29">
        <x:f>WORKDAY(기본입력!$H$2,Q7-1,공휴일)</x:f>
        <x:v>45922</x:v>
      </x:c>
    </x:row>
    <x:row r="8" spans="1:18">
      <x:c r="A8" s="144" t="str">
        <x:f t="shared" si="1"/>
        <x:v>20250922</x:v>
      </x:c>
      <x:c r="B8" s="6" t="s">
        <x:v>5</x:v>
      </x:c>
      <x:c r="C8" s="6">
        <x:v>1740</x:v>
      </x:c>
      <x:c r="D8" s="5" t="s">
        <x:v>1</x:v>
      </x:c>
      <x:c r="E8" s="6">
        <x:v>1340</x:v>
      </x:c>
      <x:c r="F8" s="6" t="s">
        <x:v>40</x:v>
      </x:c>
      <x:c r="G8" s="14" t="str">
        <x:f>IF(OR(N8="",N8&gt;기본입력!$C$34),"",VLOOKUP(O8,기본입력!$A$9:$F$33,5))</x:f>
        <x:v>양현수_53778</x:v>
      </x:c>
      <x:c r="H8" s="14" t="str">
        <x:f>IF(OR(N8="",N8&gt;기본입력!$C$34),"",기본입력!$C$6)</x:f>
        <x:v>1교육실(실습겸용강의실)_243089</x:v>
      </x:c>
      <x:c r="I8" s="14" t="str">
        <x:f>IF(OR(O8="",N8&gt;기본입력!$C$34),"",VLOOKUP(O8,기본입력!$A$9:$F$33,6,FALSE))</x:f>
        <x:v>웹 애플리케이션 개발__3</x:v>
      </x:c>
      <x:c r="J8" s="38" t="str">
        <x:f t="shared" si="2"/>
        <x:v>웹 애플리케이션 개발</x:v>
      </x:c>
      <x:c r="K8" s="38" t="str">
        <x:f t="shared" si="3"/>
        <x:v>1교육실(실습겸용강의실)</x:v>
      </x:c>
      <x:c r="L8" s="38" t="str">
        <x:f t="shared" si="4"/>
        <x:v>양현수</x:v>
      </x:c>
      <x:c r="M8" s="63"/>
      <x:c r="N8" s="30">
        <x:f>IF(F8="2","",COUNTIF($F$3:$F8,"=1"))</x:f>
        <x:v>5</x:v>
      </x:c>
      <x:c r="O8" s="30">
        <x:f t="shared" si="0"/>
        <x:v>1</x:v>
      </x:c>
      <x:c r="P8" s="30">
        <x:f t="shared" si="5"/>
        <x:v>8</x:v>
      </x:c>
      <x:c r="Q8" s="30">
        <x:f>COUNTIF($P$3:P8,"=3")</x:f>
        <x:v>1</x:v>
      </x:c>
      <x:c r="R8" s="29">
        <x:f>WORKDAY(기본입력!$H$2,Q8-1,공휴일)</x:f>
        <x:v>45922</x:v>
      </x:c>
    </x:row>
    <x:row r="9" spans="1:18">
      <x:c r="A9" s="144" t="str">
        <x:f t="shared" si="1"/>
        <x:v>20250922</x:v>
      </x:c>
      <x:c r="B9" s="6" t="s">
        <x:v>5</x:v>
      </x:c>
      <x:c r="C9" s="6">
        <x:v>1740</x:v>
      </x:c>
      <x:c r="D9" s="5" t="s">
        <x:v>1</x:v>
      </x:c>
      <x:c r="E9" s="6">
        <x:v>1440</x:v>
      </x:c>
      <x:c r="F9" s="6" t="s">
        <x:v>40</x:v>
      </x:c>
      <x:c r="G9" s="14" t="str">
        <x:f>IF(OR(N9="",N9&gt;기본입력!$C$34),"",VLOOKUP(O9,기본입력!$A$9:$F$33,5))</x:f>
        <x:v>양현수_53778</x:v>
      </x:c>
      <x:c r="H9" s="14" t="str">
        <x:f>IF(OR(N9="",N9&gt;기본입력!$C$34),"",기본입력!$C$6)</x:f>
        <x:v>1교육실(실습겸용강의실)_243089</x:v>
      </x:c>
      <x:c r="I9" s="14" t="str">
        <x:f>IF(OR(O9="",N9&gt;기본입력!$C$34),"",VLOOKUP(O9,기본입력!$A$9:$F$33,6,FALSE))</x:f>
        <x:v>웹 애플리케이션 개발__3</x:v>
      </x:c>
      <x:c r="J9" s="38" t="str">
        <x:f t="shared" si="2"/>
        <x:v>웹 애플리케이션 개발</x:v>
      </x:c>
      <x:c r="K9" s="38" t="str">
        <x:f t="shared" si="3"/>
        <x:v>1교육실(실습겸용강의실)</x:v>
      </x:c>
      <x:c r="L9" s="38" t="str">
        <x:f t="shared" si="4"/>
        <x:v>양현수</x:v>
      </x:c>
      <x:c r="M9" s="63"/>
      <x:c r="N9" s="30">
        <x:f>IF(F9="2","",COUNTIF($F$3:$F9,"=1"))</x:f>
        <x:v>6</x:v>
      </x:c>
      <x:c r="O9" s="30">
        <x:f t="shared" si="0"/>
        <x:v>1</x:v>
      </x:c>
      <x:c r="P9" s="30">
        <x:f t="shared" si="5"/>
        <x:v>0</x:v>
      </x:c>
      <x:c r="Q9" s="30">
        <x:f>COUNTIF($P$3:P9,"=3")</x:f>
        <x:v>1</x:v>
      </x:c>
      <x:c r="R9" s="29">
        <x:f>WORKDAY(기본입력!$H$2,Q9-1,공휴일)</x:f>
        <x:v>45922</x:v>
      </x:c>
    </x:row>
    <x:row r="10" spans="1:18">
      <x:c r="A10" s="144" t="str">
        <x:f t="shared" si="1"/>
        <x:v>20250922</x:v>
      </x:c>
      <x:c r="B10" s="6" t="s">
        <x:v>5</x:v>
      </x:c>
      <x:c r="C10" s="6">
        <x:v>1740</x:v>
      </x:c>
      <x:c r="D10" s="5" t="s">
        <x:v>1</x:v>
      </x:c>
      <x:c r="E10" s="6">
        <x:v>1540</x:v>
      </x:c>
      <x:c r="F10" s="6" t="s">
        <x:v>40</x:v>
      </x:c>
      <x:c r="G10" s="14" t="str">
        <x:f>IF(OR(N10="",N10&gt;기본입력!$C$34),"",VLOOKUP(O10,기본입력!$A$9:$F$33,5))</x:f>
        <x:v>양현수_53778</x:v>
      </x:c>
      <x:c r="H10" s="14" t="str">
        <x:f>IF(OR(N10="",N10&gt;기본입력!$C$34),"",기본입력!$C$6)</x:f>
        <x:v>1교육실(실습겸용강의실)_243089</x:v>
      </x:c>
      <x:c r="I10" s="14" t="str">
        <x:f>IF(OR(O10="",N10&gt;기본입력!$C$34),"",VLOOKUP(O10,기본입력!$A$9:$F$33,6,FALSE))</x:f>
        <x:v>웹 애플리케이션 개발__3</x:v>
      </x:c>
      <x:c r="J10" s="38" t="str">
        <x:f t="shared" si="2"/>
        <x:v>웹 애플리케이션 개발</x:v>
      </x:c>
      <x:c r="K10" s="38" t="str">
        <x:f t="shared" si="3"/>
        <x:v>1교육실(실습겸용강의실)</x:v>
      </x:c>
      <x:c r="L10" s="38" t="str">
        <x:f t="shared" si="4"/>
        <x:v>양현수</x:v>
      </x:c>
      <x:c r="M10" s="63"/>
      <x:c r="N10" s="30">
        <x:f>IF(F10="2","",COUNTIF($F$3:$F10,"=1"))</x:f>
        <x:v>7</x:v>
      </x:c>
      <x:c r="O10" s="30">
        <x:f t="shared" si="0"/>
        <x:v>1</x:v>
      </x:c>
      <x:c r="P10" s="30">
        <x:f t="shared" si="5"/>
        <x:v>1</x:v>
      </x:c>
      <x:c r="Q10" s="30">
        <x:f>COUNTIF($P$3:P10,"=3")</x:f>
        <x:v>1</x:v>
      </x:c>
      <x:c r="R10" s="29">
        <x:f>WORKDAY(기본입력!$H$2,Q10-1,공휴일)</x:f>
        <x:v>45922</x:v>
      </x:c>
    </x:row>
    <x:row r="11" spans="1:18">
      <x:c r="A11" s="144" t="str">
        <x:f t="shared" si="1"/>
        <x:v>20250922</x:v>
      </x:c>
      <x:c r="B11" s="6" t="s">
        <x:v>5</x:v>
      </x:c>
      <x:c r="C11" s="6">
        <x:v>1740</x:v>
      </x:c>
      <x:c r="D11" s="5" t="s">
        <x:v>1</x:v>
      </x:c>
      <x:c r="E11" s="6">
        <x:v>1640</x:v>
      </x:c>
      <x:c r="F11" s="6" t="s">
        <x:v>40</x:v>
      </x:c>
      <x:c r="G11" s="14" t="str">
        <x:f>IF(OR(N11="",N11&gt;기본입력!$C$34),"",VLOOKUP(O11,기본입력!$A$9:$F$33,5))</x:f>
        <x:v>양현수_53778</x:v>
      </x:c>
      <x:c r="H11" s="14" t="str">
        <x:f>IF(OR(N11="",N11&gt;기본입력!$C$34),"",기본입력!$C$6)</x:f>
        <x:v>1교육실(실습겸용강의실)_243089</x:v>
      </x:c>
      <x:c r="I11" s="14" t="str">
        <x:f>IF(OR(O11="",N11&gt;기본입력!$C$34),"",VLOOKUP(O11,기본입력!$A$9:$F$33,6,FALSE))</x:f>
        <x:v>웹 애플리케이션 개발__3</x:v>
      </x:c>
      <x:c r="J11" s="38" t="str">
        <x:f t="shared" si="2"/>
        <x:v>웹 애플리케이션 개발</x:v>
      </x:c>
      <x:c r="K11" s="38" t="str">
        <x:f t="shared" si="3"/>
        <x:v>1교육실(실습겸용강의실)</x:v>
      </x:c>
      <x:c r="L11" s="38" t="str">
        <x:f t="shared" si="4"/>
        <x:v>양현수</x:v>
      </x:c>
      <x:c r="M11" s="63"/>
      <x:c r="N11" s="30">
        <x:f>IF(F11="2","",COUNTIF($F$3:$F11,"=1"))</x:f>
        <x:v>8</x:v>
      </x:c>
      <x:c r="O11" s="30">
        <x:f t="shared" si="0"/>
        <x:v>1</x:v>
      </x:c>
      <x:c r="P11" s="30">
        <x:f t="shared" si="5"/>
        <x:v>2</x:v>
      </x:c>
      <x:c r="Q11" s="30">
        <x:f>COUNTIF($P$3:P11,"=3")</x:f>
        <x:v>1</x:v>
      </x:c>
      <x:c r="R11" s="29">
        <x:f>WORKDAY(기본입력!$H$2,Q11-1,공휴일)</x:f>
        <x:v>45922</x:v>
      </x:c>
    </x:row>
    <x:row r="12" spans="1:18">
      <x:c r="A12" s="145" t="str">
        <x:f t="shared" si="1"/>
        <x:v>20250923</x:v>
      </x:c>
      <x:c r="B12" s="8" t="s">
        <x:v>5</x:v>
      </x:c>
      <x:c r="C12" s="8">
        <x:v>1740</x:v>
      </x:c>
      <x:c r="D12" s="7" t="s">
        <x:v>1</x:v>
      </x:c>
      <x:c r="E12" s="8" t="s">
        <x:v>5</x:v>
      </x:c>
      <x:c r="F12" s="8" t="s">
        <x:v>40</x:v>
      </x:c>
      <x:c r="G12" s="15" t="str">
        <x:f>IF(OR(N12="",N12&gt;기본입력!$C$34),"",VLOOKUP(O12,기본입력!$A$9:$F$33,5))</x:f>
        <x:v>양현수_53778</x:v>
      </x:c>
      <x:c r="H12" s="15" t="str">
        <x:f>IF(OR(N12="",N12&gt;기본입력!$C$34),"",기본입력!$C$6)</x:f>
        <x:v>1교육실(실습겸용강의실)_243089</x:v>
      </x:c>
      <x:c r="I12" s="15" t="str">
        <x:f>IF(OR(O12="",N12&gt;기본입력!$C$34),"",VLOOKUP(O12,기본입력!$A$9:$F$33,6,FALSE))</x:f>
        <x:v>웹 애플리케이션 개발__3</x:v>
      </x:c>
      <x:c r="J12" s="38" t="str">
        <x:f t="shared" si="2"/>
        <x:v>웹 애플리케이션 개발</x:v>
      </x:c>
      <x:c r="K12" s="38" t="str">
        <x:f t="shared" si="3"/>
        <x:v>1교육실(실습겸용강의실)</x:v>
      </x:c>
      <x:c r="L12" s="38" t="str">
        <x:f t="shared" si="4"/>
        <x:v>양현수</x:v>
      </x:c>
      <x:c r="M12" s="63"/>
      <x:c r="N12" s="30">
        <x:f>IF(F12="2","",COUNTIF($F$3:$F12,"=1"))</x:f>
        <x:v>9</x:v>
      </x:c>
      <x:c r="O12" s="30">
        <x:f t="shared" si="0"/>
        <x:v>1</x:v>
      </x:c>
      <x:c r="P12" s="30">
        <x:f t="shared" si="5"/>
        <x:v>3</x:v>
      </x:c>
      <x:c r="Q12" s="30">
        <x:f>COUNTIF($P$3:P12,"=3")</x:f>
        <x:v>2</x:v>
      </x:c>
      <x:c r="R12" s="29">
        <x:f>WORKDAY(기본입력!$H$2,Q12-1,공휴일)</x:f>
        <x:v>45923</x:v>
      </x:c>
    </x:row>
    <x:row r="13" spans="1:18">
      <x:c r="A13" s="145" t="str">
        <x:f t="shared" si="1"/>
        <x:v>20250923</x:v>
      </x:c>
      <x:c r="B13" s="8" t="s">
        <x:v>5</x:v>
      </x:c>
      <x:c r="C13" s="8">
        <x:v>1740</x:v>
      </x:c>
      <x:c r="D13" s="7" t="s">
        <x:v>1</x:v>
      </x:c>
      <x:c r="E13" s="8" t="s">
        <x:v>117</x:v>
      </x:c>
      <x:c r="F13" s="8" t="s">
        <x:v>40</x:v>
      </x:c>
      <x:c r="G13" s="15" t="str">
        <x:f>IF(OR(N13="",N13&gt;기본입력!$C$34),"",VLOOKUP(O13,기본입력!$A$9:$F$33,5))</x:f>
        <x:v>양현수_53778</x:v>
      </x:c>
      <x:c r="H13" s="15" t="str">
        <x:f>IF(OR(N13="",N13&gt;기본입력!$C$34),"",기본입력!$C$6)</x:f>
        <x:v>1교육실(실습겸용강의실)_243089</x:v>
      </x:c>
      <x:c r="I13" s="15" t="str">
        <x:f>IF(OR(O13="",N13&gt;기본입력!$C$34),"",VLOOKUP(O13,기본입력!$A$9:$F$33,6,FALSE))</x:f>
        <x:v>웹 애플리케이션 개발__3</x:v>
      </x:c>
      <x:c r="J13" s="38" t="str">
        <x:f t="shared" si="2"/>
        <x:v>웹 애플리케이션 개발</x:v>
      </x:c>
      <x:c r="K13" s="38" t="str">
        <x:f t="shared" si="3"/>
        <x:v>1교육실(실습겸용강의실)</x:v>
      </x:c>
      <x:c r="L13" s="38" t="str">
        <x:f t="shared" si="4"/>
        <x:v>양현수</x:v>
      </x:c>
      <x:c r="M13" s="63"/>
      <x:c r="N13" s="30">
        <x:f>IF(F13="2","",COUNTIF($F$3:$F13,"=1"))</x:f>
        <x:v>10</x:v>
      </x:c>
      <x:c r="O13" s="30">
        <x:f t="shared" si="0"/>
        <x:v>1</x:v>
      </x:c>
      <x:c r="P13" s="30">
        <x:f t="shared" si="5"/>
        <x:v>4</x:v>
      </x:c>
      <x:c r="Q13" s="30">
        <x:f>COUNTIF($P$3:P13,"=3")</x:f>
        <x:v>2</x:v>
      </x:c>
      <x:c r="R13" s="29">
        <x:f>WORKDAY(기본입력!$H$2,Q13-1,공휴일)</x:f>
        <x:v>45923</x:v>
      </x:c>
    </x:row>
    <x:row r="14" spans="1:18">
      <x:c r="A14" s="145" t="str">
        <x:f t="shared" si="1"/>
        <x:v>20250923</x:v>
      </x:c>
      <x:c r="B14" s="8" t="s">
        <x:v>5</x:v>
      </x:c>
      <x:c r="C14" s="8">
        <x:v>1740</x:v>
      </x:c>
      <x:c r="D14" s="7" t="s">
        <x:v>1</x:v>
      </x:c>
      <x:c r="E14" s="8" t="s">
        <x:v>87</x:v>
      </x:c>
      <x:c r="F14" s="8" t="s">
        <x:v>40</x:v>
      </x:c>
      <x:c r="G14" s="15" t="str">
        <x:f>IF(OR(N14="",N14&gt;기본입력!$C$34),"",VLOOKUP(O14,기본입력!$A$9:$F$33,5))</x:f>
        <x:v>양현수_53778</x:v>
      </x:c>
      <x:c r="H14" s="15" t="str">
        <x:f>IF(OR(N14="",N14&gt;기본입력!$C$34),"",기본입력!$C$6)</x:f>
        <x:v>1교육실(실습겸용강의실)_243089</x:v>
      </x:c>
      <x:c r="I14" s="15" t="str">
        <x:f>IF(OR(O14="",N14&gt;기본입력!$C$34),"",VLOOKUP(O14,기본입력!$A$9:$F$33,6,FALSE))</x:f>
        <x:v>웹 애플리케이션 개발__3</x:v>
      </x:c>
      <x:c r="J14" s="38" t="str">
        <x:f t="shared" si="2"/>
        <x:v>웹 애플리케이션 개발</x:v>
      </x:c>
      <x:c r="K14" s="38" t="str">
        <x:f t="shared" si="3"/>
        <x:v>1교육실(실습겸용강의실)</x:v>
      </x:c>
      <x:c r="L14" s="38" t="str">
        <x:f t="shared" si="4"/>
        <x:v>양현수</x:v>
      </x:c>
      <x:c r="M14" s="63"/>
      <x:c r="N14" s="30">
        <x:f>IF(F14="2","",COUNTIF($F$3:$F14,"=1"))</x:f>
        <x:v>11</x:v>
      </x:c>
      <x:c r="O14" s="30">
        <x:f t="shared" si="0"/>
        <x:v>1</x:v>
      </x:c>
      <x:c r="P14" s="30">
        <x:f t="shared" si="5"/>
        <x:v>5</x:v>
      </x:c>
      <x:c r="Q14" s="30">
        <x:f>COUNTIF($P$3:P14,"=3")</x:f>
        <x:v>2</x:v>
      </x:c>
      <x:c r="R14" s="29">
        <x:f>WORKDAY(기본입력!$H$2,Q14-1,공휴일)</x:f>
        <x:v>45923</x:v>
      </x:c>
    </x:row>
    <x:row r="15" spans="1:18">
      <x:c r="A15" s="145" t="str">
        <x:f t="shared" si="1"/>
        <x:v>20250923</x:v>
      </x:c>
      <x:c r="B15" s="8" t="s">
        <x:v>5</x:v>
      </x:c>
      <x:c r="C15" s="8">
        <x:v>1740</x:v>
      </x:c>
      <x:c r="D15" s="7" t="s">
        <x:v>1</x:v>
      </x:c>
      <x:c r="E15" s="8" t="s">
        <x:v>88</x:v>
      </x:c>
      <x:c r="F15" s="8" t="s">
        <x:v>40</x:v>
      </x:c>
      <x:c r="G15" s="15" t="str">
        <x:f>IF(OR(N15="",N15&gt;기본입력!$C$34),"",VLOOKUP(O15,기본입력!$A$9:$F$33,5))</x:f>
        <x:v>양현수_53778</x:v>
      </x:c>
      <x:c r="H15" s="15" t="str">
        <x:f>IF(OR(N15="",N15&gt;기본입력!$C$34),"",기본입력!$C$6)</x:f>
        <x:v>1교육실(실습겸용강의실)_243089</x:v>
      </x:c>
      <x:c r="I15" s="15" t="str">
        <x:f>IF(OR(O15="",N15&gt;기본입력!$C$34),"",VLOOKUP(O15,기본입력!$A$9:$F$33,6,FALSE))</x:f>
        <x:v>웹 애플리케이션 개발__3</x:v>
      </x:c>
      <x:c r="J15" s="38" t="str">
        <x:f t="shared" si="2"/>
        <x:v>웹 애플리케이션 개발</x:v>
      </x:c>
      <x:c r="K15" s="38" t="str">
        <x:f t="shared" si="3"/>
        <x:v>1교육실(실습겸용강의실)</x:v>
      </x:c>
      <x:c r="L15" s="38" t="str">
        <x:f t="shared" si="4"/>
        <x:v>양현수</x:v>
      </x:c>
      <x:c r="M15" s="63"/>
      <x:c r="N15" s="30">
        <x:f>IF(F15="2","",COUNTIF($F$3:$F15,"=1"))</x:f>
        <x:v>12</x:v>
      </x:c>
      <x:c r="O15" s="30">
        <x:f t="shared" si="0"/>
        <x:v>1</x:v>
      </x:c>
      <x:c r="P15" s="30">
        <x:f t="shared" si="5"/>
        <x:v>6</x:v>
      </x:c>
      <x:c r="Q15" s="30">
        <x:f>COUNTIF($P$3:P15,"=3")</x:f>
        <x:v>2</x:v>
      </x:c>
      <x:c r="R15" s="29">
        <x:f>WORKDAY(기본입력!$H$2,Q15-1,공휴일)</x:f>
        <x:v>45923</x:v>
      </x:c>
    </x:row>
    <x:row r="16" spans="1:18">
      <x:c r="A16" s="145" t="str">
        <x:f t="shared" si="1"/>
        <x:v>20250923</x:v>
      </x:c>
      <x:c r="B16" s="8" t="s">
        <x:v>5</x:v>
      </x:c>
      <x:c r="C16" s="8">
        <x:v>1740</x:v>
      </x:c>
      <x:c r="D16" s="7" t="s">
        <x:v>1</x:v>
      </x:c>
      <x:c r="E16" s="8" t="s">
        <x:v>0</x:v>
      </x:c>
      <x:c r="F16" s="8" t="s">
        <x:v>41</x:v>
      </x:c>
      <x:c r="G16" s="15" t="str">
        <x:f>IF(OR(N16="",N16&gt;기본입력!$C$34),"",VLOOKUP(O16,기본입력!$A$9:$F$33,5))</x:f>
        <x:v/>
      </x:c>
      <x:c r="H16" s="15" t="str">
        <x:f>IF(OR(N16="",N16&gt;기본입력!$C$34),"",기본입력!$C$6)</x:f>
        <x:v/>
      </x:c>
      <x:c r="I16" s="15" t="str">
        <x:f>IF(OR(O16="",N16&gt;기본입력!$C$34),"",VLOOKUP(O16,기본입력!$A$9:$F$33,6,FALSE))</x:f>
        <x:v/>
      </x:c>
      <x:c r="J16" s="38" t="str">
        <x:f t="shared" si="2"/>
        <x:v/>
      </x:c>
      <x:c r="K16" s="38" t="str">
        <x:f t="shared" si="3"/>
        <x:v/>
      </x:c>
      <x:c r="L16" s="38" t="str">
        <x:f t="shared" si="4"/>
        <x:v/>
      </x:c>
      <x:c r="M16" s="63"/>
      <x:c r="N16" s="30" t="str">
        <x:f>IF(F16="2","",COUNTIF($F$3:$F16,"=1"))</x:f>
        <x:v/>
      </x:c>
      <x:c r="O16" s="30" t="str">
        <x:f t="shared" si="0"/>
        <x:v/>
      </x:c>
      <x:c r="P16" s="30">
        <x:f t="shared" si="5"/>
        <x:v>7</x:v>
      </x:c>
      <x:c r="Q16" s="30">
        <x:f>COUNTIF($P$3:P16,"=3")</x:f>
        <x:v>2</x:v>
      </x:c>
      <x:c r="R16" s="29">
        <x:f>WORKDAY(기본입력!$H$2,Q16-1,공휴일)</x:f>
        <x:v>45923</x:v>
      </x:c>
    </x:row>
    <x:row r="17" spans="1:18">
      <x:c r="A17" s="145" t="str">
        <x:f t="shared" si="1"/>
        <x:v>20250923</x:v>
      </x:c>
      <x:c r="B17" s="8" t="s">
        <x:v>5</x:v>
      </x:c>
      <x:c r="C17" s="8">
        <x:v>1740</x:v>
      </x:c>
      <x:c r="D17" s="7" t="s">
        <x:v>1</x:v>
      </x:c>
      <x:c r="E17" s="8">
        <x:v>1340</x:v>
      </x:c>
      <x:c r="F17" s="8" t="s">
        <x:v>40</x:v>
      </x:c>
      <x:c r="G17" s="15" t="str">
        <x:f>IF(OR(N17="",N17&gt;기본입력!$C$34),"",VLOOKUP(O17,기본입력!$A$9:$F$33,5))</x:f>
        <x:v>양현수_53778</x:v>
      </x:c>
      <x:c r="H17" s="15" t="str">
        <x:f>IF(OR(N17="",N17&gt;기본입력!$C$34),"",기본입력!$C$6)</x:f>
        <x:v>1교육실(실습겸용강의실)_243089</x:v>
      </x:c>
      <x:c r="I17" s="15" t="str">
        <x:f>IF(OR(O17="",N17&gt;기본입력!$C$34),"",VLOOKUP(O17,기본입력!$A$9:$F$33,6,FALSE))</x:f>
        <x:v>웹 애플리케이션 개발__3</x:v>
      </x:c>
      <x:c r="J17" s="38" t="str">
        <x:f t="shared" si="2"/>
        <x:v>웹 애플리케이션 개발</x:v>
      </x:c>
      <x:c r="K17" s="38" t="str">
        <x:f t="shared" si="3"/>
        <x:v>1교육실(실습겸용강의실)</x:v>
      </x:c>
      <x:c r="L17" s="38" t="str">
        <x:f t="shared" si="4"/>
        <x:v>양현수</x:v>
      </x:c>
      <x:c r="M17" s="63"/>
      <x:c r="N17" s="30">
        <x:f>IF(F17="2","",COUNTIF($F$3:$F17,"=1"))</x:f>
        <x:v>13</x:v>
      </x:c>
      <x:c r="O17" s="30">
        <x:f t="shared" si="0"/>
        <x:v>1</x:v>
      </x:c>
      <x:c r="P17" s="30">
        <x:f t="shared" si="5"/>
        <x:v>8</x:v>
      </x:c>
      <x:c r="Q17" s="30">
        <x:f>COUNTIF($P$3:P17,"=3")</x:f>
        <x:v>2</x:v>
      </x:c>
      <x:c r="R17" s="29">
        <x:f>WORKDAY(기본입력!$H$2,Q17-1,공휴일)</x:f>
        <x:v>45923</x:v>
      </x:c>
    </x:row>
    <x:row r="18" spans="1:18">
      <x:c r="A18" s="145" t="str">
        <x:f t="shared" si="1"/>
        <x:v>20250923</x:v>
      </x:c>
      <x:c r="B18" s="8" t="s">
        <x:v>5</x:v>
      </x:c>
      <x:c r="C18" s="8">
        <x:v>1740</x:v>
      </x:c>
      <x:c r="D18" s="7" t="s">
        <x:v>1</x:v>
      </x:c>
      <x:c r="E18" s="8">
        <x:v>1440</x:v>
      </x:c>
      <x:c r="F18" s="8" t="s">
        <x:v>40</x:v>
      </x:c>
      <x:c r="G18" s="15" t="str">
        <x:f>IF(OR(N18="",N18&gt;기본입력!$C$34),"",VLOOKUP(O18,기본입력!$A$9:$F$33,5))</x:f>
        <x:v>양현수_53778</x:v>
      </x:c>
      <x:c r="H18" s="15" t="str">
        <x:f>IF(OR(N18="",N18&gt;기본입력!$C$34),"",기본입력!$C$6)</x:f>
        <x:v>1교육실(실습겸용강의실)_243089</x:v>
      </x:c>
      <x:c r="I18" s="15" t="str">
        <x:f>IF(OR(O18="",N18&gt;기본입력!$C$34),"",VLOOKUP(O18,기본입력!$A$9:$F$33,6,FALSE))</x:f>
        <x:v>웹 애플리케이션 개발__3</x:v>
      </x:c>
      <x:c r="J18" s="38" t="str">
        <x:f t="shared" si="2"/>
        <x:v>웹 애플리케이션 개발</x:v>
      </x:c>
      <x:c r="K18" s="38" t="str">
        <x:f t="shared" si="3"/>
        <x:v>1교육실(실습겸용강의실)</x:v>
      </x:c>
      <x:c r="L18" s="38" t="str">
        <x:f t="shared" si="4"/>
        <x:v>양현수</x:v>
      </x:c>
      <x:c r="M18" s="63"/>
      <x:c r="N18" s="30">
        <x:f>IF(F18="2","",COUNTIF($F$3:$F18,"=1"))</x:f>
        <x:v>14</x:v>
      </x:c>
      <x:c r="O18" s="30">
        <x:f t="shared" si="0"/>
        <x:v>1</x:v>
      </x:c>
      <x:c r="P18" s="30">
        <x:f t="shared" si="5"/>
        <x:v>0</x:v>
      </x:c>
      <x:c r="Q18" s="30">
        <x:f>COUNTIF($P$3:P18,"=3")</x:f>
        <x:v>2</x:v>
      </x:c>
      <x:c r="R18" s="29">
        <x:f>WORKDAY(기본입력!$H$2,Q18-1,공휴일)</x:f>
        <x:v>45923</x:v>
      </x:c>
    </x:row>
    <x:row r="19" spans="1:18">
      <x:c r="A19" s="145" t="str">
        <x:f t="shared" si="1"/>
        <x:v>20250923</x:v>
      </x:c>
      <x:c r="B19" s="8" t="s">
        <x:v>5</x:v>
      </x:c>
      <x:c r="C19" s="8">
        <x:v>1740</x:v>
      </x:c>
      <x:c r="D19" s="7" t="s">
        <x:v>1</x:v>
      </x:c>
      <x:c r="E19" s="8">
        <x:v>1540</x:v>
      </x:c>
      <x:c r="F19" s="8" t="s">
        <x:v>40</x:v>
      </x:c>
      <x:c r="G19" s="15" t="str">
        <x:f>IF(OR(N19="",N19&gt;기본입력!$C$34),"",VLOOKUP(O19,기본입력!$A$9:$F$33,5))</x:f>
        <x:v>양현수_53778</x:v>
      </x:c>
      <x:c r="H19" s="15" t="str">
        <x:f>IF(OR(N19="",N19&gt;기본입력!$C$34),"",기본입력!$C$6)</x:f>
        <x:v>1교육실(실습겸용강의실)_243089</x:v>
      </x:c>
      <x:c r="I19" s="15" t="str">
        <x:f>IF(OR(O19="",N19&gt;기본입력!$C$34),"",VLOOKUP(O19,기본입력!$A$9:$F$33,6,FALSE))</x:f>
        <x:v>웹 애플리케이션 개발__3</x:v>
      </x:c>
      <x:c r="J19" s="38" t="str">
        <x:f t="shared" si="2"/>
        <x:v>웹 애플리케이션 개발</x:v>
      </x:c>
      <x:c r="K19" s="38" t="str">
        <x:f t="shared" si="3"/>
        <x:v>1교육실(실습겸용강의실)</x:v>
      </x:c>
      <x:c r="L19" s="38" t="str">
        <x:f t="shared" si="4"/>
        <x:v>양현수</x:v>
      </x:c>
      <x:c r="M19" s="63"/>
      <x:c r="N19" s="30">
        <x:f>IF(F19="2","",COUNTIF($F$3:$F19,"=1"))</x:f>
        <x:v>15</x:v>
      </x:c>
      <x:c r="O19" s="30">
        <x:f t="shared" si="0"/>
        <x:v>1</x:v>
      </x:c>
      <x:c r="P19" s="30">
        <x:f t="shared" si="5"/>
        <x:v>1</x:v>
      </x:c>
      <x:c r="Q19" s="30">
        <x:f>COUNTIF($P$3:P19,"=3")</x:f>
        <x:v>2</x:v>
      </x:c>
      <x:c r="R19" s="29">
        <x:f>WORKDAY(기본입력!$H$2,Q19-1,공휴일)</x:f>
        <x:v>45923</x:v>
      </x:c>
    </x:row>
    <x:row r="20" spans="1:18">
      <x:c r="A20" s="145" t="str">
        <x:f t="shared" si="1"/>
        <x:v>20250923</x:v>
      </x:c>
      <x:c r="B20" s="8" t="s">
        <x:v>5</x:v>
      </x:c>
      <x:c r="C20" s="8">
        <x:v>1740</x:v>
      </x:c>
      <x:c r="D20" s="7" t="s">
        <x:v>1</x:v>
      </x:c>
      <x:c r="E20" s="8">
        <x:v>1640</x:v>
      </x:c>
      <x:c r="F20" s="8" t="s">
        <x:v>40</x:v>
      </x:c>
      <x:c r="G20" s="15" t="str">
        <x:f>IF(OR(N20="",N20&gt;기본입력!$C$34),"",VLOOKUP(O20,기본입력!$A$9:$F$33,5))</x:f>
        <x:v>양현수_53778</x:v>
      </x:c>
      <x:c r="H20" s="15" t="str">
        <x:f>IF(OR(N20="",N20&gt;기본입력!$C$34),"",기본입력!$C$6)</x:f>
        <x:v>1교육실(실습겸용강의실)_243089</x:v>
      </x:c>
      <x:c r="I20" s="15" t="str">
        <x:f>IF(OR(O20="",N20&gt;기본입력!$C$34),"",VLOOKUP(O20,기본입력!$A$9:$F$33,6,FALSE))</x:f>
        <x:v>웹 애플리케이션 개발__3</x:v>
      </x:c>
      <x:c r="J20" s="38" t="str">
        <x:f t="shared" si="2"/>
        <x:v>웹 애플리케이션 개발</x:v>
      </x:c>
      <x:c r="K20" s="38" t="str">
        <x:f t="shared" si="3"/>
        <x:v>1교육실(실습겸용강의실)</x:v>
      </x:c>
      <x:c r="L20" s="38" t="str">
        <x:f t="shared" si="4"/>
        <x:v>양현수</x:v>
      </x:c>
      <x:c r="M20" s="63"/>
      <x:c r="N20" s="30">
        <x:f>IF(F20="2","",COUNTIF($F$3:$F20,"=1"))</x:f>
        <x:v>16</x:v>
      </x:c>
      <x:c r="O20" s="30">
        <x:f t="shared" si="0"/>
        <x:v>1</x:v>
      </x:c>
      <x:c r="P20" s="30">
        <x:f t="shared" si="5"/>
        <x:v>2</x:v>
      </x:c>
      <x:c r="Q20" s="30">
        <x:f>COUNTIF($P$3:P20,"=3")</x:f>
        <x:v>2</x:v>
      </x:c>
      <x:c r="R20" s="29">
        <x:f>WORKDAY(기본입력!$H$2,Q20-1,공휴일)</x:f>
        <x:v>45923</x:v>
      </x:c>
    </x:row>
    <x:row r="21" spans="1:18">
      <x:c r="A21" s="144" t="str">
        <x:f t="shared" si="1"/>
        <x:v>20250924</x:v>
      </x:c>
      <x:c r="B21" s="6" t="s">
        <x:v>5</x:v>
      </x:c>
      <x:c r="C21" s="6">
        <x:v>1740</x:v>
      </x:c>
      <x:c r="D21" s="5" t="s">
        <x:v>1</x:v>
      </x:c>
      <x:c r="E21" s="6" t="s">
        <x:v>5</x:v>
      </x:c>
      <x:c r="F21" s="6" t="s">
        <x:v>40</x:v>
      </x:c>
      <x:c r="G21" s="14" t="str">
        <x:f>IF(OR(N21="",N21&gt;기본입력!$C$34),"",VLOOKUP(O21,기본입력!$A$9:$F$33,5))</x:f>
        <x:v>양현수_53778</x:v>
      </x:c>
      <x:c r="H21" s="14" t="str">
        <x:f>IF(OR(N21="",N21&gt;기본입력!$C$34),"",기본입력!$C$6)</x:f>
        <x:v>1교육실(실습겸용강의실)_243089</x:v>
      </x:c>
      <x:c r="I21" s="14" t="str">
        <x:f>IF(OR(O21="",N21&gt;기본입력!$C$34),"",VLOOKUP(O21,기본입력!$A$9:$F$33,6,FALSE))</x:f>
        <x:v>웹 애플리케이션 개발__3</x:v>
      </x:c>
      <x:c r="J21" s="38" t="str">
        <x:f t="shared" si="2"/>
        <x:v>웹 애플리케이션 개발</x:v>
      </x:c>
      <x:c r="K21" s="38" t="str">
        <x:f t="shared" si="3"/>
        <x:v>1교육실(실습겸용강의실)</x:v>
      </x:c>
      <x:c r="L21" s="38" t="str">
        <x:f t="shared" si="4"/>
        <x:v>양현수</x:v>
      </x:c>
      <x:c r="M21" s="63"/>
      <x:c r="N21" s="30">
        <x:f>IF(F21="2","",COUNTIF($F$3:$F21,"=1"))</x:f>
        <x:v>17</x:v>
      </x:c>
      <x:c r="O21" s="30">
        <x:f t="shared" si="0"/>
        <x:v>1</x:v>
      </x:c>
      <x:c r="P21" s="30">
        <x:f t="shared" si="5"/>
        <x:v>3</x:v>
      </x:c>
      <x:c r="Q21" s="30">
        <x:f>COUNTIF($P$3:P21,"=3")</x:f>
        <x:v>3</x:v>
      </x:c>
      <x:c r="R21" s="29">
        <x:f>WORKDAY(기본입력!$H$2,Q21-1,공휴일)</x:f>
        <x:v>45924</x:v>
      </x:c>
    </x:row>
    <x:row r="22" spans="1:18">
      <x:c r="A22" s="144" t="str">
        <x:f t="shared" si="1"/>
        <x:v>20250924</x:v>
      </x:c>
      <x:c r="B22" s="6" t="s">
        <x:v>5</x:v>
      </x:c>
      <x:c r="C22" s="6">
        <x:v>1740</x:v>
      </x:c>
      <x:c r="D22" s="5" t="s">
        <x:v>1</x:v>
      </x:c>
      <x:c r="E22" s="6" t="s">
        <x:v>117</x:v>
      </x:c>
      <x:c r="F22" s="6" t="s">
        <x:v>40</x:v>
      </x:c>
      <x:c r="G22" s="14" t="str">
        <x:f>IF(OR(N22="",N22&gt;기본입력!$C$34),"",VLOOKUP(O22,기본입력!$A$9:$F$33,5))</x:f>
        <x:v>양현수_53778</x:v>
      </x:c>
      <x:c r="H22" s="14" t="str">
        <x:f>IF(OR(N22="",N22&gt;기본입력!$C$34),"",기본입력!$C$6)</x:f>
        <x:v>1교육실(실습겸용강의실)_243089</x:v>
      </x:c>
      <x:c r="I22" s="14" t="str">
        <x:f>IF(OR(O22="",N22&gt;기본입력!$C$34),"",VLOOKUP(O22,기본입력!$A$9:$F$33,6,FALSE))</x:f>
        <x:v>웹 애플리케이션 개발__3</x:v>
      </x:c>
      <x:c r="J22" s="38" t="str">
        <x:f t="shared" si="2"/>
        <x:v>웹 애플리케이션 개발</x:v>
      </x:c>
      <x:c r="K22" s="38" t="str">
        <x:f t="shared" si="3"/>
        <x:v>1교육실(실습겸용강의실)</x:v>
      </x:c>
      <x:c r="L22" s="38" t="str">
        <x:f t="shared" si="4"/>
        <x:v>양현수</x:v>
      </x:c>
      <x:c r="M22" s="63"/>
      <x:c r="N22" s="30">
        <x:f>IF(F22="2","",COUNTIF($F$3:$F22,"=1"))</x:f>
        <x:v>18</x:v>
      </x:c>
      <x:c r="O22" s="30">
        <x:f t="shared" si="0"/>
        <x:v>1</x:v>
      </x:c>
      <x:c r="P22" s="30">
        <x:f t="shared" si="5"/>
        <x:v>4</x:v>
      </x:c>
      <x:c r="Q22" s="30">
        <x:f>COUNTIF($P$3:P22,"=3")</x:f>
        <x:v>3</x:v>
      </x:c>
      <x:c r="R22" s="29">
        <x:f>WORKDAY(기본입력!$H$2,Q22-1,공휴일)</x:f>
        <x:v>45924</x:v>
      </x:c>
    </x:row>
    <x:row r="23" spans="1:18">
      <x:c r="A23" s="144" t="str">
        <x:f t="shared" si="1"/>
        <x:v>20250924</x:v>
      </x:c>
      <x:c r="B23" s="6" t="s">
        <x:v>5</x:v>
      </x:c>
      <x:c r="C23" s="6">
        <x:v>1740</x:v>
      </x:c>
      <x:c r="D23" s="5" t="s">
        <x:v>1</x:v>
      </x:c>
      <x:c r="E23" s="6" t="s">
        <x:v>87</x:v>
      </x:c>
      <x:c r="F23" s="6" t="s">
        <x:v>40</x:v>
      </x:c>
      <x:c r="G23" s="14" t="str">
        <x:f>IF(OR(N23="",N23&gt;기본입력!$C$34),"",VLOOKUP(O23,기본입력!$A$9:$F$33,5))</x:f>
        <x:v>양현수_53778</x:v>
      </x:c>
      <x:c r="H23" s="14" t="str">
        <x:f>IF(OR(N23="",N23&gt;기본입력!$C$34),"",기본입력!$C$6)</x:f>
        <x:v>1교육실(실습겸용강의실)_243089</x:v>
      </x:c>
      <x:c r="I23" s="14" t="str">
        <x:f>IF(OR(O23="",N23&gt;기본입력!$C$34),"",VLOOKUP(O23,기본입력!$A$9:$F$33,6,FALSE))</x:f>
        <x:v>웹 애플리케이션 개발__3</x:v>
      </x:c>
      <x:c r="J23" s="38" t="str">
        <x:f t="shared" si="2"/>
        <x:v>웹 애플리케이션 개발</x:v>
      </x:c>
      <x:c r="K23" s="38" t="str">
        <x:f t="shared" si="3"/>
        <x:v>1교육실(실습겸용강의실)</x:v>
      </x:c>
      <x:c r="L23" s="38" t="str">
        <x:f t="shared" si="4"/>
        <x:v>양현수</x:v>
      </x:c>
      <x:c r="M23" s="63"/>
      <x:c r="N23" s="30">
        <x:f>IF(F23="2","",COUNTIF($F$3:$F23,"=1"))</x:f>
        <x:v>19</x:v>
      </x:c>
      <x:c r="O23" s="30">
        <x:f t="shared" si="0"/>
        <x:v>1</x:v>
      </x:c>
      <x:c r="P23" s="30">
        <x:f t="shared" si="5"/>
        <x:v>5</x:v>
      </x:c>
      <x:c r="Q23" s="30">
        <x:f>COUNTIF($P$3:P23,"=3")</x:f>
        <x:v>3</x:v>
      </x:c>
      <x:c r="R23" s="29">
        <x:f>WORKDAY(기본입력!$H$2,Q23-1,공휴일)</x:f>
        <x:v>45924</x:v>
      </x:c>
    </x:row>
    <x:row r="24" spans="1:18">
      <x:c r="A24" s="144" t="str">
        <x:f t="shared" si="1"/>
        <x:v>20250924</x:v>
      </x:c>
      <x:c r="B24" s="6" t="s">
        <x:v>5</x:v>
      </x:c>
      <x:c r="C24" s="6">
        <x:v>1740</x:v>
      </x:c>
      <x:c r="D24" s="5" t="s">
        <x:v>1</x:v>
      </x:c>
      <x:c r="E24" s="6" t="s">
        <x:v>88</x:v>
      </x:c>
      <x:c r="F24" s="6" t="s">
        <x:v>40</x:v>
      </x:c>
      <x:c r="G24" s="14" t="str">
        <x:f>IF(OR(N24="",N24&gt;기본입력!$C$34),"",VLOOKUP(O24,기본입력!$A$9:$F$33,5))</x:f>
        <x:v>양현수_53778</x:v>
      </x:c>
      <x:c r="H24" s="14" t="str">
        <x:f>IF(OR(N24="",N24&gt;기본입력!$C$34),"",기본입력!$C$6)</x:f>
        <x:v>1교육실(실습겸용강의실)_243089</x:v>
      </x:c>
      <x:c r="I24" s="14" t="str">
        <x:f>IF(OR(O24="",N24&gt;기본입력!$C$34),"",VLOOKUP(O24,기본입력!$A$9:$F$33,6,FALSE))</x:f>
        <x:v>웹 애플리케이션 개발__3</x:v>
      </x:c>
      <x:c r="J24" s="38" t="str">
        <x:f t="shared" si="2"/>
        <x:v>웹 애플리케이션 개발</x:v>
      </x:c>
      <x:c r="K24" s="38" t="str">
        <x:f t="shared" si="3"/>
        <x:v>1교육실(실습겸용강의실)</x:v>
      </x:c>
      <x:c r="L24" s="38" t="str">
        <x:f t="shared" si="4"/>
        <x:v>양현수</x:v>
      </x:c>
      <x:c r="M24" s="63"/>
      <x:c r="N24" s="30">
        <x:f>IF(F24="2","",COUNTIF($F$3:$F24,"=1"))</x:f>
        <x:v>20</x:v>
      </x:c>
      <x:c r="O24" s="30">
        <x:f t="shared" si="0"/>
        <x:v>1</x:v>
      </x:c>
      <x:c r="P24" s="30">
        <x:f t="shared" si="5"/>
        <x:v>6</x:v>
      </x:c>
      <x:c r="Q24" s="30">
        <x:f>COUNTIF($P$3:P24,"=3")</x:f>
        <x:v>3</x:v>
      </x:c>
      <x:c r="R24" s="29">
        <x:f>WORKDAY(기본입력!$H$2,Q24-1,공휴일)</x:f>
        <x:v>45924</x:v>
      </x:c>
    </x:row>
    <x:row r="25" spans="1:18">
      <x:c r="A25" s="144" t="str">
        <x:f t="shared" si="1"/>
        <x:v>20250924</x:v>
      </x:c>
      <x:c r="B25" s="6" t="s">
        <x:v>5</x:v>
      </x:c>
      <x:c r="C25" s="6">
        <x:v>1740</x:v>
      </x:c>
      <x:c r="D25" s="5" t="s">
        <x:v>1</x:v>
      </x:c>
      <x:c r="E25" s="6" t="s">
        <x:v>0</x:v>
      </x:c>
      <x:c r="F25" s="6" t="s">
        <x:v>41</x:v>
      </x:c>
      <x:c r="G25" s="14" t="str">
        <x:f>IF(OR(N25="",N25&gt;기본입력!$C$34),"",VLOOKUP(O25,기본입력!$A$9:$F$33,5))</x:f>
        <x:v/>
      </x:c>
      <x:c r="H25" s="14" t="str">
        <x:f>IF(OR(N25="",N25&gt;기본입력!$C$34),"",기본입력!$C$6)</x:f>
        <x:v/>
      </x:c>
      <x:c r="I25" s="14" t="str">
        <x:f>IF(OR(O25="",N25&gt;기본입력!$C$34),"",VLOOKUP(O25,기본입력!$A$9:$F$33,6,FALSE))</x:f>
        <x:v/>
      </x:c>
      <x:c r="J25" s="38" t="str">
        <x:f t="shared" si="2"/>
        <x:v/>
      </x:c>
      <x:c r="K25" s="38" t="str">
        <x:f t="shared" si="3"/>
        <x:v/>
      </x:c>
      <x:c r="L25" s="38" t="str">
        <x:f t="shared" si="4"/>
        <x:v/>
      </x:c>
      <x:c r="M25" s="63"/>
      <x:c r="N25" s="30" t="str">
        <x:f>IF(F25="2","",COUNTIF($F$3:$F25,"=1"))</x:f>
        <x:v/>
      </x:c>
      <x:c r="O25" s="30" t="str">
        <x:f t="shared" si="0"/>
        <x:v/>
      </x:c>
      <x:c r="P25" s="30">
        <x:f t="shared" si="5"/>
        <x:v>7</x:v>
      </x:c>
      <x:c r="Q25" s="30">
        <x:f>COUNTIF($P$3:P25,"=3")</x:f>
        <x:v>3</x:v>
      </x:c>
      <x:c r="R25" s="29">
        <x:f>WORKDAY(기본입력!$H$2,Q25-1,공휴일)</x:f>
        <x:v>45924</x:v>
      </x:c>
    </x:row>
    <x:row r="26" spans="1:18">
      <x:c r="A26" s="144" t="str">
        <x:f t="shared" si="1"/>
        <x:v>20250924</x:v>
      </x:c>
      <x:c r="B26" s="6" t="s">
        <x:v>5</x:v>
      </x:c>
      <x:c r="C26" s="6">
        <x:v>1740</x:v>
      </x:c>
      <x:c r="D26" s="5" t="s">
        <x:v>1</x:v>
      </x:c>
      <x:c r="E26" s="6">
        <x:v>1340</x:v>
      </x:c>
      <x:c r="F26" s="6" t="s">
        <x:v>40</x:v>
      </x:c>
      <x:c r="G26" s="14" t="str">
        <x:f>IF(OR(N26="",N26&gt;기본입력!$C$34),"",VLOOKUP(O26,기본입력!$A$9:$F$33,5))</x:f>
        <x:v>양현수_53778</x:v>
      </x:c>
      <x:c r="H26" s="14" t="str">
        <x:f>IF(OR(N26="",N26&gt;기본입력!$C$34),"",기본입력!$C$6)</x:f>
        <x:v>1교육실(실습겸용강의실)_243089</x:v>
      </x:c>
      <x:c r="I26" s="14" t="str">
        <x:f>IF(OR(O26="",N26&gt;기본입력!$C$34),"",VLOOKUP(O26,기본입력!$A$9:$F$33,6,FALSE))</x:f>
        <x:v>웹 애플리케이션 개발__3</x:v>
      </x:c>
      <x:c r="J26" s="38" t="str">
        <x:f t="shared" si="2"/>
        <x:v>웹 애플리케이션 개발</x:v>
      </x:c>
      <x:c r="K26" s="38" t="str">
        <x:f t="shared" si="3"/>
        <x:v>1교육실(실습겸용강의실)</x:v>
      </x:c>
      <x:c r="L26" s="38" t="str">
        <x:f t="shared" si="4"/>
        <x:v>양현수</x:v>
      </x:c>
      <x:c r="M26" s="63"/>
      <x:c r="N26" s="30">
        <x:f>IF(F26="2","",COUNTIF($F$3:$F26,"=1"))</x:f>
        <x:v>21</x:v>
      </x:c>
      <x:c r="O26" s="30">
        <x:f t="shared" si="0"/>
        <x:v>1</x:v>
      </x:c>
      <x:c r="P26" s="30">
        <x:f t="shared" si="5"/>
        <x:v>8</x:v>
      </x:c>
      <x:c r="Q26" s="30">
        <x:f>COUNTIF($P$3:P26,"=3")</x:f>
        <x:v>3</x:v>
      </x:c>
      <x:c r="R26" s="29">
        <x:f>WORKDAY(기본입력!$H$2,Q26-1,공휴일)</x:f>
        <x:v>45924</x:v>
      </x:c>
    </x:row>
    <x:row r="27" spans="1:18">
      <x:c r="A27" s="144" t="str">
        <x:f t="shared" si="1"/>
        <x:v>20250924</x:v>
      </x:c>
      <x:c r="B27" s="6" t="s">
        <x:v>5</x:v>
      </x:c>
      <x:c r="C27" s="6">
        <x:v>1740</x:v>
      </x:c>
      <x:c r="D27" s="5" t="s">
        <x:v>1</x:v>
      </x:c>
      <x:c r="E27" s="6">
        <x:v>1440</x:v>
      </x:c>
      <x:c r="F27" s="6" t="s">
        <x:v>40</x:v>
      </x:c>
      <x:c r="G27" s="14" t="str">
        <x:f>IF(OR(N27="",N27&gt;기본입력!$C$34),"",VLOOKUP(O27,기본입력!$A$9:$F$33,5))</x:f>
        <x:v>양현수_53778</x:v>
      </x:c>
      <x:c r="H27" s="14" t="str">
        <x:f>IF(OR(N27="",N27&gt;기본입력!$C$34),"",기본입력!$C$6)</x:f>
        <x:v>1교육실(실습겸용강의실)_243089</x:v>
      </x:c>
      <x:c r="I27" s="14" t="str">
        <x:f>IF(OR(O27="",N27&gt;기본입력!$C$34),"",VLOOKUP(O27,기본입력!$A$9:$F$33,6,FALSE))</x:f>
        <x:v>웹 애플리케이션 개발__3</x:v>
      </x:c>
      <x:c r="J27" s="38" t="str">
        <x:f t="shared" si="2"/>
        <x:v>웹 애플리케이션 개발</x:v>
      </x:c>
      <x:c r="K27" s="38" t="str">
        <x:f t="shared" si="3"/>
        <x:v>1교육실(실습겸용강의실)</x:v>
      </x:c>
      <x:c r="L27" s="38" t="str">
        <x:f t="shared" si="4"/>
        <x:v>양현수</x:v>
      </x:c>
      <x:c r="M27" s="63"/>
      <x:c r="N27" s="30">
        <x:f>IF(F27="2","",COUNTIF($F$3:$F27,"=1"))</x:f>
        <x:v>22</x:v>
      </x:c>
      <x:c r="O27" s="30">
        <x:f t="shared" si="0"/>
        <x:v>1</x:v>
      </x:c>
      <x:c r="P27" s="30">
        <x:f t="shared" si="5"/>
        <x:v>0</x:v>
      </x:c>
      <x:c r="Q27" s="30">
        <x:f>COUNTIF($P$3:P27,"=3")</x:f>
        <x:v>3</x:v>
      </x:c>
      <x:c r="R27" s="29">
        <x:f>WORKDAY(기본입력!$H$2,Q27-1,공휴일)</x:f>
        <x:v>45924</x:v>
      </x:c>
    </x:row>
    <x:row r="28" spans="1:18">
      <x:c r="A28" s="144" t="str">
        <x:f t="shared" si="1"/>
        <x:v>20250924</x:v>
      </x:c>
      <x:c r="B28" s="6" t="s">
        <x:v>5</x:v>
      </x:c>
      <x:c r="C28" s="6">
        <x:v>1740</x:v>
      </x:c>
      <x:c r="D28" s="5" t="s">
        <x:v>1</x:v>
      </x:c>
      <x:c r="E28" s="6">
        <x:v>1540</x:v>
      </x:c>
      <x:c r="F28" s="6" t="s">
        <x:v>40</x:v>
      </x:c>
      <x:c r="G28" s="14" t="str">
        <x:f>IF(OR(N28="",N28&gt;기본입력!$C$34),"",VLOOKUP(O28,기본입력!$A$9:$F$33,5))</x:f>
        <x:v>양현수_53778</x:v>
      </x:c>
      <x:c r="H28" s="14" t="str">
        <x:f>IF(OR(N28="",N28&gt;기본입력!$C$34),"",기본입력!$C$6)</x:f>
        <x:v>1교육실(실습겸용강의실)_243089</x:v>
      </x:c>
      <x:c r="I28" s="14" t="str">
        <x:f>IF(OR(O28="",N28&gt;기본입력!$C$34),"",VLOOKUP(O28,기본입력!$A$9:$F$33,6,FALSE))</x:f>
        <x:v>웹 애플리케이션 개발__3</x:v>
      </x:c>
      <x:c r="J28" s="38" t="str">
        <x:f t="shared" si="2"/>
        <x:v>웹 애플리케이션 개발</x:v>
      </x:c>
      <x:c r="K28" s="38" t="str">
        <x:f t="shared" si="3"/>
        <x:v>1교육실(실습겸용강의실)</x:v>
      </x:c>
      <x:c r="L28" s="38" t="str">
        <x:f t="shared" si="4"/>
        <x:v>양현수</x:v>
      </x:c>
      <x:c r="M28" s="63"/>
      <x:c r="N28" s="30">
        <x:f>IF(F28="2","",COUNTIF($F$3:$F28,"=1"))</x:f>
        <x:v>23</x:v>
      </x:c>
      <x:c r="O28" s="30">
        <x:f t="shared" si="0"/>
        <x:v>1</x:v>
      </x:c>
      <x:c r="P28" s="30">
        <x:f t="shared" si="5"/>
        <x:v>1</x:v>
      </x:c>
      <x:c r="Q28" s="30">
        <x:f>COUNTIF($P$3:P28,"=3")</x:f>
        <x:v>3</x:v>
      </x:c>
      <x:c r="R28" s="29">
        <x:f>WORKDAY(기본입력!$H$2,Q28-1,공휴일)</x:f>
        <x:v>45924</x:v>
      </x:c>
    </x:row>
    <x:row r="29" spans="1:18">
      <x:c r="A29" s="144" t="str">
        <x:f t="shared" si="1"/>
        <x:v>20250924</x:v>
      </x:c>
      <x:c r="B29" s="6" t="s">
        <x:v>5</x:v>
      </x:c>
      <x:c r="C29" s="6">
        <x:v>1740</x:v>
      </x:c>
      <x:c r="D29" s="5" t="s">
        <x:v>1</x:v>
      </x:c>
      <x:c r="E29" s="6">
        <x:v>1640</x:v>
      </x:c>
      <x:c r="F29" s="6" t="s">
        <x:v>40</x:v>
      </x:c>
      <x:c r="G29" s="14" t="str">
        <x:f>IF(OR(N29="",N29&gt;기본입력!$C$34),"",VLOOKUP(O29,기본입력!$A$9:$F$33,5))</x:f>
        <x:v>양현수_53778</x:v>
      </x:c>
      <x:c r="H29" s="14" t="str">
        <x:f>IF(OR(N29="",N29&gt;기본입력!$C$34),"",기본입력!$C$6)</x:f>
        <x:v>1교육실(실습겸용강의실)_243089</x:v>
      </x:c>
      <x:c r="I29" s="14" t="str">
        <x:f>IF(OR(O29="",N29&gt;기본입력!$C$34),"",VLOOKUP(O29,기본입력!$A$9:$F$33,6,FALSE))</x:f>
        <x:v>웹 애플리케이션 개발__3</x:v>
      </x:c>
      <x:c r="J29" s="38" t="str">
        <x:f t="shared" si="2"/>
        <x:v>웹 애플리케이션 개발</x:v>
      </x:c>
      <x:c r="K29" s="38" t="str">
        <x:f t="shared" si="3"/>
        <x:v>1교육실(실습겸용강의실)</x:v>
      </x:c>
      <x:c r="L29" s="38" t="str">
        <x:f t="shared" si="4"/>
        <x:v>양현수</x:v>
      </x:c>
      <x:c r="M29" s="63"/>
      <x:c r="N29" s="30">
        <x:f>IF(F29="2","",COUNTIF($F$3:$F29,"=1"))</x:f>
        <x:v>24</x:v>
      </x:c>
      <x:c r="O29" s="30">
        <x:f t="shared" si="0"/>
        <x:v>1</x:v>
      </x:c>
      <x:c r="P29" s="30">
        <x:f t="shared" si="5"/>
        <x:v>2</x:v>
      </x:c>
      <x:c r="Q29" s="30">
        <x:f>COUNTIF($P$3:P29,"=3")</x:f>
        <x:v>3</x:v>
      </x:c>
      <x:c r="R29" s="29">
        <x:f>WORKDAY(기본입력!$H$2,Q29-1,공휴일)</x:f>
        <x:v>45924</x:v>
      </x:c>
    </x:row>
    <x:row r="30" spans="1:18">
      <x:c r="A30" s="145" t="str">
        <x:f t="shared" si="1"/>
        <x:v>20250925</x:v>
      </x:c>
      <x:c r="B30" s="8" t="s">
        <x:v>5</x:v>
      </x:c>
      <x:c r="C30" s="8">
        <x:v>1740</x:v>
      </x:c>
      <x:c r="D30" s="7" t="s">
        <x:v>1</x:v>
      </x:c>
      <x:c r="E30" s="8" t="s">
        <x:v>5</x:v>
      </x:c>
      <x:c r="F30" s="8" t="s">
        <x:v>40</x:v>
      </x:c>
      <x:c r="G30" s="15" t="str">
        <x:f>IF(OR(N30="",N30&gt;기본입력!$C$34),"",VLOOKUP(O30,기본입력!$A$9:$F$33,5))</x:f>
        <x:v>양현수_53778</x:v>
      </x:c>
      <x:c r="H30" s="15" t="str">
        <x:f>IF(OR(N30="",N30&gt;기본입력!$C$34),"",기본입력!$C$6)</x:f>
        <x:v>1교육실(실습겸용강의실)_243089</x:v>
      </x:c>
      <x:c r="I30" s="15" t="str">
        <x:f>IF(OR(O30="",N30&gt;기본입력!$C$34),"",VLOOKUP(O30,기본입력!$A$9:$F$33,6,FALSE))</x:f>
        <x:v>웹 애플리케이션 개발__3</x:v>
      </x:c>
      <x:c r="J30" s="38" t="str">
        <x:f t="shared" si="2"/>
        <x:v>웹 애플리케이션 개발</x:v>
      </x:c>
      <x:c r="K30" s="38" t="str">
        <x:f t="shared" si="3"/>
        <x:v>1교육실(실습겸용강의실)</x:v>
      </x:c>
      <x:c r="L30" s="38" t="str">
        <x:f t="shared" si="4"/>
        <x:v>양현수</x:v>
      </x:c>
      <x:c r="M30" s="63"/>
      <x:c r="N30" s="30">
        <x:f>IF(F30="2","",COUNTIF($F$3:$F30,"=1"))</x:f>
        <x:v>25</x:v>
      </x:c>
      <x:c r="O30" s="30">
        <x:f t="shared" si="0"/>
        <x:v>1</x:v>
      </x:c>
      <x:c r="P30" s="30">
        <x:f t="shared" si="5"/>
        <x:v>3</x:v>
      </x:c>
      <x:c r="Q30" s="30">
        <x:f>COUNTIF($P$3:P30,"=3")</x:f>
        <x:v>4</x:v>
      </x:c>
      <x:c r="R30" s="29">
        <x:f>WORKDAY(기본입력!$H$2,Q30-1,공휴일)</x:f>
        <x:v>45925</x:v>
      </x:c>
    </x:row>
    <x:row r="31" spans="1:18">
      <x:c r="A31" s="145" t="str">
        <x:f t="shared" si="1"/>
        <x:v>20250925</x:v>
      </x:c>
      <x:c r="B31" s="8" t="s">
        <x:v>5</x:v>
      </x:c>
      <x:c r="C31" s="8">
        <x:v>1740</x:v>
      </x:c>
      <x:c r="D31" s="7" t="s">
        <x:v>1</x:v>
      </x:c>
      <x:c r="E31" s="8" t="s">
        <x:v>117</x:v>
      </x:c>
      <x:c r="F31" s="8" t="s">
        <x:v>40</x:v>
      </x:c>
      <x:c r="G31" s="15" t="str">
        <x:f>IF(OR(N31="",N31&gt;기본입력!$C$34),"",VLOOKUP(O31,기본입력!$A$9:$F$33,5))</x:f>
        <x:v>양현수_53778</x:v>
      </x:c>
      <x:c r="H31" s="15" t="str">
        <x:f>IF(OR(N31="",N31&gt;기본입력!$C$34),"",기본입력!$C$6)</x:f>
        <x:v>1교육실(실습겸용강의실)_243089</x:v>
      </x:c>
      <x:c r="I31" s="15" t="str">
        <x:f>IF(OR(O31="",N31&gt;기본입력!$C$34),"",VLOOKUP(O31,기본입력!$A$9:$F$33,6,FALSE))</x:f>
        <x:v>웹 애플리케이션 개발__3</x:v>
      </x:c>
      <x:c r="J31" s="38" t="str">
        <x:f t="shared" si="2"/>
        <x:v>웹 애플리케이션 개발</x:v>
      </x:c>
      <x:c r="K31" s="38" t="str">
        <x:f t="shared" si="3"/>
        <x:v>1교육실(실습겸용강의실)</x:v>
      </x:c>
      <x:c r="L31" s="38" t="str">
        <x:f t="shared" si="4"/>
        <x:v>양현수</x:v>
      </x:c>
      <x:c r="M31" s="63"/>
      <x:c r="N31" s="30">
        <x:f>IF(F31="2","",COUNTIF($F$3:$F31,"=1"))</x:f>
        <x:v>26</x:v>
      </x:c>
      <x:c r="O31" s="30">
        <x:f t="shared" si="0"/>
        <x:v>1</x:v>
      </x:c>
      <x:c r="P31" s="30">
        <x:f t="shared" si="5"/>
        <x:v>4</x:v>
      </x:c>
      <x:c r="Q31" s="30">
        <x:f>COUNTIF($P$3:P31,"=3")</x:f>
        <x:v>4</x:v>
      </x:c>
      <x:c r="R31" s="29">
        <x:f>WORKDAY(기본입력!$H$2,Q31-1,공휴일)</x:f>
        <x:v>45925</x:v>
      </x:c>
    </x:row>
    <x:row r="32" spans="1:18">
      <x:c r="A32" s="145" t="str">
        <x:f t="shared" si="1"/>
        <x:v>20250925</x:v>
      </x:c>
      <x:c r="B32" s="8" t="s">
        <x:v>5</x:v>
      </x:c>
      <x:c r="C32" s="8">
        <x:v>1740</x:v>
      </x:c>
      <x:c r="D32" s="7" t="s">
        <x:v>1</x:v>
      </x:c>
      <x:c r="E32" s="8" t="s">
        <x:v>87</x:v>
      </x:c>
      <x:c r="F32" s="8" t="s">
        <x:v>40</x:v>
      </x:c>
      <x:c r="G32" s="15" t="str">
        <x:f>IF(OR(N32="",N32&gt;기본입력!$C$34),"",VLOOKUP(O32,기본입력!$A$9:$F$33,5))</x:f>
        <x:v>양현수_53778</x:v>
      </x:c>
      <x:c r="H32" s="15" t="str">
        <x:f>IF(OR(N32="",N32&gt;기본입력!$C$34),"",기본입력!$C$6)</x:f>
        <x:v>1교육실(실습겸용강의실)_243089</x:v>
      </x:c>
      <x:c r="I32" s="15" t="str">
        <x:f>IF(OR(O32="",N32&gt;기본입력!$C$34),"",VLOOKUP(O32,기본입력!$A$9:$F$33,6,FALSE))</x:f>
        <x:v>웹 애플리케이션 개발__3</x:v>
      </x:c>
      <x:c r="J32" s="38" t="str">
        <x:f t="shared" si="2"/>
        <x:v>웹 애플리케이션 개발</x:v>
      </x:c>
      <x:c r="K32" s="38" t="str">
        <x:f t="shared" si="3"/>
        <x:v>1교육실(실습겸용강의실)</x:v>
      </x:c>
      <x:c r="L32" s="38" t="str">
        <x:f t="shared" si="4"/>
        <x:v>양현수</x:v>
      </x:c>
      <x:c r="M32" s="63"/>
      <x:c r="N32" s="30">
        <x:f>IF(F32="2","",COUNTIF($F$3:$F32,"=1"))</x:f>
        <x:v>27</x:v>
      </x:c>
      <x:c r="O32" s="30">
        <x:f t="shared" si="0"/>
        <x:v>1</x:v>
      </x:c>
      <x:c r="P32" s="30">
        <x:f t="shared" si="5"/>
        <x:v>5</x:v>
      </x:c>
      <x:c r="Q32" s="30">
        <x:f>COUNTIF($P$3:P32,"=3")</x:f>
        <x:v>4</x:v>
      </x:c>
      <x:c r="R32" s="29">
        <x:f>WORKDAY(기본입력!$H$2,Q32-1,공휴일)</x:f>
        <x:v>45925</x:v>
      </x:c>
    </x:row>
    <x:row r="33" spans="1:18">
      <x:c r="A33" s="145" t="str">
        <x:f t="shared" si="1"/>
        <x:v>20250925</x:v>
      </x:c>
      <x:c r="B33" s="8" t="s">
        <x:v>5</x:v>
      </x:c>
      <x:c r="C33" s="8">
        <x:v>1740</x:v>
      </x:c>
      <x:c r="D33" s="7" t="s">
        <x:v>1</x:v>
      </x:c>
      <x:c r="E33" s="8" t="s">
        <x:v>88</x:v>
      </x:c>
      <x:c r="F33" s="8" t="s">
        <x:v>40</x:v>
      </x:c>
      <x:c r="G33" s="15" t="str">
        <x:f>IF(OR(N33="",N33&gt;기본입력!$C$34),"",VLOOKUP(O33,기본입력!$A$9:$F$33,5))</x:f>
        <x:v>양현수_53778</x:v>
      </x:c>
      <x:c r="H33" s="15" t="str">
        <x:f>IF(OR(N33="",N33&gt;기본입력!$C$34),"",기본입력!$C$6)</x:f>
        <x:v>1교육실(실습겸용강의실)_243089</x:v>
      </x:c>
      <x:c r="I33" s="15" t="str">
        <x:f>IF(OR(O33="",N33&gt;기본입력!$C$34),"",VLOOKUP(O33,기본입력!$A$9:$F$33,6,FALSE))</x:f>
        <x:v>웹 애플리케이션 개발__3</x:v>
      </x:c>
      <x:c r="J33" s="38" t="str">
        <x:f t="shared" si="2"/>
        <x:v>웹 애플리케이션 개발</x:v>
      </x:c>
      <x:c r="K33" s="38" t="str">
        <x:f t="shared" si="3"/>
        <x:v>1교육실(실습겸용강의실)</x:v>
      </x:c>
      <x:c r="L33" s="38" t="str">
        <x:f t="shared" si="4"/>
        <x:v>양현수</x:v>
      </x:c>
      <x:c r="M33" s="63"/>
      <x:c r="N33" s="30">
        <x:f>IF(F33="2","",COUNTIF($F$3:$F33,"=1"))</x:f>
        <x:v>28</x:v>
      </x:c>
      <x:c r="O33" s="30">
        <x:f t="shared" si="0"/>
        <x:v>1</x:v>
      </x:c>
      <x:c r="P33" s="30">
        <x:f t="shared" si="5"/>
        <x:v>6</x:v>
      </x:c>
      <x:c r="Q33" s="30">
        <x:f>COUNTIF($P$3:P33,"=3")</x:f>
        <x:v>4</x:v>
      </x:c>
      <x:c r="R33" s="29">
        <x:f>WORKDAY(기본입력!$H$2,Q33-1,공휴일)</x:f>
        <x:v>45925</x:v>
      </x:c>
    </x:row>
    <x:row r="34" spans="1:18">
      <x:c r="A34" s="145" t="str">
        <x:f t="shared" si="1"/>
        <x:v>20250925</x:v>
      </x:c>
      <x:c r="B34" s="8" t="s">
        <x:v>5</x:v>
      </x:c>
      <x:c r="C34" s="8">
        <x:v>1740</x:v>
      </x:c>
      <x:c r="D34" s="7" t="s">
        <x:v>1</x:v>
      </x:c>
      <x:c r="E34" s="8" t="s">
        <x:v>0</x:v>
      </x:c>
      <x:c r="F34" s="8" t="s">
        <x:v>41</x:v>
      </x:c>
      <x:c r="G34" s="15" t="str">
        <x:f>IF(OR(N34="",N34&gt;기본입력!$C$34),"",VLOOKUP(O34,기본입력!$A$9:$F$33,5))</x:f>
        <x:v/>
      </x:c>
      <x:c r="H34" s="15" t="str">
        <x:f>IF(OR(N34="",N34&gt;기본입력!$C$34),"",기본입력!$C$6)</x:f>
        <x:v/>
      </x:c>
      <x:c r="I34" s="15" t="str">
        <x:f>IF(OR(O34="",N34&gt;기본입력!$C$34),"",VLOOKUP(O34,기본입력!$A$9:$F$33,6,FALSE))</x:f>
        <x:v/>
      </x:c>
      <x:c r="J34" s="38" t="str">
        <x:f t="shared" si="2"/>
        <x:v/>
      </x:c>
      <x:c r="K34" s="38" t="str">
        <x:f t="shared" si="3"/>
        <x:v/>
      </x:c>
      <x:c r="L34" s="38" t="str">
        <x:f t="shared" si="4"/>
        <x:v/>
      </x:c>
      <x:c r="M34" s="63"/>
      <x:c r="N34" s="30" t="str">
        <x:f>IF(F34="2","",COUNTIF($F$3:$F34,"=1"))</x:f>
        <x:v/>
      </x:c>
      <x:c r="O34" s="30" t="str">
        <x:f t="shared" si="0"/>
        <x:v/>
      </x:c>
      <x:c r="P34" s="30">
        <x:f t="shared" si="5"/>
        <x:v>7</x:v>
      </x:c>
      <x:c r="Q34" s="30">
        <x:f>COUNTIF($P$3:P34,"=3")</x:f>
        <x:v>4</x:v>
      </x:c>
      <x:c r="R34" s="29">
        <x:f>WORKDAY(기본입력!$H$2,Q34-1,공휴일)</x:f>
        <x:v>45925</x:v>
      </x:c>
    </x:row>
    <x:row r="35" spans="1:18">
      <x:c r="A35" s="145" t="str">
        <x:f t="shared" si="1"/>
        <x:v>20250925</x:v>
      </x:c>
      <x:c r="B35" s="8" t="s">
        <x:v>5</x:v>
      </x:c>
      <x:c r="C35" s="8">
        <x:v>1740</x:v>
      </x:c>
      <x:c r="D35" s="7" t="s">
        <x:v>1</x:v>
      </x:c>
      <x:c r="E35" s="8">
        <x:v>1340</x:v>
      </x:c>
      <x:c r="F35" s="8" t="s">
        <x:v>40</x:v>
      </x:c>
      <x:c r="G35" s="15" t="str">
        <x:f>IF(OR(N35="",N35&gt;기본입력!$C$34),"",VLOOKUP(O35,기본입력!$A$9:$F$33,5))</x:f>
        <x:v>양현수_53778</x:v>
      </x:c>
      <x:c r="H35" s="15" t="str">
        <x:f>IF(OR(N35="",N35&gt;기본입력!$C$34),"",기본입력!$C$6)</x:f>
        <x:v>1교육실(실습겸용강의실)_243089</x:v>
      </x:c>
      <x:c r="I35" s="15" t="str">
        <x:f>IF(OR(O35="",N35&gt;기본입력!$C$34),"",VLOOKUP(O35,기본입력!$A$9:$F$33,6,FALSE))</x:f>
        <x:v>웹 애플리케이션 개발__3</x:v>
      </x:c>
      <x:c r="J35" s="38" t="str">
        <x:f t="shared" si="2"/>
        <x:v>웹 애플리케이션 개발</x:v>
      </x:c>
      <x:c r="K35" s="38" t="str">
        <x:f t="shared" si="3"/>
        <x:v>1교육실(실습겸용강의실)</x:v>
      </x:c>
      <x:c r="L35" s="38" t="str">
        <x:f t="shared" si="4"/>
        <x:v>양현수</x:v>
      </x:c>
      <x:c r="M35" s="63"/>
      <x:c r="N35" s="30">
        <x:f>IF(F35="2","",COUNTIF($F$3:$F35,"=1"))</x:f>
        <x:v>29</x:v>
      </x:c>
      <x:c r="O35" s="30">
        <x:f t="shared" si="0"/>
        <x:v>1</x:v>
      </x:c>
      <x:c r="P35" s="30">
        <x:f t="shared" si="5"/>
        <x:v>8</x:v>
      </x:c>
      <x:c r="Q35" s="30">
        <x:f>COUNTIF($P$3:P35,"=3")</x:f>
        <x:v>4</x:v>
      </x:c>
      <x:c r="R35" s="29">
        <x:f>WORKDAY(기본입력!$H$2,Q35-1,공휴일)</x:f>
        <x:v>45925</x:v>
      </x:c>
    </x:row>
    <x:row r="36" spans="1:18">
      <x:c r="A36" s="145" t="str">
        <x:f t="shared" si="1"/>
        <x:v>20250925</x:v>
      </x:c>
      <x:c r="B36" s="8" t="s">
        <x:v>5</x:v>
      </x:c>
      <x:c r="C36" s="8">
        <x:v>1740</x:v>
      </x:c>
      <x:c r="D36" s="7" t="s">
        <x:v>1</x:v>
      </x:c>
      <x:c r="E36" s="8">
        <x:v>1440</x:v>
      </x:c>
      <x:c r="F36" s="8" t="s">
        <x:v>40</x:v>
      </x:c>
      <x:c r="G36" s="15" t="str">
        <x:f>IF(OR(N36="",N36&gt;기본입력!$C$34),"",VLOOKUP(O36,기본입력!$A$9:$F$33,5))</x:f>
        <x:v>양현수_53778</x:v>
      </x:c>
      <x:c r="H36" s="15" t="str">
        <x:f>IF(OR(N36="",N36&gt;기본입력!$C$34),"",기본입력!$C$6)</x:f>
        <x:v>1교육실(실습겸용강의실)_243089</x:v>
      </x:c>
      <x:c r="I36" s="15" t="str">
        <x:f>IF(OR(O36="",N36&gt;기본입력!$C$34),"",VLOOKUP(O36,기본입력!$A$9:$F$33,6,FALSE))</x:f>
        <x:v>웹 애플리케이션 개발__3</x:v>
      </x:c>
      <x:c r="J36" s="38" t="str">
        <x:f t="shared" si="2"/>
        <x:v>웹 애플리케이션 개발</x:v>
      </x:c>
      <x:c r="K36" s="38" t="str">
        <x:f t="shared" si="3"/>
        <x:v>1교육실(실습겸용강의실)</x:v>
      </x:c>
      <x:c r="L36" s="38" t="str">
        <x:f t="shared" si="4"/>
        <x:v>양현수</x:v>
      </x:c>
      <x:c r="M36" s="63"/>
      <x:c r="N36" s="30">
        <x:f>IF(F36="2","",COUNTIF($F$3:$F36,"=1"))</x:f>
        <x:v>30</x:v>
      </x:c>
      <x:c r="O36" s="30">
        <x:f t="shared" si="0"/>
        <x:v>1</x:v>
      </x:c>
      <x:c r="P36" s="30">
        <x:f t="shared" si="5"/>
        <x:v>0</x:v>
      </x:c>
      <x:c r="Q36" s="30">
        <x:f>COUNTIF($P$3:P36,"=3")</x:f>
        <x:v>4</x:v>
      </x:c>
      <x:c r="R36" s="29">
        <x:f>WORKDAY(기본입력!$H$2,Q36-1,공휴일)</x:f>
        <x:v>45925</x:v>
      </x:c>
    </x:row>
    <x:row r="37" spans="1:18">
      <x:c r="A37" s="145" t="str">
        <x:f t="shared" si="1"/>
        <x:v>20250925</x:v>
      </x:c>
      <x:c r="B37" s="8" t="s">
        <x:v>5</x:v>
      </x:c>
      <x:c r="C37" s="8">
        <x:v>1740</x:v>
      </x:c>
      <x:c r="D37" s="7" t="s">
        <x:v>1</x:v>
      </x:c>
      <x:c r="E37" s="8">
        <x:v>1540</x:v>
      </x:c>
      <x:c r="F37" s="8" t="s">
        <x:v>40</x:v>
      </x:c>
      <x:c r="G37" s="15" t="str">
        <x:f>IF(OR(N37="",N37&gt;기본입력!$C$34),"",VLOOKUP(O37,기본입력!$A$9:$F$33,5))</x:f>
        <x:v>양현수_53778</x:v>
      </x:c>
      <x:c r="H37" s="15" t="str">
        <x:f>IF(OR(N37="",N37&gt;기본입력!$C$34),"",기본입력!$C$6)</x:f>
        <x:v>1교육실(실습겸용강의실)_243089</x:v>
      </x:c>
      <x:c r="I37" s="15" t="str">
        <x:f>IF(OR(O37="",N37&gt;기본입력!$C$34),"",VLOOKUP(O37,기본입력!$A$9:$F$33,6,FALSE))</x:f>
        <x:v>웹 애플리케이션 개발__3</x:v>
      </x:c>
      <x:c r="J37" s="38" t="str">
        <x:f t="shared" si="2"/>
        <x:v>웹 애플리케이션 개발</x:v>
      </x:c>
      <x:c r="K37" s="38" t="str">
        <x:f t="shared" si="3"/>
        <x:v>1교육실(실습겸용강의실)</x:v>
      </x:c>
      <x:c r="L37" s="38" t="str">
        <x:f t="shared" si="4"/>
        <x:v>양현수</x:v>
      </x:c>
      <x:c r="M37" s="63"/>
      <x:c r="N37" s="30">
        <x:f>IF(F37="2","",COUNTIF($F$3:$F37,"=1"))</x:f>
        <x:v>31</x:v>
      </x:c>
      <x:c r="O37" s="30">
        <x:f t="shared" si="0"/>
        <x:v>1</x:v>
      </x:c>
      <x:c r="P37" s="30">
        <x:f t="shared" si="5"/>
        <x:v>1</x:v>
      </x:c>
      <x:c r="Q37" s="30">
        <x:f>COUNTIF($P$3:P37,"=3")</x:f>
        <x:v>4</x:v>
      </x:c>
      <x:c r="R37" s="29">
        <x:f>WORKDAY(기본입력!$H$2,Q37-1,공휴일)</x:f>
        <x:v>45925</x:v>
      </x:c>
    </x:row>
    <x:row r="38" spans="1:18">
      <x:c r="A38" s="145" t="str">
        <x:f t="shared" si="1"/>
        <x:v>20250925</x:v>
      </x:c>
      <x:c r="B38" s="8" t="s">
        <x:v>5</x:v>
      </x:c>
      <x:c r="C38" s="8">
        <x:v>1740</x:v>
      </x:c>
      <x:c r="D38" s="7" t="s">
        <x:v>1</x:v>
      </x:c>
      <x:c r="E38" s="8">
        <x:v>1640</x:v>
      </x:c>
      <x:c r="F38" s="8" t="s">
        <x:v>40</x:v>
      </x:c>
      <x:c r="G38" s="15" t="str">
        <x:f>IF(OR(N38="",N38&gt;기본입력!$C$34),"",VLOOKUP(O38,기본입력!$A$9:$F$33,5))</x:f>
        <x:v>양현수_53778</x:v>
      </x:c>
      <x:c r="H38" s="15" t="str">
        <x:f>IF(OR(N38="",N38&gt;기본입력!$C$34),"",기본입력!$C$6)</x:f>
        <x:v>1교육실(실습겸용강의실)_243089</x:v>
      </x:c>
      <x:c r="I38" s="15" t="str">
        <x:f>IF(OR(O38="",N38&gt;기본입력!$C$34),"",VLOOKUP(O38,기본입력!$A$9:$F$33,6,FALSE))</x:f>
        <x:v>웹 애플리케이션 개발__3</x:v>
      </x:c>
      <x:c r="J38" s="38" t="str">
        <x:f t="shared" si="2"/>
        <x:v>웹 애플리케이션 개발</x:v>
      </x:c>
      <x:c r="K38" s="38" t="str">
        <x:f t="shared" si="3"/>
        <x:v>1교육실(실습겸용강의실)</x:v>
      </x:c>
      <x:c r="L38" s="38" t="str">
        <x:f t="shared" si="4"/>
        <x:v>양현수</x:v>
      </x:c>
      <x:c r="M38" s="63"/>
      <x:c r="N38" s="30">
        <x:f>IF(F38="2","",COUNTIF($F$3:$F38,"=1"))</x:f>
        <x:v>32</x:v>
      </x:c>
      <x:c r="O38" s="30">
        <x:f t="shared" si="0"/>
        <x:v>1</x:v>
      </x:c>
      <x:c r="P38" s="30">
        <x:f t="shared" si="5"/>
        <x:v>2</x:v>
      </x:c>
      <x:c r="Q38" s="30">
        <x:f>COUNTIF($P$3:P38,"=3")</x:f>
        <x:v>4</x:v>
      </x:c>
      <x:c r="R38" s="29">
        <x:f>WORKDAY(기본입력!$H$2,Q38-1,공휴일)</x:f>
        <x:v>45925</x:v>
      </x:c>
    </x:row>
    <x:row r="39" spans="1:18">
      <x:c r="A39" s="144" t="str">
        <x:f t="shared" si="1"/>
        <x:v>20250926</x:v>
      </x:c>
      <x:c r="B39" s="6" t="s">
        <x:v>5</x:v>
      </x:c>
      <x:c r="C39" s="6">
        <x:v>1740</x:v>
      </x:c>
      <x:c r="D39" s="5" t="s">
        <x:v>1</x:v>
      </x:c>
      <x:c r="E39" s="6" t="s">
        <x:v>5</x:v>
      </x:c>
      <x:c r="F39" s="6" t="s">
        <x:v>40</x:v>
      </x:c>
      <x:c r="G39" s="14" t="str">
        <x:f>IF(OR(N39="",N39&gt;기본입력!$C$34),"",VLOOKUP(O39,기본입력!$A$9:$F$33,5))</x:f>
        <x:v>양현수_53778</x:v>
      </x:c>
      <x:c r="H39" s="14" t="str">
        <x:f>IF(OR(N39="",N39&gt;기본입력!$C$34),"",기본입력!$C$6)</x:f>
        <x:v>1교육실(실습겸용강의실)_243089</x:v>
      </x:c>
      <x:c r="I39" s="14" t="str">
        <x:f>IF(OR(O39="",N39&gt;기본입력!$C$34),"",VLOOKUP(O39,기본입력!$A$9:$F$33,6,FALSE))</x:f>
        <x:v>웹 애플리케이션 개발__3</x:v>
      </x:c>
      <x:c r="J39" s="38" t="str">
        <x:f t="shared" si="2"/>
        <x:v>웹 애플리케이션 개발</x:v>
      </x:c>
      <x:c r="K39" s="38" t="str">
        <x:f t="shared" si="3"/>
        <x:v>1교육실(실습겸용강의실)</x:v>
      </x:c>
      <x:c r="L39" s="38" t="str">
        <x:f t="shared" si="4"/>
        <x:v>양현수</x:v>
      </x:c>
      <x:c r="M39" s="63"/>
      <x:c r="N39" s="30">
        <x:f>IF(F39="2","",COUNTIF($F$3:$F39,"=1"))</x:f>
        <x:v>33</x:v>
      </x:c>
      <x:c r="O39" s="30">
        <x:f t="shared" si="0"/>
        <x:v>1</x:v>
      </x:c>
      <x:c r="P39" s="30">
        <x:f t="shared" si="5"/>
        <x:v>3</x:v>
      </x:c>
      <x:c r="Q39" s="30">
        <x:f>COUNTIF($P$3:P39,"=3")</x:f>
        <x:v>5</x:v>
      </x:c>
      <x:c r="R39" s="29">
        <x:f>WORKDAY(기본입력!$H$2,Q39-1,공휴일)</x:f>
        <x:v>45926</x:v>
      </x:c>
    </x:row>
    <x:row r="40" spans="1:18">
      <x:c r="A40" s="144" t="str">
        <x:f t="shared" si="1"/>
        <x:v>20250926</x:v>
      </x:c>
      <x:c r="B40" s="6" t="s">
        <x:v>5</x:v>
      </x:c>
      <x:c r="C40" s="6">
        <x:v>1740</x:v>
      </x:c>
      <x:c r="D40" s="5" t="s">
        <x:v>1</x:v>
      </x:c>
      <x:c r="E40" s="6" t="s">
        <x:v>117</x:v>
      </x:c>
      <x:c r="F40" s="6" t="s">
        <x:v>40</x:v>
      </x:c>
      <x:c r="G40" s="14" t="str">
        <x:f>IF(OR(N40="",N40&gt;기본입력!$C$34),"",VLOOKUP(O40,기본입력!$A$9:$F$33,5))</x:f>
        <x:v>양현수_53778</x:v>
      </x:c>
      <x:c r="H40" s="14" t="str">
        <x:f>IF(OR(N40="",N40&gt;기본입력!$C$34),"",기본입력!$C$6)</x:f>
        <x:v>1교육실(실습겸용강의실)_243089</x:v>
      </x:c>
      <x:c r="I40" s="14" t="str">
        <x:f>IF(OR(O40="",N40&gt;기본입력!$C$34),"",VLOOKUP(O40,기본입력!$A$9:$F$33,6,FALSE))</x:f>
        <x:v>웹 애플리케이션 개발__3</x:v>
      </x:c>
      <x:c r="J40" s="38" t="str">
        <x:f t="shared" si="2"/>
        <x:v>웹 애플리케이션 개발</x:v>
      </x:c>
      <x:c r="K40" s="38" t="str">
        <x:f t="shared" si="3"/>
        <x:v>1교육실(실습겸용강의실)</x:v>
      </x:c>
      <x:c r="L40" s="38" t="str">
        <x:f t="shared" si="4"/>
        <x:v>양현수</x:v>
      </x:c>
      <x:c r="M40" s="63"/>
      <x:c r="N40" s="30">
        <x:f>IF(F40="2","",COUNTIF($F$3:$F40,"=1"))</x:f>
        <x:v>34</x:v>
      </x:c>
      <x:c r="O40" s="30">
        <x:f t="shared" si="0"/>
        <x:v>1</x:v>
      </x:c>
      <x:c r="P40" s="30">
        <x:f t="shared" si="5"/>
        <x:v>4</x:v>
      </x:c>
      <x:c r="Q40" s="30">
        <x:f>COUNTIF($P$3:P40,"=3")</x:f>
        <x:v>5</x:v>
      </x:c>
      <x:c r="R40" s="29">
        <x:f>WORKDAY(기본입력!$H$2,Q40-1,공휴일)</x:f>
        <x:v>45926</x:v>
      </x:c>
    </x:row>
    <x:row r="41" spans="1:18">
      <x:c r="A41" s="144" t="str">
        <x:f t="shared" si="1"/>
        <x:v>20250926</x:v>
      </x:c>
      <x:c r="B41" s="6" t="s">
        <x:v>5</x:v>
      </x:c>
      <x:c r="C41" s="6">
        <x:v>1740</x:v>
      </x:c>
      <x:c r="D41" s="5" t="s">
        <x:v>1</x:v>
      </x:c>
      <x:c r="E41" s="6" t="s">
        <x:v>87</x:v>
      </x:c>
      <x:c r="F41" s="6" t="s">
        <x:v>40</x:v>
      </x:c>
      <x:c r="G41" s="14" t="str">
        <x:f>IF(OR(N41="",N41&gt;기본입력!$C$34),"",VLOOKUP(O41,기본입력!$A$9:$F$33,5))</x:f>
        <x:v>양현수_53778</x:v>
      </x:c>
      <x:c r="H41" s="14" t="str">
        <x:f>IF(OR(N41="",N41&gt;기본입력!$C$34),"",기본입력!$C$6)</x:f>
        <x:v>1교육실(실습겸용강의실)_243089</x:v>
      </x:c>
      <x:c r="I41" s="14" t="str">
        <x:f>IF(OR(O41="",N41&gt;기본입력!$C$34),"",VLOOKUP(O41,기본입력!$A$9:$F$33,6,FALSE))</x:f>
        <x:v>웹 애플리케이션 개발__3</x:v>
      </x:c>
      <x:c r="J41" s="38" t="str">
        <x:f t="shared" si="2"/>
        <x:v>웹 애플리케이션 개발</x:v>
      </x:c>
      <x:c r="K41" s="38" t="str">
        <x:f t="shared" si="3"/>
        <x:v>1교육실(실습겸용강의실)</x:v>
      </x:c>
      <x:c r="L41" s="38" t="str">
        <x:f t="shared" si="4"/>
        <x:v>양현수</x:v>
      </x:c>
      <x:c r="M41" s="63"/>
      <x:c r="N41" s="30">
        <x:f>IF(F41="2","",COUNTIF($F$3:$F41,"=1"))</x:f>
        <x:v>35</x:v>
      </x:c>
      <x:c r="O41" s="30">
        <x:f t="shared" si="0"/>
        <x:v>1</x:v>
      </x:c>
      <x:c r="P41" s="30">
        <x:f t="shared" si="5"/>
        <x:v>5</x:v>
      </x:c>
      <x:c r="Q41" s="30">
        <x:f>COUNTIF($P$3:P41,"=3")</x:f>
        <x:v>5</x:v>
      </x:c>
      <x:c r="R41" s="29">
        <x:f>WORKDAY(기본입력!$H$2,Q41-1,공휴일)</x:f>
        <x:v>45926</x:v>
      </x:c>
    </x:row>
    <x:row r="42" spans="1:18">
      <x:c r="A42" s="144" t="str">
        <x:f t="shared" si="1"/>
        <x:v>20250926</x:v>
      </x:c>
      <x:c r="B42" s="6" t="s">
        <x:v>5</x:v>
      </x:c>
      <x:c r="C42" s="6">
        <x:v>1740</x:v>
      </x:c>
      <x:c r="D42" s="5" t="s">
        <x:v>1</x:v>
      </x:c>
      <x:c r="E42" s="6" t="s">
        <x:v>88</x:v>
      </x:c>
      <x:c r="F42" s="6" t="s">
        <x:v>40</x:v>
      </x:c>
      <x:c r="G42" s="14" t="str">
        <x:f>IF(OR(N42="",N42&gt;기본입력!$C$34),"",VLOOKUP(O42,기본입력!$A$9:$F$33,5))</x:f>
        <x:v>양현수_53778</x:v>
      </x:c>
      <x:c r="H42" s="14" t="str">
        <x:f>IF(OR(N42="",N42&gt;기본입력!$C$34),"",기본입력!$C$6)</x:f>
        <x:v>1교육실(실습겸용강의실)_243089</x:v>
      </x:c>
      <x:c r="I42" s="14" t="str">
        <x:f>IF(OR(O42="",N42&gt;기본입력!$C$34),"",VLOOKUP(O42,기본입력!$A$9:$F$33,6,FALSE))</x:f>
        <x:v>웹 애플리케이션 개발__3</x:v>
      </x:c>
      <x:c r="J42" s="38" t="str">
        <x:f t="shared" si="2"/>
        <x:v>웹 애플리케이션 개발</x:v>
      </x:c>
      <x:c r="K42" s="38" t="str">
        <x:f t="shared" si="3"/>
        <x:v>1교육실(실습겸용강의실)</x:v>
      </x:c>
      <x:c r="L42" s="38" t="str">
        <x:f t="shared" si="4"/>
        <x:v>양현수</x:v>
      </x:c>
      <x:c r="M42" s="63"/>
      <x:c r="N42" s="30">
        <x:f>IF(F42="2","",COUNTIF($F$3:$F42,"=1"))</x:f>
        <x:v>36</x:v>
      </x:c>
      <x:c r="O42" s="30">
        <x:f t="shared" si="0"/>
        <x:v>1</x:v>
      </x:c>
      <x:c r="P42" s="30">
        <x:f t="shared" si="5"/>
        <x:v>6</x:v>
      </x:c>
      <x:c r="Q42" s="30">
        <x:f>COUNTIF($P$3:P42,"=3")</x:f>
        <x:v>5</x:v>
      </x:c>
      <x:c r="R42" s="29">
        <x:f>WORKDAY(기본입력!$H$2,Q42-1,공휴일)</x:f>
        <x:v>45926</x:v>
      </x:c>
    </x:row>
    <x:row r="43" spans="1:18">
      <x:c r="A43" s="144" t="str">
        <x:f t="shared" si="1"/>
        <x:v>20250926</x:v>
      </x:c>
      <x:c r="B43" s="6" t="s">
        <x:v>5</x:v>
      </x:c>
      <x:c r="C43" s="6">
        <x:v>1740</x:v>
      </x:c>
      <x:c r="D43" s="5" t="s">
        <x:v>1</x:v>
      </x:c>
      <x:c r="E43" s="6" t="s">
        <x:v>0</x:v>
      </x:c>
      <x:c r="F43" s="6" t="s">
        <x:v>41</x:v>
      </x:c>
      <x:c r="G43" s="14" t="str">
        <x:f>IF(OR(N43="",N43&gt;기본입력!$C$34),"",VLOOKUP(O43,기본입력!$A$9:$F$33,5))</x:f>
        <x:v/>
      </x:c>
      <x:c r="H43" s="14" t="str">
        <x:f>IF(OR(N43="",N43&gt;기본입력!$C$34),"",기본입력!$C$6)</x:f>
        <x:v/>
      </x:c>
      <x:c r="I43" s="14" t="str">
        <x:f>IF(OR(O43="",N43&gt;기본입력!$C$34),"",VLOOKUP(O43,기본입력!$A$9:$F$33,6,FALSE))</x:f>
        <x:v/>
      </x:c>
      <x:c r="J43" s="38" t="str">
        <x:f t="shared" si="2"/>
        <x:v/>
      </x:c>
      <x:c r="K43" s="38" t="str">
        <x:f t="shared" si="3"/>
        <x:v/>
      </x:c>
      <x:c r="L43" s="38" t="str">
        <x:f t="shared" si="4"/>
        <x:v/>
      </x:c>
      <x:c r="M43" s="63"/>
      <x:c r="N43" s="30" t="str">
        <x:f>IF(F43="2","",COUNTIF($F$3:$F43,"=1"))</x:f>
        <x:v/>
      </x:c>
      <x:c r="O43" s="30" t="str">
        <x:f t="shared" si="0"/>
        <x:v/>
      </x:c>
      <x:c r="P43" s="30">
        <x:f t="shared" si="5"/>
        <x:v>7</x:v>
      </x:c>
      <x:c r="Q43" s="30">
        <x:f>COUNTIF($P$3:P43,"=3")</x:f>
        <x:v>5</x:v>
      </x:c>
      <x:c r="R43" s="29">
        <x:f>WORKDAY(기본입력!$H$2,Q43-1,공휴일)</x:f>
        <x:v>45926</x:v>
      </x:c>
    </x:row>
    <x:row r="44" spans="1:18">
      <x:c r="A44" s="144" t="str">
        <x:f t="shared" si="1"/>
        <x:v>20250926</x:v>
      </x:c>
      <x:c r="B44" s="6" t="s">
        <x:v>5</x:v>
      </x:c>
      <x:c r="C44" s="6">
        <x:v>1740</x:v>
      </x:c>
      <x:c r="D44" s="5" t="s">
        <x:v>1</x:v>
      </x:c>
      <x:c r="E44" s="6">
        <x:v>1340</x:v>
      </x:c>
      <x:c r="F44" s="6" t="s">
        <x:v>40</x:v>
      </x:c>
      <x:c r="G44" s="14" t="str">
        <x:f>IF(OR(N44="",N44&gt;기본입력!$C$34),"",VLOOKUP(O44,기본입력!$A$9:$F$33,5))</x:f>
        <x:v>양현수_53778</x:v>
      </x:c>
      <x:c r="H44" s="14" t="str">
        <x:f>IF(OR(N44="",N44&gt;기본입력!$C$34),"",기본입력!$C$6)</x:f>
        <x:v>1교육실(실습겸용강의실)_243089</x:v>
      </x:c>
      <x:c r="I44" s="14" t="str">
        <x:f>IF(OR(O44="",N44&gt;기본입력!$C$34),"",VLOOKUP(O44,기본입력!$A$9:$F$33,6,FALSE))</x:f>
        <x:v>웹 애플리케이션 개발__3</x:v>
      </x:c>
      <x:c r="J44" s="38" t="str">
        <x:f t="shared" si="2"/>
        <x:v>웹 애플리케이션 개발</x:v>
      </x:c>
      <x:c r="K44" s="38" t="str">
        <x:f t="shared" si="3"/>
        <x:v>1교육실(실습겸용강의실)</x:v>
      </x:c>
      <x:c r="L44" s="38" t="str">
        <x:f t="shared" si="4"/>
        <x:v>양현수</x:v>
      </x:c>
      <x:c r="M44" s="63"/>
      <x:c r="N44" s="30">
        <x:f>IF(F44="2","",COUNTIF($F$3:$F44,"=1"))</x:f>
        <x:v>37</x:v>
      </x:c>
      <x:c r="O44" s="30">
        <x:f t="shared" si="0"/>
        <x:v>1</x:v>
      </x:c>
      <x:c r="P44" s="30">
        <x:f t="shared" si="5"/>
        <x:v>8</x:v>
      </x:c>
      <x:c r="Q44" s="30">
        <x:f>COUNTIF($P$3:P44,"=3")</x:f>
        <x:v>5</x:v>
      </x:c>
      <x:c r="R44" s="29">
        <x:f>WORKDAY(기본입력!$H$2,Q44-1,공휴일)</x:f>
        <x:v>45926</x:v>
      </x:c>
    </x:row>
    <x:row r="45" spans="1:18">
      <x:c r="A45" s="144" t="str">
        <x:f t="shared" si="1"/>
        <x:v>20250926</x:v>
      </x:c>
      <x:c r="B45" s="6" t="s">
        <x:v>5</x:v>
      </x:c>
      <x:c r="C45" s="6">
        <x:v>1740</x:v>
      </x:c>
      <x:c r="D45" s="5" t="s">
        <x:v>1</x:v>
      </x:c>
      <x:c r="E45" s="6">
        <x:v>1440</x:v>
      </x:c>
      <x:c r="F45" s="6" t="s">
        <x:v>40</x:v>
      </x:c>
      <x:c r="G45" s="14" t="str">
        <x:f>IF(OR(N45="",N45&gt;기본입력!$C$34),"",VLOOKUP(O45,기본입력!$A$9:$F$33,5))</x:f>
        <x:v>양현수_53778</x:v>
      </x:c>
      <x:c r="H45" s="14" t="str">
        <x:f>IF(OR(N45="",N45&gt;기본입력!$C$34),"",기본입력!$C$6)</x:f>
        <x:v>1교육실(실습겸용강의실)_243089</x:v>
      </x:c>
      <x:c r="I45" s="14" t="str">
        <x:f>IF(OR(O45="",N45&gt;기본입력!$C$34),"",VLOOKUP(O45,기본입력!$A$9:$F$33,6,FALSE))</x:f>
        <x:v>웹 애플리케이션 개발__3</x:v>
      </x:c>
      <x:c r="J45" s="38" t="str">
        <x:f t="shared" si="2"/>
        <x:v>웹 애플리케이션 개발</x:v>
      </x:c>
      <x:c r="K45" s="38" t="str">
        <x:f t="shared" si="3"/>
        <x:v>1교육실(실습겸용강의실)</x:v>
      </x:c>
      <x:c r="L45" s="38" t="str">
        <x:f t="shared" si="4"/>
        <x:v>양현수</x:v>
      </x:c>
      <x:c r="M45" s="63"/>
      <x:c r="N45" s="30">
        <x:f>IF(F45="2","",COUNTIF($F$3:$F45,"=1"))</x:f>
        <x:v>38</x:v>
      </x:c>
      <x:c r="O45" s="30">
        <x:f t="shared" si="0"/>
        <x:v>1</x:v>
      </x:c>
      <x:c r="P45" s="30">
        <x:f t="shared" si="5"/>
        <x:v>0</x:v>
      </x:c>
      <x:c r="Q45" s="30">
        <x:f>COUNTIF($P$3:P45,"=3")</x:f>
        <x:v>5</x:v>
      </x:c>
      <x:c r="R45" s="29">
        <x:f>WORKDAY(기본입력!$H$2,Q45-1,공휴일)</x:f>
        <x:v>45926</x:v>
      </x:c>
    </x:row>
    <x:row r="46" spans="1:18">
      <x:c r="A46" s="144" t="str">
        <x:f t="shared" si="1"/>
        <x:v>20250926</x:v>
      </x:c>
      <x:c r="B46" s="6" t="s">
        <x:v>5</x:v>
      </x:c>
      <x:c r="C46" s="6">
        <x:v>1740</x:v>
      </x:c>
      <x:c r="D46" s="5" t="s">
        <x:v>1</x:v>
      </x:c>
      <x:c r="E46" s="6">
        <x:v>1540</x:v>
      </x:c>
      <x:c r="F46" s="6" t="s">
        <x:v>40</x:v>
      </x:c>
      <x:c r="G46" s="14" t="str">
        <x:f>IF(OR(N46="",N46&gt;기본입력!$C$34),"",VLOOKUP(O46,기본입력!$A$9:$F$33,5))</x:f>
        <x:v>양현수_53778</x:v>
      </x:c>
      <x:c r="H46" s="14" t="str">
        <x:f>IF(OR(N46="",N46&gt;기본입력!$C$34),"",기본입력!$C$6)</x:f>
        <x:v>1교육실(실습겸용강의실)_243089</x:v>
      </x:c>
      <x:c r="I46" s="14" t="str">
        <x:f>IF(OR(O46="",N46&gt;기본입력!$C$34),"",VLOOKUP(O46,기본입력!$A$9:$F$33,6,FALSE))</x:f>
        <x:v>웹 애플리케이션 개발__3</x:v>
      </x:c>
      <x:c r="J46" s="38" t="str">
        <x:f t="shared" si="2"/>
        <x:v>웹 애플리케이션 개발</x:v>
      </x:c>
      <x:c r="K46" s="38" t="str">
        <x:f t="shared" si="3"/>
        <x:v>1교육실(실습겸용강의실)</x:v>
      </x:c>
      <x:c r="L46" s="38" t="str">
        <x:f t="shared" si="4"/>
        <x:v>양현수</x:v>
      </x:c>
      <x:c r="M46" s="63"/>
      <x:c r="N46" s="30">
        <x:f>IF(F46="2","",COUNTIF($F$3:$F46,"=1"))</x:f>
        <x:v>39</x:v>
      </x:c>
      <x:c r="O46" s="30">
        <x:f t="shared" si="0"/>
        <x:v>1</x:v>
      </x:c>
      <x:c r="P46" s="30">
        <x:f t="shared" si="5"/>
        <x:v>1</x:v>
      </x:c>
      <x:c r="Q46" s="30">
        <x:f>COUNTIF($P$3:P46,"=3")</x:f>
        <x:v>5</x:v>
      </x:c>
      <x:c r="R46" s="29">
        <x:f>WORKDAY(기본입력!$H$2,Q46-1,공휴일)</x:f>
        <x:v>45926</x:v>
      </x:c>
    </x:row>
    <x:row r="47" spans="1:18">
      <x:c r="A47" s="144" t="str">
        <x:f t="shared" si="1"/>
        <x:v>20250926</x:v>
      </x:c>
      <x:c r="B47" s="6" t="s">
        <x:v>5</x:v>
      </x:c>
      <x:c r="C47" s="6">
        <x:v>1740</x:v>
      </x:c>
      <x:c r="D47" s="5" t="s">
        <x:v>1</x:v>
      </x:c>
      <x:c r="E47" s="6">
        <x:v>1640</x:v>
      </x:c>
      <x:c r="F47" s="6" t="s">
        <x:v>40</x:v>
      </x:c>
      <x:c r="G47" s="14" t="str">
        <x:f>IF(OR(N47="",N47&gt;기본입력!$C$34),"",VLOOKUP(O47,기본입력!$A$9:$F$33,5))</x:f>
        <x:v>양현수_53778</x:v>
      </x:c>
      <x:c r="H47" s="14" t="str">
        <x:f>IF(OR(N47="",N47&gt;기본입력!$C$34),"",기본입력!$C$6)</x:f>
        <x:v>1교육실(실습겸용강의실)_243089</x:v>
      </x:c>
      <x:c r="I47" s="14" t="str">
        <x:f>IF(OR(O47="",N47&gt;기본입력!$C$34),"",VLOOKUP(O47,기본입력!$A$9:$F$33,6,FALSE))</x:f>
        <x:v>웹 애플리케이션 개발__3</x:v>
      </x:c>
      <x:c r="J47" s="38" t="str">
        <x:f t="shared" si="2"/>
        <x:v>웹 애플리케이션 개발</x:v>
      </x:c>
      <x:c r="K47" s="38" t="str">
        <x:f t="shared" si="3"/>
        <x:v>1교육실(실습겸용강의실)</x:v>
      </x:c>
      <x:c r="L47" s="38" t="str">
        <x:f t="shared" si="4"/>
        <x:v>양현수</x:v>
      </x:c>
      <x:c r="M47" s="63"/>
      <x:c r="N47" s="30">
        <x:f>IF(F47="2","",COUNTIF($F$3:$F47,"=1"))</x:f>
        <x:v>40</x:v>
      </x:c>
      <x:c r="O47" s="30">
        <x:f t="shared" si="0"/>
        <x:v>1</x:v>
      </x:c>
      <x:c r="P47" s="30">
        <x:f t="shared" si="5"/>
        <x:v>2</x:v>
      </x:c>
      <x:c r="Q47" s="30">
        <x:f>COUNTIF($P$3:P47,"=3")</x:f>
        <x:v>5</x:v>
      </x:c>
      <x:c r="R47" s="29">
        <x:f>WORKDAY(기본입력!$H$2,Q47-1,공휴일)</x:f>
        <x:v>45926</x:v>
      </x:c>
    </x:row>
    <x:row r="48" spans="1:18">
      <x:c r="A48" s="145" t="str">
        <x:f t="shared" si="1"/>
        <x:v>20250929</x:v>
      </x:c>
      <x:c r="B48" s="8" t="s">
        <x:v>5</x:v>
      </x:c>
      <x:c r="C48" s="8">
        <x:v>1740</x:v>
      </x:c>
      <x:c r="D48" s="7" t="s">
        <x:v>1</x:v>
      </x:c>
      <x:c r="E48" s="8" t="s">
        <x:v>5</x:v>
      </x:c>
      <x:c r="F48" s="8" t="s">
        <x:v>40</x:v>
      </x:c>
      <x:c r="G48" s="15" t="str">
        <x:f>IF(OR(N48="",N48&gt;기본입력!$C$34),"",VLOOKUP(O48,기본입력!$A$9:$F$33,5))</x:f>
        <x:v>양현수_53778</x:v>
      </x:c>
      <x:c r="H48" s="15" t="str">
        <x:f>IF(OR(N48="",N48&gt;기본입력!$C$34),"",기본입력!$C$6)</x:f>
        <x:v>1교육실(실습겸용강의실)_243089</x:v>
      </x:c>
      <x:c r="I48" s="15" t="str">
        <x:f>IF(OR(O48="",N48&gt;기본입력!$C$34),"",VLOOKUP(O48,기본입력!$A$9:$F$33,6,FALSE))</x:f>
        <x:v>웹 애플리케이션 개발__3</x:v>
      </x:c>
      <x:c r="J48" s="38" t="str">
        <x:f t="shared" si="2"/>
        <x:v>웹 애플리케이션 개발</x:v>
      </x:c>
      <x:c r="K48" s="38" t="str">
        <x:f t="shared" si="3"/>
        <x:v>1교육실(실습겸용강의실)</x:v>
      </x:c>
      <x:c r="L48" s="38" t="str">
        <x:f t="shared" si="4"/>
        <x:v>양현수</x:v>
      </x:c>
      <x:c r="M48" s="63"/>
      <x:c r="N48" s="30">
        <x:f>IF(F48="2","",COUNTIF($F$3:$F48,"=1"))</x:f>
        <x:v>41</x:v>
      </x:c>
      <x:c r="O48" s="30">
        <x:f t="shared" si="0"/>
        <x:v>1</x:v>
      </x:c>
      <x:c r="P48" s="30">
        <x:f t="shared" si="5"/>
        <x:v>3</x:v>
      </x:c>
      <x:c r="Q48" s="30">
        <x:f>COUNTIF($P$3:P48,"=3")</x:f>
        <x:v>6</x:v>
      </x:c>
      <x:c r="R48" s="29">
        <x:f>WORKDAY(기본입력!$H$2,Q48-1,공휴일)</x:f>
        <x:v>45929</x:v>
      </x:c>
    </x:row>
    <x:row r="49" spans="1:18">
      <x:c r="A49" s="145" t="str">
        <x:f t="shared" si="1"/>
        <x:v>20250929</x:v>
      </x:c>
      <x:c r="B49" s="8" t="s">
        <x:v>5</x:v>
      </x:c>
      <x:c r="C49" s="8">
        <x:v>1740</x:v>
      </x:c>
      <x:c r="D49" s="7" t="s">
        <x:v>1</x:v>
      </x:c>
      <x:c r="E49" s="8" t="s">
        <x:v>117</x:v>
      </x:c>
      <x:c r="F49" s="8" t="s">
        <x:v>40</x:v>
      </x:c>
      <x:c r="G49" s="15" t="str">
        <x:f>IF(OR(N49="",N49&gt;기본입력!$C$34),"",VLOOKUP(O49,기본입력!$A$9:$F$33,5))</x:f>
        <x:v>양현수_53778</x:v>
      </x:c>
      <x:c r="H49" s="15" t="str">
        <x:f>IF(OR(N49="",N49&gt;기본입력!$C$34),"",기본입력!$C$6)</x:f>
        <x:v>1교육실(실습겸용강의실)_243089</x:v>
      </x:c>
      <x:c r="I49" s="15" t="str">
        <x:f>IF(OR(O49="",N49&gt;기본입력!$C$34),"",VLOOKUP(O49,기본입력!$A$9:$F$33,6,FALSE))</x:f>
        <x:v>웹 애플리케이션 개발__3</x:v>
      </x:c>
      <x:c r="J49" s="38" t="str">
        <x:f t="shared" si="2"/>
        <x:v>웹 애플리케이션 개발</x:v>
      </x:c>
      <x:c r="K49" s="38" t="str">
        <x:f t="shared" si="3"/>
        <x:v>1교육실(실습겸용강의실)</x:v>
      </x:c>
      <x:c r="L49" s="38" t="str">
        <x:f t="shared" si="4"/>
        <x:v>양현수</x:v>
      </x:c>
      <x:c r="M49" s="63"/>
      <x:c r="N49" s="30">
        <x:f>IF(F49="2","",COUNTIF($F$3:$F49,"=1"))</x:f>
        <x:v>42</x:v>
      </x:c>
      <x:c r="O49" s="30">
        <x:f t="shared" si="0"/>
        <x:v>1</x:v>
      </x:c>
      <x:c r="P49" s="30">
        <x:f t="shared" si="5"/>
        <x:v>4</x:v>
      </x:c>
      <x:c r="Q49" s="30">
        <x:f>COUNTIF($P$3:P49,"=3")</x:f>
        <x:v>6</x:v>
      </x:c>
      <x:c r="R49" s="29">
        <x:f>WORKDAY(기본입력!$H$2,Q49-1,공휴일)</x:f>
        <x:v>45929</x:v>
      </x:c>
    </x:row>
    <x:row r="50" spans="1:18">
      <x:c r="A50" s="145" t="str">
        <x:f t="shared" si="1"/>
        <x:v>20250929</x:v>
      </x:c>
      <x:c r="B50" s="8" t="s">
        <x:v>5</x:v>
      </x:c>
      <x:c r="C50" s="8">
        <x:v>1740</x:v>
      </x:c>
      <x:c r="D50" s="7" t="s">
        <x:v>1</x:v>
      </x:c>
      <x:c r="E50" s="8" t="s">
        <x:v>87</x:v>
      </x:c>
      <x:c r="F50" s="8" t="s">
        <x:v>40</x:v>
      </x:c>
      <x:c r="G50" s="15" t="str">
        <x:f>IF(OR(N50="",N50&gt;기본입력!$C$34),"",VLOOKUP(O50,기본입력!$A$9:$F$33,5))</x:f>
        <x:v>양현수_53778</x:v>
      </x:c>
      <x:c r="H50" s="15" t="str">
        <x:f>IF(OR(N50="",N50&gt;기본입력!$C$34),"",기본입력!$C$6)</x:f>
        <x:v>1교육실(실습겸용강의실)_243089</x:v>
      </x:c>
      <x:c r="I50" s="15" t="str">
        <x:f>IF(OR(O50="",N50&gt;기본입력!$C$34),"",VLOOKUP(O50,기본입력!$A$9:$F$33,6,FALSE))</x:f>
        <x:v>웹 애플리케이션 개발__3</x:v>
      </x:c>
      <x:c r="J50" s="38" t="str">
        <x:f t="shared" si="2"/>
        <x:v>웹 애플리케이션 개발</x:v>
      </x:c>
      <x:c r="K50" s="38" t="str">
        <x:f t="shared" si="3"/>
        <x:v>1교육실(실습겸용강의실)</x:v>
      </x:c>
      <x:c r="L50" s="38" t="str">
        <x:f t="shared" si="4"/>
        <x:v>양현수</x:v>
      </x:c>
      <x:c r="M50" s="63"/>
      <x:c r="N50" s="30">
        <x:f>IF(F50="2","",COUNTIF($F$3:$F50,"=1"))</x:f>
        <x:v>43</x:v>
      </x:c>
      <x:c r="O50" s="30">
        <x:f t="shared" si="0"/>
        <x:v>1</x:v>
      </x:c>
      <x:c r="P50" s="30">
        <x:f t="shared" si="5"/>
        <x:v>5</x:v>
      </x:c>
      <x:c r="Q50" s="30">
        <x:f>COUNTIF($P$3:P50,"=3")</x:f>
        <x:v>6</x:v>
      </x:c>
      <x:c r="R50" s="29">
        <x:f>WORKDAY(기본입력!$H$2,Q50-1,공휴일)</x:f>
        <x:v>45929</x:v>
      </x:c>
    </x:row>
    <x:row r="51" spans="1:18">
      <x:c r="A51" s="145" t="str">
        <x:f t="shared" si="1"/>
        <x:v>20250929</x:v>
      </x:c>
      <x:c r="B51" s="8" t="s">
        <x:v>5</x:v>
      </x:c>
      <x:c r="C51" s="8">
        <x:v>1740</x:v>
      </x:c>
      <x:c r="D51" s="7" t="s">
        <x:v>1</x:v>
      </x:c>
      <x:c r="E51" s="8" t="s">
        <x:v>88</x:v>
      </x:c>
      <x:c r="F51" s="8" t="s">
        <x:v>40</x:v>
      </x:c>
      <x:c r="G51" s="15" t="str">
        <x:f>IF(OR(N51="",N51&gt;기본입력!$C$34),"",VLOOKUP(O51,기본입력!$A$9:$F$33,5))</x:f>
        <x:v>양현수_53778</x:v>
      </x:c>
      <x:c r="H51" s="15" t="str">
        <x:f>IF(OR(N51="",N51&gt;기본입력!$C$34),"",기본입력!$C$6)</x:f>
        <x:v>1교육실(실습겸용강의실)_243089</x:v>
      </x:c>
      <x:c r="I51" s="15" t="str">
        <x:f>IF(OR(O51="",N51&gt;기본입력!$C$34),"",VLOOKUP(O51,기본입력!$A$9:$F$33,6,FALSE))</x:f>
        <x:v>웹 애플리케이션 개발__3</x:v>
      </x:c>
      <x:c r="J51" s="38" t="str">
        <x:f t="shared" si="2"/>
        <x:v>웹 애플리케이션 개발</x:v>
      </x:c>
      <x:c r="K51" s="38" t="str">
        <x:f t="shared" si="3"/>
        <x:v>1교육실(실습겸용강의실)</x:v>
      </x:c>
      <x:c r="L51" s="38" t="str">
        <x:f t="shared" si="4"/>
        <x:v>양현수</x:v>
      </x:c>
      <x:c r="M51" s="63"/>
      <x:c r="N51" s="30">
        <x:f>IF(F51="2","",COUNTIF($F$3:$F51,"=1"))</x:f>
        <x:v>44</x:v>
      </x:c>
      <x:c r="O51" s="30">
        <x:f t="shared" si="0"/>
        <x:v>1</x:v>
      </x:c>
      <x:c r="P51" s="30">
        <x:f t="shared" si="5"/>
        <x:v>6</x:v>
      </x:c>
      <x:c r="Q51" s="30">
        <x:f>COUNTIF($P$3:P51,"=3")</x:f>
        <x:v>6</x:v>
      </x:c>
      <x:c r="R51" s="29">
        <x:f>WORKDAY(기본입력!$H$2,Q51-1,공휴일)</x:f>
        <x:v>45929</x:v>
      </x:c>
    </x:row>
    <x:row r="52" spans="1:18">
      <x:c r="A52" s="145" t="str">
        <x:f t="shared" si="1"/>
        <x:v>20250929</x:v>
      </x:c>
      <x:c r="B52" s="8" t="s">
        <x:v>5</x:v>
      </x:c>
      <x:c r="C52" s="8">
        <x:v>1740</x:v>
      </x:c>
      <x:c r="D52" s="7" t="s">
        <x:v>1</x:v>
      </x:c>
      <x:c r="E52" s="8" t="s">
        <x:v>0</x:v>
      </x:c>
      <x:c r="F52" s="8" t="s">
        <x:v>41</x:v>
      </x:c>
      <x:c r="G52" s="15" t="str">
        <x:f>IF(OR(N52="",N52&gt;기본입력!$C$34),"",VLOOKUP(O52,기본입력!$A$9:$F$33,5))</x:f>
        <x:v/>
      </x:c>
      <x:c r="H52" s="15" t="str">
        <x:f>IF(OR(N52="",N52&gt;기본입력!$C$34),"",기본입력!$C$6)</x:f>
        <x:v/>
      </x:c>
      <x:c r="I52" s="15" t="str">
        <x:f>IF(OR(O52="",N52&gt;기본입력!$C$34),"",VLOOKUP(O52,기본입력!$A$9:$F$33,6,FALSE))</x:f>
        <x:v/>
      </x:c>
      <x:c r="J52" s="38" t="str">
        <x:f t="shared" si="2"/>
        <x:v/>
      </x:c>
      <x:c r="K52" s="38" t="str">
        <x:f t="shared" si="3"/>
        <x:v/>
      </x:c>
      <x:c r="L52" s="38" t="str">
        <x:f t="shared" si="4"/>
        <x:v/>
      </x:c>
      <x:c r="M52" s="63"/>
      <x:c r="N52" s="30" t="str">
        <x:f>IF(F52="2","",COUNTIF($F$3:$F52,"=1"))</x:f>
        <x:v/>
      </x:c>
      <x:c r="O52" s="30" t="str">
        <x:f t="shared" si="0"/>
        <x:v/>
      </x:c>
      <x:c r="P52" s="30">
        <x:f t="shared" si="5"/>
        <x:v>7</x:v>
      </x:c>
      <x:c r="Q52" s="30">
        <x:f>COUNTIF($P$3:P52,"=3")</x:f>
        <x:v>6</x:v>
      </x:c>
      <x:c r="R52" s="29">
        <x:f>WORKDAY(기본입력!$H$2,Q52-1,공휴일)</x:f>
        <x:v>45929</x:v>
      </x:c>
    </x:row>
    <x:row r="53" spans="1:18">
      <x:c r="A53" s="145" t="str">
        <x:f t="shared" si="1"/>
        <x:v>20250929</x:v>
      </x:c>
      <x:c r="B53" s="8" t="s">
        <x:v>5</x:v>
      </x:c>
      <x:c r="C53" s="8">
        <x:v>1740</x:v>
      </x:c>
      <x:c r="D53" s="7" t="s">
        <x:v>1</x:v>
      </x:c>
      <x:c r="E53" s="8">
        <x:v>1340</x:v>
      </x:c>
      <x:c r="F53" s="8" t="s">
        <x:v>40</x:v>
      </x:c>
      <x:c r="G53" s="15" t="str">
        <x:f>IF(OR(N53="",N53&gt;기본입력!$C$34),"",VLOOKUP(O53,기본입력!$A$9:$F$33,5))</x:f>
        <x:v>양현수_53778</x:v>
      </x:c>
      <x:c r="H53" s="15" t="str">
        <x:f>IF(OR(N53="",N53&gt;기본입력!$C$34),"",기본입력!$C$6)</x:f>
        <x:v>1교육실(실습겸용강의실)_243089</x:v>
      </x:c>
      <x:c r="I53" s="15" t="str">
        <x:f>IF(OR(O53="",N53&gt;기본입력!$C$34),"",VLOOKUP(O53,기본입력!$A$9:$F$33,6,FALSE))</x:f>
        <x:v>웹 애플리케이션 개발__3</x:v>
      </x:c>
      <x:c r="J53" s="38" t="str">
        <x:f t="shared" si="2"/>
        <x:v>웹 애플리케이션 개발</x:v>
      </x:c>
      <x:c r="K53" s="38" t="str">
        <x:f t="shared" si="3"/>
        <x:v>1교육실(실습겸용강의실)</x:v>
      </x:c>
      <x:c r="L53" s="38" t="str">
        <x:f t="shared" si="4"/>
        <x:v>양현수</x:v>
      </x:c>
      <x:c r="M53" s="63"/>
      <x:c r="N53" s="30">
        <x:f>IF(F53="2","",COUNTIF($F$3:$F53,"=1"))</x:f>
        <x:v>45</x:v>
      </x:c>
      <x:c r="O53" s="30">
        <x:f t="shared" si="0"/>
        <x:v>1</x:v>
      </x:c>
      <x:c r="P53" s="30">
        <x:f t="shared" si="5"/>
        <x:v>8</x:v>
      </x:c>
      <x:c r="Q53" s="30">
        <x:f>COUNTIF($P$3:P53,"=3")</x:f>
        <x:v>6</x:v>
      </x:c>
      <x:c r="R53" s="29">
        <x:f>WORKDAY(기본입력!$H$2,Q53-1,공휴일)</x:f>
        <x:v>45929</x:v>
      </x:c>
    </x:row>
    <x:row r="54" spans="1:18">
      <x:c r="A54" s="145" t="str">
        <x:f t="shared" si="1"/>
        <x:v>20250929</x:v>
      </x:c>
      <x:c r="B54" s="8" t="s">
        <x:v>5</x:v>
      </x:c>
      <x:c r="C54" s="8">
        <x:v>1740</x:v>
      </x:c>
      <x:c r="D54" s="7" t="s">
        <x:v>1</x:v>
      </x:c>
      <x:c r="E54" s="8">
        <x:v>1440</x:v>
      </x:c>
      <x:c r="F54" s="8" t="s">
        <x:v>40</x:v>
      </x:c>
      <x:c r="G54" s="15" t="str">
        <x:f>IF(OR(N54="",N54&gt;기본입력!$C$34),"",VLOOKUP(O54,기본입력!$A$9:$F$33,5))</x:f>
        <x:v>양현수_53778</x:v>
      </x:c>
      <x:c r="H54" s="15" t="str">
        <x:f>IF(OR(N54="",N54&gt;기본입력!$C$34),"",기본입력!$C$6)</x:f>
        <x:v>1교육실(실습겸용강의실)_243089</x:v>
      </x:c>
      <x:c r="I54" s="15" t="str">
        <x:f>IF(OR(O54="",N54&gt;기본입력!$C$34),"",VLOOKUP(O54,기본입력!$A$9:$F$33,6,FALSE))</x:f>
        <x:v>웹 애플리케이션 개발__3</x:v>
      </x:c>
      <x:c r="J54" s="38" t="str">
        <x:f t="shared" si="2"/>
        <x:v>웹 애플리케이션 개발</x:v>
      </x:c>
      <x:c r="K54" s="38" t="str">
        <x:f t="shared" si="3"/>
        <x:v>1교육실(실습겸용강의실)</x:v>
      </x:c>
      <x:c r="L54" s="38" t="str">
        <x:f t="shared" si="4"/>
        <x:v>양현수</x:v>
      </x:c>
      <x:c r="M54" s="63"/>
      <x:c r="N54" s="30">
        <x:f>IF(F54="2","",COUNTIF($F$3:$F54,"=1"))</x:f>
        <x:v>46</x:v>
      </x:c>
      <x:c r="O54" s="30">
        <x:f t="shared" si="0"/>
        <x:v>1</x:v>
      </x:c>
      <x:c r="P54" s="30">
        <x:f t="shared" si="5"/>
        <x:v>0</x:v>
      </x:c>
      <x:c r="Q54" s="30">
        <x:f>COUNTIF($P$3:P54,"=3")</x:f>
        <x:v>6</x:v>
      </x:c>
      <x:c r="R54" s="29">
        <x:f>WORKDAY(기본입력!$H$2,Q54-1,공휴일)</x:f>
        <x:v>45929</x:v>
      </x:c>
    </x:row>
    <x:row r="55" spans="1:18">
      <x:c r="A55" s="145" t="str">
        <x:f t="shared" si="1"/>
        <x:v>20250929</x:v>
      </x:c>
      <x:c r="B55" s="8" t="s">
        <x:v>5</x:v>
      </x:c>
      <x:c r="C55" s="8">
        <x:v>1740</x:v>
      </x:c>
      <x:c r="D55" s="7" t="s">
        <x:v>1</x:v>
      </x:c>
      <x:c r="E55" s="8">
        <x:v>1540</x:v>
      </x:c>
      <x:c r="F55" s="8" t="s">
        <x:v>40</x:v>
      </x:c>
      <x:c r="G55" s="15" t="str">
        <x:f>IF(OR(N55="",N55&gt;기본입력!$C$34),"",VLOOKUP(O55,기본입력!$A$9:$F$33,5))</x:f>
        <x:v>양현수_53778</x:v>
      </x:c>
      <x:c r="H55" s="15" t="str">
        <x:f>IF(OR(N55="",N55&gt;기본입력!$C$34),"",기본입력!$C$6)</x:f>
        <x:v>1교육실(실습겸용강의실)_243089</x:v>
      </x:c>
      <x:c r="I55" s="15" t="str">
        <x:f>IF(OR(O55="",N55&gt;기본입력!$C$34),"",VLOOKUP(O55,기본입력!$A$9:$F$33,6,FALSE))</x:f>
        <x:v>웹 애플리케이션 개발__3</x:v>
      </x:c>
      <x:c r="J55" s="38" t="str">
        <x:f t="shared" si="2"/>
        <x:v>웹 애플리케이션 개발</x:v>
      </x:c>
      <x:c r="K55" s="38" t="str">
        <x:f t="shared" si="3"/>
        <x:v>1교육실(실습겸용강의실)</x:v>
      </x:c>
      <x:c r="L55" s="38" t="str">
        <x:f t="shared" si="4"/>
        <x:v>양현수</x:v>
      </x:c>
      <x:c r="M55" s="63"/>
      <x:c r="N55" s="30">
        <x:f>IF(F55="2","",COUNTIF($F$3:$F55,"=1"))</x:f>
        <x:v>47</x:v>
      </x:c>
      <x:c r="O55" s="30">
        <x:f t="shared" si="0"/>
        <x:v>1</x:v>
      </x:c>
      <x:c r="P55" s="30">
        <x:f t="shared" si="5"/>
        <x:v>1</x:v>
      </x:c>
      <x:c r="Q55" s="30">
        <x:f>COUNTIF($P$3:P55,"=3")</x:f>
        <x:v>6</x:v>
      </x:c>
      <x:c r="R55" s="29">
        <x:f>WORKDAY(기본입력!$H$2,Q55-1,공휴일)</x:f>
        <x:v>45929</x:v>
      </x:c>
    </x:row>
    <x:row r="56" spans="1:18">
      <x:c r="A56" s="145" t="str">
        <x:f t="shared" si="1"/>
        <x:v>20250929</x:v>
      </x:c>
      <x:c r="B56" s="8" t="s">
        <x:v>5</x:v>
      </x:c>
      <x:c r="C56" s="8">
        <x:v>1740</x:v>
      </x:c>
      <x:c r="D56" s="7" t="s">
        <x:v>1</x:v>
      </x:c>
      <x:c r="E56" s="8">
        <x:v>1640</x:v>
      </x:c>
      <x:c r="F56" s="8" t="s">
        <x:v>40</x:v>
      </x:c>
      <x:c r="G56" s="15" t="str">
        <x:f>IF(OR(N56="",N56&gt;기본입력!$C$34),"",VLOOKUP(O56,기본입력!$A$9:$F$33,5))</x:f>
        <x:v>양현수_53778</x:v>
      </x:c>
      <x:c r="H56" s="15" t="str">
        <x:f>IF(OR(N56="",N56&gt;기본입력!$C$34),"",기본입력!$C$6)</x:f>
        <x:v>1교육실(실습겸용강의실)_243089</x:v>
      </x:c>
      <x:c r="I56" s="15" t="str">
        <x:f>IF(OR(O56="",N56&gt;기본입력!$C$34),"",VLOOKUP(O56,기본입력!$A$9:$F$33,6,FALSE))</x:f>
        <x:v>웹 애플리케이션 개발__3</x:v>
      </x:c>
      <x:c r="J56" s="38" t="str">
        <x:f t="shared" si="2"/>
        <x:v>웹 애플리케이션 개발</x:v>
      </x:c>
      <x:c r="K56" s="38" t="str">
        <x:f t="shared" si="3"/>
        <x:v>1교육실(실습겸용강의실)</x:v>
      </x:c>
      <x:c r="L56" s="38" t="str">
        <x:f t="shared" si="4"/>
        <x:v>양현수</x:v>
      </x:c>
      <x:c r="M56" s="63"/>
      <x:c r="N56" s="30">
        <x:f>IF(F56="2","",COUNTIF($F$3:$F56,"=1"))</x:f>
        <x:v>48</x:v>
      </x:c>
      <x:c r="O56" s="30">
        <x:f t="shared" si="0"/>
        <x:v>1</x:v>
      </x:c>
      <x:c r="P56" s="30">
        <x:f t="shared" si="5"/>
        <x:v>2</x:v>
      </x:c>
      <x:c r="Q56" s="30">
        <x:f>COUNTIF($P$3:P56,"=3")</x:f>
        <x:v>6</x:v>
      </x:c>
      <x:c r="R56" s="29">
        <x:f>WORKDAY(기본입력!$H$2,Q56-1,공휴일)</x:f>
        <x:v>45929</x:v>
      </x:c>
    </x:row>
    <x:row r="57" spans="1:18">
      <x:c r="A57" s="144" t="str">
        <x:f t="shared" si="1"/>
        <x:v>20250930</x:v>
      </x:c>
      <x:c r="B57" s="6" t="s">
        <x:v>5</x:v>
      </x:c>
      <x:c r="C57" s="6">
        <x:v>1740</x:v>
      </x:c>
      <x:c r="D57" s="5" t="s">
        <x:v>1</x:v>
      </x:c>
      <x:c r="E57" s="6" t="s">
        <x:v>5</x:v>
      </x:c>
      <x:c r="F57" s="6" t="s">
        <x:v>40</x:v>
      </x:c>
      <x:c r="G57" s="14" t="str">
        <x:f>IF(OR(N57="",N57&gt;기본입력!$C$34),"",VLOOKUP(O57,기본입력!$A$9:$F$33,5))</x:f>
        <x:v>양현수_53778</x:v>
      </x:c>
      <x:c r="H57" s="14" t="str">
        <x:f>IF(OR(N57="",N57&gt;기본입력!$C$34),"",기본입력!$C$6)</x:f>
        <x:v>1교육실(실습겸용강의실)_243089</x:v>
      </x:c>
      <x:c r="I57" s="14" t="str">
        <x:f>IF(OR(O57="",N57&gt;기본입력!$C$34),"",VLOOKUP(O57,기본입력!$A$9:$F$33,6,FALSE))</x:f>
        <x:v>웹 애플리케이션 개발__3</x:v>
      </x:c>
      <x:c r="J57" s="38" t="str">
        <x:f t="shared" si="2"/>
        <x:v>웹 애플리케이션 개발</x:v>
      </x:c>
      <x:c r="K57" s="38" t="str">
        <x:f t="shared" si="3"/>
        <x:v>1교육실(실습겸용강의실)</x:v>
      </x:c>
      <x:c r="L57" s="38" t="str">
        <x:f t="shared" si="4"/>
        <x:v>양현수</x:v>
      </x:c>
      <x:c r="M57" s="63"/>
      <x:c r="N57" s="30">
        <x:f>IF(F57="2","",COUNTIF($F$3:$F57,"=1"))</x:f>
        <x:v>49</x:v>
      </x:c>
      <x:c r="O57" s="30">
        <x:f t="shared" si="0"/>
        <x:v>1</x:v>
      </x:c>
      <x:c r="P57" s="30">
        <x:f t="shared" si="5"/>
        <x:v>3</x:v>
      </x:c>
      <x:c r="Q57" s="30">
        <x:f>COUNTIF($P$3:P57,"=3")</x:f>
        <x:v>7</x:v>
      </x:c>
      <x:c r="R57" s="29">
        <x:f>WORKDAY(기본입력!$H$2,Q57-1,공휴일)</x:f>
        <x:v>45930</x:v>
      </x:c>
    </x:row>
    <x:row r="58" spans="1:18">
      <x:c r="A58" s="144" t="str">
        <x:f t="shared" si="1"/>
        <x:v>20250930</x:v>
      </x:c>
      <x:c r="B58" s="6" t="s">
        <x:v>5</x:v>
      </x:c>
      <x:c r="C58" s="6">
        <x:v>1740</x:v>
      </x:c>
      <x:c r="D58" s="5" t="s">
        <x:v>1</x:v>
      </x:c>
      <x:c r="E58" s="6" t="s">
        <x:v>117</x:v>
      </x:c>
      <x:c r="F58" s="6" t="s">
        <x:v>40</x:v>
      </x:c>
      <x:c r="G58" s="14" t="str">
        <x:f>IF(OR(N58="",N58&gt;기본입력!$C$34),"",VLOOKUP(O58,기본입력!$A$9:$F$33,5))</x:f>
        <x:v>양현수_53778</x:v>
      </x:c>
      <x:c r="H58" s="14" t="str">
        <x:f>IF(OR(N58="",N58&gt;기본입력!$C$34),"",기본입력!$C$6)</x:f>
        <x:v>1교육실(실습겸용강의실)_243089</x:v>
      </x:c>
      <x:c r="I58" s="14" t="str">
        <x:f>IF(OR(O58="",N58&gt;기본입력!$C$34),"",VLOOKUP(O58,기본입력!$A$9:$F$33,6,FALSE))</x:f>
        <x:v>웹 애플리케이션 개발__3</x:v>
      </x:c>
      <x:c r="J58" s="38" t="str">
        <x:f t="shared" si="2"/>
        <x:v>웹 애플리케이션 개발</x:v>
      </x:c>
      <x:c r="K58" s="38" t="str">
        <x:f t="shared" si="3"/>
        <x:v>1교육실(실습겸용강의실)</x:v>
      </x:c>
      <x:c r="L58" s="38" t="str">
        <x:f t="shared" si="4"/>
        <x:v>양현수</x:v>
      </x:c>
      <x:c r="M58" s="63"/>
      <x:c r="N58" s="30">
        <x:f>IF(F58="2","",COUNTIF($F$3:$F58,"=1"))</x:f>
        <x:v>50</x:v>
      </x:c>
      <x:c r="O58" s="30">
        <x:f t="shared" si="0"/>
        <x:v>1</x:v>
      </x:c>
      <x:c r="P58" s="30">
        <x:f t="shared" si="5"/>
        <x:v>4</x:v>
      </x:c>
      <x:c r="Q58" s="30">
        <x:f>COUNTIF($P$3:P58,"=3")</x:f>
        <x:v>7</x:v>
      </x:c>
      <x:c r="R58" s="29">
        <x:f>WORKDAY(기본입력!$H$2,Q58-1,공휴일)</x:f>
        <x:v>45930</x:v>
      </x:c>
    </x:row>
    <x:row r="59" spans="1:18">
      <x:c r="A59" s="144" t="str">
        <x:f t="shared" si="1"/>
        <x:v>20250930</x:v>
      </x:c>
      <x:c r="B59" s="6" t="s">
        <x:v>5</x:v>
      </x:c>
      <x:c r="C59" s="6">
        <x:v>1740</x:v>
      </x:c>
      <x:c r="D59" s="5" t="s">
        <x:v>1</x:v>
      </x:c>
      <x:c r="E59" s="6" t="s">
        <x:v>87</x:v>
      </x:c>
      <x:c r="F59" s="6" t="s">
        <x:v>40</x:v>
      </x:c>
      <x:c r="G59" s="14" t="str">
        <x:f>IF(OR(N59="",N59&gt;기본입력!$C$34),"",VLOOKUP(O59,기본입력!$A$9:$F$33,5))</x:f>
        <x:v>양현수_53778</x:v>
      </x:c>
      <x:c r="H59" s="14" t="str">
        <x:f>IF(OR(N59="",N59&gt;기본입력!$C$34),"",기본입력!$C$6)</x:f>
        <x:v>1교육실(실습겸용강의실)_243089</x:v>
      </x:c>
      <x:c r="I59" s="14" t="str">
        <x:f>IF(OR(O59="",N59&gt;기본입력!$C$34),"",VLOOKUP(O59,기본입력!$A$9:$F$33,6,FALSE))</x:f>
        <x:v>웹 애플리케이션 개발__3</x:v>
      </x:c>
      <x:c r="J59" s="38" t="str">
        <x:f t="shared" si="2"/>
        <x:v>웹 애플리케이션 개발</x:v>
      </x:c>
      <x:c r="K59" s="38" t="str">
        <x:f t="shared" si="3"/>
        <x:v>1교육실(실습겸용강의실)</x:v>
      </x:c>
      <x:c r="L59" s="38" t="str">
        <x:f t="shared" si="4"/>
        <x:v>양현수</x:v>
      </x:c>
      <x:c r="M59" s="63"/>
      <x:c r="N59" s="30">
        <x:f>IF(F59="2","",COUNTIF($F$3:$F59,"=1"))</x:f>
        <x:v>51</x:v>
      </x:c>
      <x:c r="O59" s="30">
        <x:f t="shared" si="0"/>
        <x:v>1</x:v>
      </x:c>
      <x:c r="P59" s="30">
        <x:f t="shared" si="5"/>
        <x:v>5</x:v>
      </x:c>
      <x:c r="Q59" s="30">
        <x:f>COUNTIF($P$3:P59,"=3")</x:f>
        <x:v>7</x:v>
      </x:c>
      <x:c r="R59" s="29">
        <x:f>WORKDAY(기본입력!$H$2,Q59-1,공휴일)</x:f>
        <x:v>45930</x:v>
      </x:c>
    </x:row>
    <x:row r="60" spans="1:18">
      <x:c r="A60" s="144" t="str">
        <x:f t="shared" si="1"/>
        <x:v>20250930</x:v>
      </x:c>
      <x:c r="B60" s="6" t="s">
        <x:v>5</x:v>
      </x:c>
      <x:c r="C60" s="6">
        <x:v>1740</x:v>
      </x:c>
      <x:c r="D60" s="5" t="s">
        <x:v>1</x:v>
      </x:c>
      <x:c r="E60" s="6" t="s">
        <x:v>88</x:v>
      </x:c>
      <x:c r="F60" s="6" t="s">
        <x:v>40</x:v>
      </x:c>
      <x:c r="G60" s="14" t="str">
        <x:f>IF(OR(N60="",N60&gt;기본입력!$C$34),"",VLOOKUP(O60,기본입력!$A$9:$F$33,5))</x:f>
        <x:v>양현수_53778</x:v>
      </x:c>
      <x:c r="H60" s="14" t="str">
        <x:f>IF(OR(N60="",N60&gt;기본입력!$C$34),"",기본입력!$C$6)</x:f>
        <x:v>1교육실(실습겸용강의실)_243089</x:v>
      </x:c>
      <x:c r="I60" s="14" t="str">
        <x:f>IF(OR(O60="",N60&gt;기본입력!$C$34),"",VLOOKUP(O60,기본입력!$A$9:$F$33,6,FALSE))</x:f>
        <x:v>웹 애플리케이션 개발__3</x:v>
      </x:c>
      <x:c r="J60" s="38" t="str">
        <x:f t="shared" si="2"/>
        <x:v>웹 애플리케이션 개발</x:v>
      </x:c>
      <x:c r="K60" s="38" t="str">
        <x:f t="shared" si="3"/>
        <x:v>1교육실(실습겸용강의실)</x:v>
      </x:c>
      <x:c r="L60" s="38" t="str">
        <x:f t="shared" si="4"/>
        <x:v>양현수</x:v>
      </x:c>
      <x:c r="M60" s="63"/>
      <x:c r="N60" s="30">
        <x:f>IF(F60="2","",COUNTIF($F$3:$F60,"=1"))</x:f>
        <x:v>52</x:v>
      </x:c>
      <x:c r="O60" s="30">
        <x:f t="shared" si="0"/>
        <x:v>1</x:v>
      </x:c>
      <x:c r="P60" s="30">
        <x:f t="shared" si="5"/>
        <x:v>6</x:v>
      </x:c>
      <x:c r="Q60" s="30">
        <x:f>COUNTIF($P$3:P60,"=3")</x:f>
        <x:v>7</x:v>
      </x:c>
      <x:c r="R60" s="29">
        <x:f>WORKDAY(기본입력!$H$2,Q60-1,공휴일)</x:f>
        <x:v>45930</x:v>
      </x:c>
    </x:row>
    <x:row r="61" spans="1:18">
      <x:c r="A61" s="144" t="str">
        <x:f t="shared" si="1"/>
        <x:v>20250930</x:v>
      </x:c>
      <x:c r="B61" s="6" t="s">
        <x:v>5</x:v>
      </x:c>
      <x:c r="C61" s="6">
        <x:v>1740</x:v>
      </x:c>
      <x:c r="D61" s="5" t="s">
        <x:v>1</x:v>
      </x:c>
      <x:c r="E61" s="6" t="s">
        <x:v>0</x:v>
      </x:c>
      <x:c r="F61" s="6" t="s">
        <x:v>41</x:v>
      </x:c>
      <x:c r="G61" s="14" t="str">
        <x:f>IF(OR(N61="",N61&gt;기본입력!$C$34),"",VLOOKUP(O61,기본입력!$A$9:$F$33,5))</x:f>
        <x:v/>
      </x:c>
      <x:c r="H61" s="14" t="str">
        <x:f>IF(OR(N61="",N61&gt;기본입력!$C$34),"",기본입력!$C$6)</x:f>
        <x:v/>
      </x:c>
      <x:c r="I61" s="14" t="str">
        <x:f>IF(OR(O61="",N61&gt;기본입력!$C$34),"",VLOOKUP(O61,기본입력!$A$9:$F$33,6,FALSE))</x:f>
        <x:v/>
      </x:c>
      <x:c r="J61" s="38" t="str">
        <x:f t="shared" si="2"/>
        <x:v/>
      </x:c>
      <x:c r="K61" s="38" t="str">
        <x:f t="shared" si="3"/>
        <x:v/>
      </x:c>
      <x:c r="L61" s="38" t="str">
        <x:f t="shared" si="4"/>
        <x:v/>
      </x:c>
      <x:c r="M61" s="63"/>
      <x:c r="N61" s="30" t="str">
        <x:f>IF(F61="2","",COUNTIF($F$3:$F61,"=1"))</x:f>
        <x:v/>
      </x:c>
      <x:c r="O61" s="30" t="str">
        <x:f t="shared" si="0"/>
        <x:v/>
      </x:c>
      <x:c r="P61" s="30">
        <x:f t="shared" si="5"/>
        <x:v>7</x:v>
      </x:c>
      <x:c r="Q61" s="30">
        <x:f>COUNTIF($P$3:P61,"=3")</x:f>
        <x:v>7</x:v>
      </x:c>
      <x:c r="R61" s="29">
        <x:f>WORKDAY(기본입력!$H$2,Q61-1,공휴일)</x:f>
        <x:v>45930</x:v>
      </x:c>
    </x:row>
    <x:row r="62" spans="1:18">
      <x:c r="A62" s="144" t="str">
        <x:f t="shared" si="1"/>
        <x:v>20250930</x:v>
      </x:c>
      <x:c r="B62" s="6" t="s">
        <x:v>5</x:v>
      </x:c>
      <x:c r="C62" s="6">
        <x:v>1740</x:v>
      </x:c>
      <x:c r="D62" s="5" t="s">
        <x:v>1</x:v>
      </x:c>
      <x:c r="E62" s="6">
        <x:v>1340</x:v>
      </x:c>
      <x:c r="F62" s="6" t="s">
        <x:v>40</x:v>
      </x:c>
      <x:c r="G62" s="14" t="str">
        <x:f>IF(OR(N62="",N62&gt;기본입력!$C$34),"",VLOOKUP(O62,기본입력!$A$9:$F$33,5))</x:f>
        <x:v>양현수_53778</x:v>
      </x:c>
      <x:c r="H62" s="14" t="str">
        <x:f>IF(OR(N62="",N62&gt;기본입력!$C$34),"",기본입력!$C$6)</x:f>
        <x:v>1교육실(실습겸용강의실)_243089</x:v>
      </x:c>
      <x:c r="I62" s="14" t="str">
        <x:f>IF(OR(O62="",N62&gt;기본입력!$C$34),"",VLOOKUP(O62,기본입력!$A$9:$F$33,6,FALSE))</x:f>
        <x:v>웹 애플리케이션 개발__3</x:v>
      </x:c>
      <x:c r="J62" s="38" t="str">
        <x:f t="shared" si="2"/>
        <x:v>웹 애플리케이션 개발</x:v>
      </x:c>
      <x:c r="K62" s="38" t="str">
        <x:f t="shared" si="3"/>
        <x:v>1교육실(실습겸용강의실)</x:v>
      </x:c>
      <x:c r="L62" s="38" t="str">
        <x:f t="shared" si="4"/>
        <x:v>양현수</x:v>
      </x:c>
      <x:c r="M62" s="63"/>
      <x:c r="N62" s="30">
        <x:f>IF(F62="2","",COUNTIF($F$3:$F62,"=1"))</x:f>
        <x:v>53</x:v>
      </x:c>
      <x:c r="O62" s="30">
        <x:f t="shared" si="0"/>
        <x:v>1</x:v>
      </x:c>
      <x:c r="P62" s="30">
        <x:f t="shared" si="5"/>
        <x:v>8</x:v>
      </x:c>
      <x:c r="Q62" s="30">
        <x:f>COUNTIF($P$3:P62,"=3")</x:f>
        <x:v>7</x:v>
      </x:c>
      <x:c r="R62" s="29">
        <x:f>WORKDAY(기본입력!$H$2,Q62-1,공휴일)</x:f>
        <x:v>45930</x:v>
      </x:c>
    </x:row>
    <x:row r="63" spans="1:18">
      <x:c r="A63" s="144" t="str">
        <x:f t="shared" si="1"/>
        <x:v>20250930</x:v>
      </x:c>
      <x:c r="B63" s="6" t="s">
        <x:v>5</x:v>
      </x:c>
      <x:c r="C63" s="6">
        <x:v>1740</x:v>
      </x:c>
      <x:c r="D63" s="5" t="s">
        <x:v>1</x:v>
      </x:c>
      <x:c r="E63" s="6">
        <x:v>1440</x:v>
      </x:c>
      <x:c r="F63" s="6" t="s">
        <x:v>40</x:v>
      </x:c>
      <x:c r="G63" s="14" t="str">
        <x:f>IF(OR(N63="",N63&gt;기본입력!$C$34),"",VLOOKUP(O63,기본입력!$A$9:$F$33,5))</x:f>
        <x:v>양현수_53778</x:v>
      </x:c>
      <x:c r="H63" s="14" t="str">
        <x:f>IF(OR(N63="",N63&gt;기본입력!$C$34),"",기본입력!$C$6)</x:f>
        <x:v>1교육실(실습겸용강의실)_243089</x:v>
      </x:c>
      <x:c r="I63" s="14" t="str">
        <x:f>IF(OR(O63="",N63&gt;기본입력!$C$34),"",VLOOKUP(O63,기본입력!$A$9:$F$33,6,FALSE))</x:f>
        <x:v>웹 애플리케이션 개발__3</x:v>
      </x:c>
      <x:c r="J63" s="38" t="str">
        <x:f t="shared" si="2"/>
        <x:v>웹 애플리케이션 개발</x:v>
      </x:c>
      <x:c r="K63" s="38" t="str">
        <x:f t="shared" si="3"/>
        <x:v>1교육실(실습겸용강의실)</x:v>
      </x:c>
      <x:c r="L63" s="38" t="str">
        <x:f t="shared" si="4"/>
        <x:v>양현수</x:v>
      </x:c>
      <x:c r="M63" s="63"/>
      <x:c r="N63" s="30">
        <x:f>IF(F63="2","",COUNTIF($F$3:$F63,"=1"))</x:f>
        <x:v>54</x:v>
      </x:c>
      <x:c r="O63" s="30">
        <x:f t="shared" si="0"/>
        <x:v>1</x:v>
      </x:c>
      <x:c r="P63" s="30">
        <x:f t="shared" si="5"/>
        <x:v>0</x:v>
      </x:c>
      <x:c r="Q63" s="30">
        <x:f>COUNTIF($P$3:P63,"=3")</x:f>
        <x:v>7</x:v>
      </x:c>
      <x:c r="R63" s="29">
        <x:f>WORKDAY(기본입력!$H$2,Q63-1,공휴일)</x:f>
        <x:v>45930</x:v>
      </x:c>
    </x:row>
    <x:row r="64" spans="1:18">
      <x:c r="A64" s="144" t="str">
        <x:f t="shared" si="1"/>
        <x:v>20250930</x:v>
      </x:c>
      <x:c r="B64" s="6" t="s">
        <x:v>5</x:v>
      </x:c>
      <x:c r="C64" s="6">
        <x:v>1740</x:v>
      </x:c>
      <x:c r="D64" s="5" t="s">
        <x:v>1</x:v>
      </x:c>
      <x:c r="E64" s="6">
        <x:v>1540</x:v>
      </x:c>
      <x:c r="F64" s="6" t="s">
        <x:v>40</x:v>
      </x:c>
      <x:c r="G64" s="14" t="str">
        <x:f>IF(OR(N64="",N64&gt;기본입력!$C$34),"",VLOOKUP(O64,기본입력!$A$9:$F$33,5))</x:f>
        <x:v>양현수_53778</x:v>
      </x:c>
      <x:c r="H64" s="14" t="str">
        <x:f>IF(OR(N64="",N64&gt;기본입력!$C$34),"",기본입력!$C$6)</x:f>
        <x:v>1교육실(실습겸용강의실)_243089</x:v>
      </x:c>
      <x:c r="I64" s="14" t="str">
        <x:f>IF(OR(O64="",N64&gt;기본입력!$C$34),"",VLOOKUP(O64,기본입력!$A$9:$F$33,6,FALSE))</x:f>
        <x:v>웹 애플리케이션 개발__3</x:v>
      </x:c>
      <x:c r="J64" s="38" t="str">
        <x:f t="shared" si="2"/>
        <x:v>웹 애플리케이션 개발</x:v>
      </x:c>
      <x:c r="K64" s="38" t="str">
        <x:f t="shared" si="3"/>
        <x:v>1교육실(실습겸용강의실)</x:v>
      </x:c>
      <x:c r="L64" s="38" t="str">
        <x:f t="shared" si="4"/>
        <x:v>양현수</x:v>
      </x:c>
      <x:c r="M64" s="63"/>
      <x:c r="N64" s="30">
        <x:f>IF(F64="2","",COUNTIF($F$3:$F64,"=1"))</x:f>
        <x:v>55</x:v>
      </x:c>
      <x:c r="O64" s="30">
        <x:f t="shared" si="0"/>
        <x:v>1</x:v>
      </x:c>
      <x:c r="P64" s="30">
        <x:f t="shared" si="5"/>
        <x:v>1</x:v>
      </x:c>
      <x:c r="Q64" s="30">
        <x:f>COUNTIF($P$3:P64,"=3")</x:f>
        <x:v>7</x:v>
      </x:c>
      <x:c r="R64" s="29">
        <x:f>WORKDAY(기본입력!$H$2,Q64-1,공휴일)</x:f>
        <x:v>45930</x:v>
      </x:c>
    </x:row>
    <x:row r="65" spans="1:18">
      <x:c r="A65" s="144" t="str">
        <x:f t="shared" si="1"/>
        <x:v>20250930</x:v>
      </x:c>
      <x:c r="B65" s="6" t="s">
        <x:v>5</x:v>
      </x:c>
      <x:c r="C65" s="6">
        <x:v>1740</x:v>
      </x:c>
      <x:c r="D65" s="5" t="s">
        <x:v>1</x:v>
      </x:c>
      <x:c r="E65" s="6">
        <x:v>1640</x:v>
      </x:c>
      <x:c r="F65" s="6" t="s">
        <x:v>40</x:v>
      </x:c>
      <x:c r="G65" s="14" t="str">
        <x:f>IF(OR(N65="",N65&gt;기본입력!$C$34),"",VLOOKUP(O65,기본입력!$A$9:$F$33,5))</x:f>
        <x:v>양현수_53778</x:v>
      </x:c>
      <x:c r="H65" s="14" t="str">
        <x:f>IF(OR(N65="",N65&gt;기본입력!$C$34),"",기본입력!$C$6)</x:f>
        <x:v>1교육실(실습겸용강의실)_243089</x:v>
      </x:c>
      <x:c r="I65" s="14" t="str">
        <x:f>IF(OR(O65="",N65&gt;기본입력!$C$34),"",VLOOKUP(O65,기본입력!$A$9:$F$33,6,FALSE))</x:f>
        <x:v>웹 애플리케이션 개발__3</x:v>
      </x:c>
      <x:c r="J65" s="38" t="str">
        <x:f t="shared" si="2"/>
        <x:v>웹 애플리케이션 개발</x:v>
      </x:c>
      <x:c r="K65" s="38" t="str">
        <x:f t="shared" si="3"/>
        <x:v>1교육실(실습겸용강의실)</x:v>
      </x:c>
      <x:c r="L65" s="38" t="str">
        <x:f t="shared" si="4"/>
        <x:v>양현수</x:v>
      </x:c>
      <x:c r="M65" s="63"/>
      <x:c r="N65" s="30">
        <x:f>IF(F65="2","",COUNTIF($F$3:$F65,"=1"))</x:f>
        <x:v>56</x:v>
      </x:c>
      <x:c r="O65" s="30">
        <x:f t="shared" si="0"/>
        <x:v>1</x:v>
      </x:c>
      <x:c r="P65" s="30">
        <x:f t="shared" si="5"/>
        <x:v>2</x:v>
      </x:c>
      <x:c r="Q65" s="30">
        <x:f>COUNTIF($P$3:P65,"=3")</x:f>
        <x:v>7</x:v>
      </x:c>
      <x:c r="R65" s="29">
        <x:f>WORKDAY(기본입력!$H$2,Q65-1,공휴일)</x:f>
        <x:v>45930</x:v>
      </x:c>
    </x:row>
    <x:row r="66" spans="1:18">
      <x:c r="A66" s="145" t="str">
        <x:f t="shared" si="1"/>
        <x:v>20251001</x:v>
      </x:c>
      <x:c r="B66" s="8" t="s">
        <x:v>5</x:v>
      </x:c>
      <x:c r="C66" s="8">
        <x:v>1740</x:v>
      </x:c>
      <x:c r="D66" s="7" t="s">
        <x:v>1</x:v>
      </x:c>
      <x:c r="E66" s="8" t="s">
        <x:v>5</x:v>
      </x:c>
      <x:c r="F66" s="8" t="s">
        <x:v>40</x:v>
      </x:c>
      <x:c r="G66" s="15" t="str">
        <x:f>IF(OR(N66="",N66&gt;기본입력!$C$34),"",VLOOKUP(O66,기본입력!$A$9:$F$33,5))</x:f>
        <x:v>양현수_53778</x:v>
      </x:c>
      <x:c r="H66" s="15" t="str">
        <x:f>IF(OR(N66="",N66&gt;기본입력!$C$34),"",기본입력!$C$6)</x:f>
        <x:v>1교육실(실습겸용강의실)_243089</x:v>
      </x:c>
      <x:c r="I66" s="15" t="str">
        <x:f>IF(OR(O66="",N66&gt;기본입력!$C$34),"",VLOOKUP(O66,기본입력!$A$9:$F$33,6,FALSE))</x:f>
        <x:v>웹 애플리케이션 개발__3</x:v>
      </x:c>
      <x:c r="J66" s="38" t="str">
        <x:f t="shared" si="2"/>
        <x:v>웹 애플리케이션 개발</x:v>
      </x:c>
      <x:c r="K66" s="38" t="str">
        <x:f t="shared" si="3"/>
        <x:v>1교육실(실습겸용강의실)</x:v>
      </x:c>
      <x:c r="L66" s="38" t="str">
        <x:f t="shared" si="4"/>
        <x:v>양현수</x:v>
      </x:c>
      <x:c r="M66" s="63"/>
      <x:c r="N66" s="30">
        <x:f>IF(F66="2","",COUNTIF($F$3:$F66,"=1"))</x:f>
        <x:v>57</x:v>
      </x:c>
      <x:c r="O66" s="30">
        <x:f t="shared" si="0"/>
        <x:v>1</x:v>
      </x:c>
      <x:c r="P66" s="30">
        <x:f t="shared" si="5"/>
        <x:v>3</x:v>
      </x:c>
      <x:c r="Q66" s="30">
        <x:f>COUNTIF($P$3:P66,"=3")</x:f>
        <x:v>8</x:v>
      </x:c>
      <x:c r="R66" s="29">
        <x:f>WORKDAY(기본입력!$H$2,Q66-1,공휴일)</x:f>
        <x:v>45931</x:v>
      </x:c>
    </x:row>
    <x:row r="67" spans="1:18">
      <x:c r="A67" s="145" t="str">
        <x:f t="shared" si="1"/>
        <x:v>20251001</x:v>
      </x:c>
      <x:c r="B67" s="8" t="s">
        <x:v>5</x:v>
      </x:c>
      <x:c r="C67" s="8">
        <x:v>1740</x:v>
      </x:c>
      <x:c r="D67" s="7" t="s">
        <x:v>1</x:v>
      </x:c>
      <x:c r="E67" s="8" t="s">
        <x:v>117</x:v>
      </x:c>
      <x:c r="F67" s="8" t="s">
        <x:v>40</x:v>
      </x:c>
      <x:c r="G67" s="15" t="str">
        <x:f>IF(OR(N67="",N67&gt;기본입력!$C$34),"",VLOOKUP(O67,기본입력!$A$9:$F$33,5))</x:f>
        <x:v>양현수_53778</x:v>
      </x:c>
      <x:c r="H67" s="15" t="str">
        <x:f>IF(OR(N67="",N67&gt;기본입력!$C$34),"",기본입력!$C$6)</x:f>
        <x:v>1교육실(실습겸용강의실)_243089</x:v>
      </x:c>
      <x:c r="I67" s="15" t="str">
        <x:f>IF(OR(O67="",N67&gt;기본입력!$C$34),"",VLOOKUP(O67,기본입력!$A$9:$F$33,6,FALSE))</x:f>
        <x:v>웹 애플리케이션 개발__3</x:v>
      </x:c>
      <x:c r="J67" s="38" t="str">
        <x:f t="shared" si="2"/>
        <x:v>웹 애플리케이션 개발</x:v>
      </x:c>
      <x:c r="K67" s="38" t="str">
        <x:f t="shared" si="3"/>
        <x:v>1교육실(실습겸용강의실)</x:v>
      </x:c>
      <x:c r="L67" s="38" t="str">
        <x:f t="shared" si="4"/>
        <x:v>양현수</x:v>
      </x:c>
      <x:c r="M67" s="63"/>
      <x:c r="N67" s="30">
        <x:f>IF(F67="2","",COUNTIF($F$3:$F67,"=1"))</x:f>
        <x:v>58</x:v>
      </x:c>
      <x:c r="O67" s="30">
        <x:f t="shared" ref="O67:O130" si="6">IF(F67="2","",IF(N67&lt;=누적시수1,1,IF(N67&lt;=누적시수2,2,IF(N67&lt;=누적시수3,3,IF(N67&lt;=누적시수4,4,IF(N67&lt;=누적시수5,5,IF(N67&lt;=누적시수6,6,IF(N67&lt;=누적시수7,7,IF(N67&lt;=누적시수8,8,IF(N67&lt;=누적시수9,9,IF(N67&lt;=누적시수10,10,IF(N67&lt;=누적시수11,11,IF(N67&lt;=누적시수12,12,IF(N67&lt;=누적시수13,13,IF(N67&lt;=누적시수14,14,IF(N67&lt;=누적시수15,15,IF(N67&lt;=누적시수16,16,IF(N67&lt;=누적시수17,17,IF(N67&lt;=누적시수18,18,IF(N67&lt;=누적시수19,19,IF(N67&lt;=누적시수20,20,IF(N67&lt;=누적시수21,21,IF(N67&lt;=누적시수22,22,IF(N67&lt;=누적시수23,23,IF(N67&lt;=누적시수24,24,IF(N67&lt;=누적시수25,25,0))))))))))))))))))))))))))</x:f>
        <x:v>1</x:v>
      </x:c>
      <x:c r="P67" s="30">
        <x:f t="shared" si="5"/>
        <x:v>4</x:v>
      </x:c>
      <x:c r="Q67" s="30">
        <x:f>COUNTIF($P$3:P67,"=3")</x:f>
        <x:v>8</x:v>
      </x:c>
      <x:c r="R67" s="29">
        <x:f>WORKDAY(기본입력!$H$2,Q67-1,공휴일)</x:f>
        <x:v>45931</x:v>
      </x:c>
    </x:row>
    <x:row r="68" spans="1:18">
      <x:c r="A68" s="145" t="str">
        <x:f t="shared" ref="A68:A131" si="7">TEXT(R68,"yyyymmdd")</x:f>
        <x:v>20251001</x:v>
      </x:c>
      <x:c r="B68" s="8" t="s">
        <x:v>5</x:v>
      </x:c>
      <x:c r="C68" s="8">
        <x:v>1740</x:v>
      </x:c>
      <x:c r="D68" s="7" t="s">
        <x:v>1</x:v>
      </x:c>
      <x:c r="E68" s="8" t="s">
        <x:v>87</x:v>
      </x:c>
      <x:c r="F68" s="8" t="s">
        <x:v>40</x:v>
      </x:c>
      <x:c r="G68" s="15" t="str">
        <x:f>IF(OR(N68="",N68&gt;기본입력!$C$34),"",VLOOKUP(O68,기본입력!$A$9:$F$33,5))</x:f>
        <x:v>양현수_53778</x:v>
      </x:c>
      <x:c r="H68" s="15" t="str">
        <x:f>IF(OR(N68="",N68&gt;기본입력!$C$34),"",기본입력!$C$6)</x:f>
        <x:v>1교육실(실습겸용강의실)_243089</x:v>
      </x:c>
      <x:c r="I68" s="15" t="str">
        <x:f>IF(OR(O68="",N68&gt;기본입력!$C$34),"",VLOOKUP(O68,기본입력!$A$9:$F$33,6,FALSE))</x:f>
        <x:v>웹 애플리케이션 개발__3</x:v>
      </x:c>
      <x:c r="J68" s="38" t="str">
        <x:f t="shared" ref="J68:J131" si="8">IF(F68="2","",LEFT(I68,FIND("_",I68,2)-1))</x:f>
        <x:v>웹 애플리케이션 개발</x:v>
      </x:c>
      <x:c r="K68" s="38" t="str">
        <x:f t="shared" ref="K68:K131" si="9">IF(F68="2","",LEFT(H68,FIND("_",H68,2)-1))</x:f>
        <x:v>1교육실(실습겸용강의실)</x:v>
      </x:c>
      <x:c r="L68" s="38" t="str">
        <x:f t="shared" ref="L68:L131" si="10">IF(F68="2","",LEFT(G68,FIND("_",G68,2)-1))</x:f>
        <x:v>양현수</x:v>
      </x:c>
      <x:c r="M68" s="63"/>
      <x:c r="N68" s="30">
        <x:f>IF(F68="2","",COUNTIF($F$3:$F68,"=1"))</x:f>
        <x:v>59</x:v>
      </x:c>
      <x:c r="O68" s="30">
        <x:f t="shared" si="6"/>
        <x:v>1</x:v>
      </x:c>
      <x:c r="P68" s="30">
        <x:f t="shared" ref="P68:P131" si="11">MOD(ROW(),9)</x:f>
        <x:v>5</x:v>
      </x:c>
      <x:c r="Q68" s="30">
        <x:f>COUNTIF($P$3:P68,"=3")</x:f>
        <x:v>8</x:v>
      </x:c>
      <x:c r="R68" s="29">
        <x:f>WORKDAY(기본입력!$H$2,Q68-1,공휴일)</x:f>
        <x:v>45931</x:v>
      </x:c>
    </x:row>
    <x:row r="69" spans="1:18">
      <x:c r="A69" s="145" t="str">
        <x:f t="shared" si="7"/>
        <x:v>20251001</x:v>
      </x:c>
      <x:c r="B69" s="8" t="s">
        <x:v>5</x:v>
      </x:c>
      <x:c r="C69" s="8">
        <x:v>1740</x:v>
      </x:c>
      <x:c r="D69" s="7" t="s">
        <x:v>1</x:v>
      </x:c>
      <x:c r="E69" s="8" t="s">
        <x:v>88</x:v>
      </x:c>
      <x:c r="F69" s="8" t="s">
        <x:v>40</x:v>
      </x:c>
      <x:c r="G69" s="15" t="str">
        <x:f>IF(OR(N69="",N69&gt;기본입력!$C$34),"",VLOOKUP(O69,기본입력!$A$9:$F$33,5))</x:f>
        <x:v>양현수_53778</x:v>
      </x:c>
      <x:c r="H69" s="15" t="str">
        <x:f>IF(OR(N69="",N69&gt;기본입력!$C$34),"",기본입력!$C$6)</x:f>
        <x:v>1교육실(실습겸용강의실)_243089</x:v>
      </x:c>
      <x:c r="I69" s="15" t="str">
        <x:f>IF(OR(O69="",N69&gt;기본입력!$C$34),"",VLOOKUP(O69,기본입력!$A$9:$F$33,6,FALSE))</x:f>
        <x:v>웹 애플리케이션 개발__3</x:v>
      </x:c>
      <x:c r="J69" s="38" t="str">
        <x:f t="shared" si="8"/>
        <x:v>웹 애플리케이션 개발</x:v>
      </x:c>
      <x:c r="K69" s="38" t="str">
        <x:f t="shared" si="9"/>
        <x:v>1교육실(실습겸용강의실)</x:v>
      </x:c>
      <x:c r="L69" s="38" t="str">
        <x:f t="shared" si="10"/>
        <x:v>양현수</x:v>
      </x:c>
      <x:c r="M69" s="63"/>
      <x:c r="N69" s="30">
        <x:f>IF(F69="2","",COUNTIF($F$3:$F69,"=1"))</x:f>
        <x:v>60</x:v>
      </x:c>
      <x:c r="O69" s="30">
        <x:f t="shared" si="6"/>
        <x:v>1</x:v>
      </x:c>
      <x:c r="P69" s="30">
        <x:f t="shared" si="11"/>
        <x:v>6</x:v>
      </x:c>
      <x:c r="Q69" s="30">
        <x:f>COUNTIF($P$3:P69,"=3")</x:f>
        <x:v>8</x:v>
      </x:c>
      <x:c r="R69" s="29">
        <x:f>WORKDAY(기본입력!$H$2,Q69-1,공휴일)</x:f>
        <x:v>45931</x:v>
      </x:c>
    </x:row>
    <x:row r="70" spans="1:18">
      <x:c r="A70" s="145" t="str">
        <x:f t="shared" si="7"/>
        <x:v>20251001</x:v>
      </x:c>
      <x:c r="B70" s="8" t="s">
        <x:v>5</x:v>
      </x:c>
      <x:c r="C70" s="8">
        <x:v>1740</x:v>
      </x:c>
      <x:c r="D70" s="7" t="s">
        <x:v>1</x:v>
      </x:c>
      <x:c r="E70" s="8" t="s">
        <x:v>0</x:v>
      </x:c>
      <x:c r="F70" s="8" t="s">
        <x:v>41</x:v>
      </x:c>
      <x:c r="G70" s="15" t="str">
        <x:f>IF(OR(N70="",N70&gt;기본입력!$C$34),"",VLOOKUP(O70,기본입력!$A$9:$F$33,5))</x:f>
        <x:v/>
      </x:c>
      <x:c r="H70" s="15" t="str">
        <x:f>IF(OR(N70="",N70&gt;기본입력!$C$34),"",기본입력!$C$6)</x:f>
        <x:v/>
      </x:c>
      <x:c r="I70" s="15" t="str">
        <x:f>IF(OR(O70="",N70&gt;기본입력!$C$34),"",VLOOKUP(O70,기본입력!$A$9:$F$33,6,FALSE))</x:f>
        <x:v/>
      </x:c>
      <x:c r="J70" s="38" t="str">
        <x:f t="shared" si="8"/>
        <x:v/>
      </x:c>
      <x:c r="K70" s="38" t="str">
        <x:f t="shared" si="9"/>
        <x:v/>
      </x:c>
      <x:c r="L70" s="38" t="str">
        <x:f t="shared" si="10"/>
        <x:v/>
      </x:c>
      <x:c r="M70" s="63"/>
      <x:c r="N70" s="30" t="str">
        <x:f>IF(F70="2","",COUNTIF($F$3:$F70,"=1"))</x:f>
        <x:v/>
      </x:c>
      <x:c r="O70" s="30" t="str">
        <x:f t="shared" si="6"/>
        <x:v/>
      </x:c>
      <x:c r="P70" s="30">
        <x:f t="shared" si="11"/>
        <x:v>7</x:v>
      </x:c>
      <x:c r="Q70" s="30">
        <x:f>COUNTIF($P$3:P70,"=3")</x:f>
        <x:v>8</x:v>
      </x:c>
      <x:c r="R70" s="29">
        <x:f>WORKDAY(기본입력!$H$2,Q70-1,공휴일)</x:f>
        <x:v>45931</x:v>
      </x:c>
    </x:row>
    <x:row r="71" spans="1:18">
      <x:c r="A71" s="145" t="str">
        <x:f t="shared" si="7"/>
        <x:v>20251001</x:v>
      </x:c>
      <x:c r="B71" s="8" t="s">
        <x:v>5</x:v>
      </x:c>
      <x:c r="C71" s="8">
        <x:v>1740</x:v>
      </x:c>
      <x:c r="D71" s="7" t="s">
        <x:v>1</x:v>
      </x:c>
      <x:c r="E71" s="8">
        <x:v>1340</x:v>
      </x:c>
      <x:c r="F71" s="8" t="s">
        <x:v>40</x:v>
      </x:c>
      <x:c r="G71" s="15" t="str">
        <x:f>IF(OR(N71="",N71&gt;기본입력!$C$34),"",VLOOKUP(O71,기본입력!$A$9:$F$33,5))</x:f>
        <x:v>양현수_53778</x:v>
      </x:c>
      <x:c r="H71" s="15" t="str">
        <x:f>IF(OR(N71="",N71&gt;기본입력!$C$34),"",기본입력!$C$6)</x:f>
        <x:v>1교육실(실습겸용강의실)_243089</x:v>
      </x:c>
      <x:c r="I71" s="15" t="str">
        <x:f>IF(OR(O71="",N71&gt;기본입력!$C$34),"",VLOOKUP(O71,기본입력!$A$9:$F$33,6,FALSE))</x:f>
        <x:v>웹 애플리케이션 개발__3</x:v>
      </x:c>
      <x:c r="J71" s="38" t="str">
        <x:f t="shared" si="8"/>
        <x:v>웹 애플리케이션 개발</x:v>
      </x:c>
      <x:c r="K71" s="38" t="str">
        <x:f t="shared" si="9"/>
        <x:v>1교육실(실습겸용강의실)</x:v>
      </x:c>
      <x:c r="L71" s="38" t="str">
        <x:f t="shared" si="10"/>
        <x:v>양현수</x:v>
      </x:c>
      <x:c r="M71" s="63"/>
      <x:c r="N71" s="30">
        <x:f>IF(F71="2","",COUNTIF($F$3:$F71,"=1"))</x:f>
        <x:v>61</x:v>
      </x:c>
      <x:c r="O71" s="30">
        <x:f t="shared" si="6"/>
        <x:v>1</x:v>
      </x:c>
      <x:c r="P71" s="30">
        <x:f t="shared" si="11"/>
        <x:v>8</x:v>
      </x:c>
      <x:c r="Q71" s="30">
        <x:f>COUNTIF($P$3:P71,"=3")</x:f>
        <x:v>8</x:v>
      </x:c>
      <x:c r="R71" s="29">
        <x:f>WORKDAY(기본입력!$H$2,Q71-1,공휴일)</x:f>
        <x:v>45931</x:v>
      </x:c>
    </x:row>
    <x:row r="72" spans="1:18">
      <x:c r="A72" s="145" t="str">
        <x:f t="shared" si="7"/>
        <x:v>20251001</x:v>
      </x:c>
      <x:c r="B72" s="8" t="s">
        <x:v>5</x:v>
      </x:c>
      <x:c r="C72" s="8">
        <x:v>1740</x:v>
      </x:c>
      <x:c r="D72" s="7" t="s">
        <x:v>1</x:v>
      </x:c>
      <x:c r="E72" s="8">
        <x:v>1440</x:v>
      </x:c>
      <x:c r="F72" s="8" t="s">
        <x:v>40</x:v>
      </x:c>
      <x:c r="G72" s="15" t="str">
        <x:f>IF(OR(N72="",N72&gt;기본입력!$C$34),"",VLOOKUP(O72,기본입력!$A$9:$F$33,5))</x:f>
        <x:v>양현수_53778</x:v>
      </x:c>
      <x:c r="H72" s="15" t="str">
        <x:f>IF(OR(N72="",N72&gt;기본입력!$C$34),"",기본입력!$C$6)</x:f>
        <x:v>1교육실(실습겸용강의실)_243089</x:v>
      </x:c>
      <x:c r="I72" s="15" t="str">
        <x:f>IF(OR(O72="",N72&gt;기본입력!$C$34),"",VLOOKUP(O72,기본입력!$A$9:$F$33,6,FALSE))</x:f>
        <x:v>웹 애플리케이션 개발__3</x:v>
      </x:c>
      <x:c r="J72" s="38" t="str">
        <x:f t="shared" si="8"/>
        <x:v>웹 애플리케이션 개발</x:v>
      </x:c>
      <x:c r="K72" s="38" t="str">
        <x:f t="shared" si="9"/>
        <x:v>1교육실(실습겸용강의실)</x:v>
      </x:c>
      <x:c r="L72" s="38" t="str">
        <x:f t="shared" si="10"/>
        <x:v>양현수</x:v>
      </x:c>
      <x:c r="M72" s="63"/>
      <x:c r="N72" s="30">
        <x:f>IF(F72="2","",COUNTIF($F$3:$F72,"=1"))</x:f>
        <x:v>62</x:v>
      </x:c>
      <x:c r="O72" s="30">
        <x:f t="shared" si="6"/>
        <x:v>1</x:v>
      </x:c>
      <x:c r="P72" s="30">
        <x:f t="shared" si="11"/>
        <x:v>0</x:v>
      </x:c>
      <x:c r="Q72" s="30">
        <x:f>COUNTIF($P$3:P72,"=3")</x:f>
        <x:v>8</x:v>
      </x:c>
      <x:c r="R72" s="29">
        <x:f>WORKDAY(기본입력!$H$2,Q72-1,공휴일)</x:f>
        <x:v>45931</x:v>
      </x:c>
    </x:row>
    <x:row r="73" spans="1:18">
      <x:c r="A73" s="145" t="str">
        <x:f t="shared" si="7"/>
        <x:v>20251001</x:v>
      </x:c>
      <x:c r="B73" s="8" t="s">
        <x:v>5</x:v>
      </x:c>
      <x:c r="C73" s="8">
        <x:v>1740</x:v>
      </x:c>
      <x:c r="D73" s="7" t="s">
        <x:v>1</x:v>
      </x:c>
      <x:c r="E73" s="8">
        <x:v>1540</x:v>
      </x:c>
      <x:c r="F73" s="8" t="s">
        <x:v>40</x:v>
      </x:c>
      <x:c r="G73" s="15" t="str">
        <x:f>IF(OR(N73="",N73&gt;기본입력!$C$34),"",VLOOKUP(O73,기본입력!$A$9:$F$33,5))</x:f>
        <x:v>양현수_53778</x:v>
      </x:c>
      <x:c r="H73" s="15" t="str">
        <x:f>IF(OR(N73="",N73&gt;기본입력!$C$34),"",기본입력!$C$6)</x:f>
        <x:v>1교육실(실습겸용강의실)_243089</x:v>
      </x:c>
      <x:c r="I73" s="15" t="str">
        <x:f>IF(OR(O73="",N73&gt;기본입력!$C$34),"",VLOOKUP(O73,기본입력!$A$9:$F$33,6,FALSE))</x:f>
        <x:v>웹 애플리케이션 개발__3</x:v>
      </x:c>
      <x:c r="J73" s="38" t="str">
        <x:f t="shared" si="8"/>
        <x:v>웹 애플리케이션 개발</x:v>
      </x:c>
      <x:c r="K73" s="38" t="str">
        <x:f t="shared" si="9"/>
        <x:v>1교육실(실습겸용강의실)</x:v>
      </x:c>
      <x:c r="L73" s="38" t="str">
        <x:f t="shared" si="10"/>
        <x:v>양현수</x:v>
      </x:c>
      <x:c r="M73" s="63"/>
      <x:c r="N73" s="30">
        <x:f>IF(F73="2","",COUNTIF($F$3:$F73,"=1"))</x:f>
        <x:v>63</x:v>
      </x:c>
      <x:c r="O73" s="30">
        <x:f t="shared" si="6"/>
        <x:v>1</x:v>
      </x:c>
      <x:c r="P73" s="30">
        <x:f t="shared" si="11"/>
        <x:v>1</x:v>
      </x:c>
      <x:c r="Q73" s="30">
        <x:f>COUNTIF($P$3:P73,"=3")</x:f>
        <x:v>8</x:v>
      </x:c>
      <x:c r="R73" s="29">
        <x:f>WORKDAY(기본입력!$H$2,Q73-1,공휴일)</x:f>
        <x:v>45931</x:v>
      </x:c>
    </x:row>
    <x:row r="74" spans="1:18">
      <x:c r="A74" s="145" t="str">
        <x:f t="shared" si="7"/>
        <x:v>20251001</x:v>
      </x:c>
      <x:c r="B74" s="8" t="s">
        <x:v>5</x:v>
      </x:c>
      <x:c r="C74" s="8">
        <x:v>1740</x:v>
      </x:c>
      <x:c r="D74" s="7" t="s">
        <x:v>1</x:v>
      </x:c>
      <x:c r="E74" s="8">
        <x:v>1640</x:v>
      </x:c>
      <x:c r="F74" s="8" t="s">
        <x:v>40</x:v>
      </x:c>
      <x:c r="G74" s="15" t="str">
        <x:f>IF(OR(N74="",N74&gt;기본입력!$C$34),"",VLOOKUP(O74,기본입력!$A$9:$F$33,5))</x:f>
        <x:v>양현수_53778</x:v>
      </x:c>
      <x:c r="H74" s="15" t="str">
        <x:f>IF(OR(N74="",N74&gt;기본입력!$C$34),"",기본입력!$C$6)</x:f>
        <x:v>1교육실(실습겸용강의실)_243089</x:v>
      </x:c>
      <x:c r="I74" s="15" t="str">
        <x:f>IF(OR(O74="",N74&gt;기본입력!$C$34),"",VLOOKUP(O74,기본입력!$A$9:$F$33,6,FALSE))</x:f>
        <x:v>웹 애플리케이션 개발__3</x:v>
      </x:c>
      <x:c r="J74" s="38" t="str">
        <x:f t="shared" si="8"/>
        <x:v>웹 애플리케이션 개발</x:v>
      </x:c>
      <x:c r="K74" s="38" t="str">
        <x:f t="shared" si="9"/>
        <x:v>1교육실(실습겸용강의실)</x:v>
      </x:c>
      <x:c r="L74" s="38" t="str">
        <x:f t="shared" si="10"/>
        <x:v>양현수</x:v>
      </x:c>
      <x:c r="M74" s="63"/>
      <x:c r="N74" s="30">
        <x:f>IF(F74="2","",COUNTIF($F$3:$F74,"=1"))</x:f>
        <x:v>64</x:v>
      </x:c>
      <x:c r="O74" s="30">
        <x:f t="shared" si="6"/>
        <x:v>1</x:v>
      </x:c>
      <x:c r="P74" s="30">
        <x:f t="shared" si="11"/>
        <x:v>2</x:v>
      </x:c>
      <x:c r="Q74" s="30">
        <x:f>COUNTIF($P$3:P74,"=3")</x:f>
        <x:v>8</x:v>
      </x:c>
      <x:c r="R74" s="29">
        <x:f>WORKDAY(기본입력!$H$2,Q74-1,공휴일)</x:f>
        <x:v>45931</x:v>
      </x:c>
    </x:row>
    <x:row r="75" spans="1:18">
      <x:c r="A75" s="144" t="str">
        <x:f t="shared" si="7"/>
        <x:v>20251002</x:v>
      </x:c>
      <x:c r="B75" s="6" t="s">
        <x:v>5</x:v>
      </x:c>
      <x:c r="C75" s="6">
        <x:v>1740</x:v>
      </x:c>
      <x:c r="D75" s="5" t="s">
        <x:v>1</x:v>
      </x:c>
      <x:c r="E75" s="6" t="s">
        <x:v>5</x:v>
      </x:c>
      <x:c r="F75" s="6" t="s">
        <x:v>40</x:v>
      </x:c>
      <x:c r="G75" s="14" t="str">
        <x:f>IF(OR(N75="",N75&gt;기본입력!$C$34),"",VLOOKUP(O75,기본입력!$A$9:$F$33,5))</x:f>
        <x:v>양현수_53778</x:v>
      </x:c>
      <x:c r="H75" s="14" t="str">
        <x:f>IF(OR(N75="",N75&gt;기본입력!$C$34),"",기본입력!$C$6)</x:f>
        <x:v>1교육실(실습겸용강의실)_243089</x:v>
      </x:c>
      <x:c r="I75" s="14" t="str">
        <x:f>IF(OR(O75="",N75&gt;기본입력!$C$34),"",VLOOKUP(O75,기본입력!$A$9:$F$33,6,FALSE))</x:f>
        <x:v>웹 애플리케이션 개발__3</x:v>
      </x:c>
      <x:c r="J75" s="38" t="str">
        <x:f t="shared" si="8"/>
        <x:v>웹 애플리케이션 개발</x:v>
      </x:c>
      <x:c r="K75" s="38" t="str">
        <x:f t="shared" si="9"/>
        <x:v>1교육실(실습겸용강의실)</x:v>
      </x:c>
      <x:c r="L75" s="38" t="str">
        <x:f t="shared" si="10"/>
        <x:v>양현수</x:v>
      </x:c>
      <x:c r="M75" s="63"/>
      <x:c r="N75" s="30">
        <x:f>IF(F75="2","",COUNTIF($F$3:$F75,"=1"))</x:f>
        <x:v>65</x:v>
      </x:c>
      <x:c r="O75" s="30">
        <x:f t="shared" si="6"/>
        <x:v>1</x:v>
      </x:c>
      <x:c r="P75" s="30">
        <x:f t="shared" si="11"/>
        <x:v>3</x:v>
      </x:c>
      <x:c r="Q75" s="30">
        <x:f>COUNTIF($P$3:P75,"=3")</x:f>
        <x:v>9</x:v>
      </x:c>
      <x:c r="R75" s="29">
        <x:f>WORKDAY(기본입력!$H$2,Q75-1,공휴일)</x:f>
        <x:v>45932</x:v>
      </x:c>
    </x:row>
    <x:row r="76" spans="1:18">
      <x:c r="A76" s="144" t="str">
        <x:f t="shared" si="7"/>
        <x:v>20251002</x:v>
      </x:c>
      <x:c r="B76" s="6" t="s">
        <x:v>5</x:v>
      </x:c>
      <x:c r="C76" s="6">
        <x:v>1740</x:v>
      </x:c>
      <x:c r="D76" s="5" t="s">
        <x:v>1</x:v>
      </x:c>
      <x:c r="E76" s="6" t="s">
        <x:v>117</x:v>
      </x:c>
      <x:c r="F76" s="6" t="s">
        <x:v>40</x:v>
      </x:c>
      <x:c r="G76" s="14" t="str">
        <x:f>IF(OR(N76="",N76&gt;기본입력!$C$34),"",VLOOKUP(O76,기본입력!$A$9:$F$33,5))</x:f>
        <x:v>양현수_53778</x:v>
      </x:c>
      <x:c r="H76" s="14" t="str">
        <x:f>IF(OR(N76="",N76&gt;기본입력!$C$34),"",기본입력!$C$6)</x:f>
        <x:v>1교육실(실습겸용강의실)_243089</x:v>
      </x:c>
      <x:c r="I76" s="14" t="str">
        <x:f>IF(OR(O76="",N76&gt;기본입력!$C$34),"",VLOOKUP(O76,기본입력!$A$9:$F$33,6,FALSE))</x:f>
        <x:v>웹 애플리케이션 개발__3</x:v>
      </x:c>
      <x:c r="J76" s="38" t="str">
        <x:f t="shared" si="8"/>
        <x:v>웹 애플리케이션 개발</x:v>
      </x:c>
      <x:c r="K76" s="38" t="str">
        <x:f t="shared" si="9"/>
        <x:v>1교육실(실습겸용강의실)</x:v>
      </x:c>
      <x:c r="L76" s="38" t="str">
        <x:f t="shared" si="10"/>
        <x:v>양현수</x:v>
      </x:c>
      <x:c r="M76" s="63"/>
      <x:c r="N76" s="30">
        <x:f>IF(F76="2","",COUNTIF($F$3:$F76,"=1"))</x:f>
        <x:v>66</x:v>
      </x:c>
      <x:c r="O76" s="30">
        <x:f t="shared" si="6"/>
        <x:v>1</x:v>
      </x:c>
      <x:c r="P76" s="30">
        <x:f t="shared" si="11"/>
        <x:v>4</x:v>
      </x:c>
      <x:c r="Q76" s="30">
        <x:f>COUNTIF($P$3:P76,"=3")</x:f>
        <x:v>9</x:v>
      </x:c>
      <x:c r="R76" s="29">
        <x:f>WORKDAY(기본입력!$H$2,Q76-1,공휴일)</x:f>
        <x:v>45932</x:v>
      </x:c>
    </x:row>
    <x:row r="77" spans="1:18">
      <x:c r="A77" s="144" t="str">
        <x:f t="shared" si="7"/>
        <x:v>20251002</x:v>
      </x:c>
      <x:c r="B77" s="6" t="s">
        <x:v>5</x:v>
      </x:c>
      <x:c r="C77" s="6">
        <x:v>1740</x:v>
      </x:c>
      <x:c r="D77" s="5" t="s">
        <x:v>1</x:v>
      </x:c>
      <x:c r="E77" s="6" t="s">
        <x:v>87</x:v>
      </x:c>
      <x:c r="F77" s="6" t="s">
        <x:v>40</x:v>
      </x:c>
      <x:c r="G77" s="14" t="str">
        <x:f>IF(OR(N77="",N77&gt;기본입력!$C$34),"",VLOOKUP(O77,기본입력!$A$9:$F$33,5))</x:f>
        <x:v>양현수_53778</x:v>
      </x:c>
      <x:c r="H77" s="14" t="str">
        <x:f>IF(OR(N77="",N77&gt;기본입력!$C$34),"",기본입력!$C$6)</x:f>
        <x:v>1교육실(실습겸용강의실)_243089</x:v>
      </x:c>
      <x:c r="I77" s="14" t="str">
        <x:f>IF(OR(O77="",N77&gt;기본입력!$C$34),"",VLOOKUP(O77,기본입력!$A$9:$F$33,6,FALSE))</x:f>
        <x:v>웹 애플리케이션 개발__3</x:v>
      </x:c>
      <x:c r="J77" s="38" t="str">
        <x:f t="shared" si="8"/>
        <x:v>웹 애플리케이션 개발</x:v>
      </x:c>
      <x:c r="K77" s="38" t="str">
        <x:f t="shared" si="9"/>
        <x:v>1교육실(실습겸용강의실)</x:v>
      </x:c>
      <x:c r="L77" s="38" t="str">
        <x:f t="shared" si="10"/>
        <x:v>양현수</x:v>
      </x:c>
      <x:c r="M77" s="63"/>
      <x:c r="N77" s="30">
        <x:f>IF(F77="2","",COUNTIF($F$3:$F77,"=1"))</x:f>
        <x:v>67</x:v>
      </x:c>
      <x:c r="O77" s="30">
        <x:f t="shared" si="6"/>
        <x:v>1</x:v>
      </x:c>
      <x:c r="P77" s="30">
        <x:f t="shared" si="11"/>
        <x:v>5</x:v>
      </x:c>
      <x:c r="Q77" s="30">
        <x:f>COUNTIF($P$3:P77,"=3")</x:f>
        <x:v>9</x:v>
      </x:c>
      <x:c r="R77" s="29">
        <x:f>WORKDAY(기본입력!$H$2,Q77-1,공휴일)</x:f>
        <x:v>45932</x:v>
      </x:c>
    </x:row>
    <x:row r="78" spans="1:18">
      <x:c r="A78" s="144" t="str">
        <x:f t="shared" si="7"/>
        <x:v>20251002</x:v>
      </x:c>
      <x:c r="B78" s="6" t="s">
        <x:v>5</x:v>
      </x:c>
      <x:c r="C78" s="6">
        <x:v>1740</x:v>
      </x:c>
      <x:c r="D78" s="5" t="s">
        <x:v>1</x:v>
      </x:c>
      <x:c r="E78" s="6" t="s">
        <x:v>88</x:v>
      </x:c>
      <x:c r="F78" s="6" t="s">
        <x:v>40</x:v>
      </x:c>
      <x:c r="G78" s="14" t="str">
        <x:f>IF(OR(N78="",N78&gt;기본입력!$C$34),"",VLOOKUP(O78,기본입력!$A$9:$F$33,5))</x:f>
        <x:v>양현수_53778</x:v>
      </x:c>
      <x:c r="H78" s="14" t="str">
        <x:f>IF(OR(N78="",N78&gt;기본입력!$C$34),"",기본입력!$C$6)</x:f>
        <x:v>1교육실(실습겸용강의실)_243089</x:v>
      </x:c>
      <x:c r="I78" s="14" t="str">
        <x:f>IF(OR(O78="",N78&gt;기본입력!$C$34),"",VLOOKUP(O78,기본입력!$A$9:$F$33,6,FALSE))</x:f>
        <x:v>웹 애플리케이션 개발__3</x:v>
      </x:c>
      <x:c r="J78" s="38" t="str">
        <x:f t="shared" si="8"/>
        <x:v>웹 애플리케이션 개발</x:v>
      </x:c>
      <x:c r="K78" s="38" t="str">
        <x:f t="shared" si="9"/>
        <x:v>1교육실(실습겸용강의실)</x:v>
      </x:c>
      <x:c r="L78" s="38" t="str">
        <x:f t="shared" si="10"/>
        <x:v>양현수</x:v>
      </x:c>
      <x:c r="M78" s="63"/>
      <x:c r="N78" s="30">
        <x:f>IF(F78="2","",COUNTIF($F$3:$F78,"=1"))</x:f>
        <x:v>68</x:v>
      </x:c>
      <x:c r="O78" s="30">
        <x:f t="shared" si="6"/>
        <x:v>1</x:v>
      </x:c>
      <x:c r="P78" s="30">
        <x:f t="shared" si="11"/>
        <x:v>6</x:v>
      </x:c>
      <x:c r="Q78" s="30">
        <x:f>COUNTIF($P$3:P78,"=3")</x:f>
        <x:v>9</x:v>
      </x:c>
      <x:c r="R78" s="29">
        <x:f>WORKDAY(기본입력!$H$2,Q78-1,공휴일)</x:f>
        <x:v>45932</x:v>
      </x:c>
    </x:row>
    <x:row r="79" spans="1:18">
      <x:c r="A79" s="144" t="str">
        <x:f t="shared" si="7"/>
        <x:v>20251002</x:v>
      </x:c>
      <x:c r="B79" s="6" t="s">
        <x:v>5</x:v>
      </x:c>
      <x:c r="C79" s="6">
        <x:v>1740</x:v>
      </x:c>
      <x:c r="D79" s="5" t="s">
        <x:v>1</x:v>
      </x:c>
      <x:c r="E79" s="6" t="s">
        <x:v>0</x:v>
      </x:c>
      <x:c r="F79" s="6" t="s">
        <x:v>41</x:v>
      </x:c>
      <x:c r="G79" s="14" t="str">
        <x:f>IF(OR(N79="",N79&gt;기본입력!$C$34),"",VLOOKUP(O79,기본입력!$A$9:$F$33,5))</x:f>
        <x:v/>
      </x:c>
      <x:c r="H79" s="14" t="str">
        <x:f>IF(OR(N79="",N79&gt;기본입력!$C$34),"",기본입력!$C$6)</x:f>
        <x:v/>
      </x:c>
      <x:c r="I79" s="14" t="str">
        <x:f>IF(OR(O79="",N79&gt;기본입력!$C$34),"",VLOOKUP(O79,기본입력!$A$9:$F$33,6,FALSE))</x:f>
        <x:v/>
      </x:c>
      <x:c r="J79" s="38" t="str">
        <x:f t="shared" si="8"/>
        <x:v/>
      </x:c>
      <x:c r="K79" s="38" t="str">
        <x:f t="shared" si="9"/>
        <x:v/>
      </x:c>
      <x:c r="L79" s="38" t="str">
        <x:f t="shared" si="10"/>
        <x:v/>
      </x:c>
      <x:c r="M79" s="63"/>
      <x:c r="N79" s="30" t="str">
        <x:f>IF(F79="2","",COUNTIF($F$3:$F79,"=1"))</x:f>
        <x:v/>
      </x:c>
      <x:c r="O79" s="30" t="str">
        <x:f t="shared" si="6"/>
        <x:v/>
      </x:c>
      <x:c r="P79" s="30">
        <x:f t="shared" si="11"/>
        <x:v>7</x:v>
      </x:c>
      <x:c r="Q79" s="30">
        <x:f>COUNTIF($P$3:P79,"=3")</x:f>
        <x:v>9</x:v>
      </x:c>
      <x:c r="R79" s="29">
        <x:f>WORKDAY(기본입력!$H$2,Q79-1,공휴일)</x:f>
        <x:v>45932</x:v>
      </x:c>
    </x:row>
    <x:row r="80" spans="1:18">
      <x:c r="A80" s="144" t="str">
        <x:f t="shared" si="7"/>
        <x:v>20251002</x:v>
      </x:c>
      <x:c r="B80" s="6" t="s">
        <x:v>5</x:v>
      </x:c>
      <x:c r="C80" s="6">
        <x:v>1740</x:v>
      </x:c>
      <x:c r="D80" s="5" t="s">
        <x:v>1</x:v>
      </x:c>
      <x:c r="E80" s="6">
        <x:v>1340</x:v>
      </x:c>
      <x:c r="F80" s="6" t="s">
        <x:v>40</x:v>
      </x:c>
      <x:c r="G80" s="14" t="str">
        <x:f>IF(OR(N80="",N80&gt;기본입력!$C$34),"",VLOOKUP(O80,기본입력!$A$9:$F$33,5))</x:f>
        <x:v>양현수_53778</x:v>
      </x:c>
      <x:c r="H80" s="14" t="str">
        <x:f>IF(OR(N80="",N80&gt;기본입력!$C$34),"",기본입력!$C$6)</x:f>
        <x:v>1교육실(실습겸용강의실)_243089</x:v>
      </x:c>
      <x:c r="I80" s="14" t="str">
        <x:f>IF(OR(O80="",N80&gt;기본입력!$C$34),"",VLOOKUP(O80,기본입력!$A$9:$F$33,6,FALSE))</x:f>
        <x:v>웹 애플리케이션 개발__3</x:v>
      </x:c>
      <x:c r="J80" s="38" t="str">
        <x:f t="shared" si="8"/>
        <x:v>웹 애플리케이션 개발</x:v>
      </x:c>
      <x:c r="K80" s="38" t="str">
        <x:f t="shared" si="9"/>
        <x:v>1교육실(실습겸용강의실)</x:v>
      </x:c>
      <x:c r="L80" s="38" t="str">
        <x:f t="shared" si="10"/>
        <x:v>양현수</x:v>
      </x:c>
      <x:c r="M80" s="63"/>
      <x:c r="N80" s="30">
        <x:f>IF(F80="2","",COUNTIF($F$3:$F80,"=1"))</x:f>
        <x:v>69</x:v>
      </x:c>
      <x:c r="O80" s="30">
        <x:f t="shared" si="6"/>
        <x:v>1</x:v>
      </x:c>
      <x:c r="P80" s="30">
        <x:f t="shared" si="11"/>
        <x:v>8</x:v>
      </x:c>
      <x:c r="Q80" s="30">
        <x:f>COUNTIF($P$3:P80,"=3")</x:f>
        <x:v>9</x:v>
      </x:c>
      <x:c r="R80" s="29">
        <x:f>WORKDAY(기본입력!$H$2,Q80-1,공휴일)</x:f>
        <x:v>45932</x:v>
      </x:c>
    </x:row>
    <x:row r="81" spans="1:18">
      <x:c r="A81" s="144" t="str">
        <x:f t="shared" si="7"/>
        <x:v>20251002</x:v>
      </x:c>
      <x:c r="B81" s="6" t="s">
        <x:v>5</x:v>
      </x:c>
      <x:c r="C81" s="6">
        <x:v>1740</x:v>
      </x:c>
      <x:c r="D81" s="5" t="s">
        <x:v>1</x:v>
      </x:c>
      <x:c r="E81" s="6">
        <x:v>1440</x:v>
      </x:c>
      <x:c r="F81" s="6" t="s">
        <x:v>40</x:v>
      </x:c>
      <x:c r="G81" s="14" t="str">
        <x:f>IF(OR(N81="",N81&gt;기본입력!$C$34),"",VLOOKUP(O81,기본입력!$A$9:$F$33,5))</x:f>
        <x:v>양현수_53778</x:v>
      </x:c>
      <x:c r="H81" s="14" t="str">
        <x:f>IF(OR(N81="",N81&gt;기본입력!$C$34),"",기본입력!$C$6)</x:f>
        <x:v>1교육실(실습겸용강의실)_243089</x:v>
      </x:c>
      <x:c r="I81" s="14" t="str">
        <x:f>IF(OR(O81="",N81&gt;기본입력!$C$34),"",VLOOKUP(O81,기본입력!$A$9:$F$33,6,FALSE))</x:f>
        <x:v>웹 애플리케이션 개발__3</x:v>
      </x:c>
      <x:c r="J81" s="38" t="str">
        <x:f t="shared" si="8"/>
        <x:v>웹 애플리케이션 개발</x:v>
      </x:c>
      <x:c r="K81" s="38" t="str">
        <x:f t="shared" si="9"/>
        <x:v>1교육실(실습겸용강의실)</x:v>
      </x:c>
      <x:c r="L81" s="38" t="str">
        <x:f t="shared" si="10"/>
        <x:v>양현수</x:v>
      </x:c>
      <x:c r="M81" s="63"/>
      <x:c r="N81" s="30">
        <x:f>IF(F81="2","",COUNTIF($F$3:$F81,"=1"))</x:f>
        <x:v>70</x:v>
      </x:c>
      <x:c r="O81" s="30">
        <x:f t="shared" si="6"/>
        <x:v>1</x:v>
      </x:c>
      <x:c r="P81" s="30">
        <x:f t="shared" si="11"/>
        <x:v>0</x:v>
      </x:c>
      <x:c r="Q81" s="30">
        <x:f>COUNTIF($P$3:P81,"=3")</x:f>
        <x:v>9</x:v>
      </x:c>
      <x:c r="R81" s="29">
        <x:f>WORKDAY(기본입력!$H$2,Q81-1,공휴일)</x:f>
        <x:v>45932</x:v>
      </x:c>
    </x:row>
    <x:row r="82" spans="1:18">
      <x:c r="A82" s="144" t="str">
        <x:f t="shared" si="7"/>
        <x:v>20251002</x:v>
      </x:c>
      <x:c r="B82" s="6" t="s">
        <x:v>5</x:v>
      </x:c>
      <x:c r="C82" s="6">
        <x:v>1740</x:v>
      </x:c>
      <x:c r="D82" s="5" t="s">
        <x:v>1</x:v>
      </x:c>
      <x:c r="E82" s="6">
        <x:v>1540</x:v>
      </x:c>
      <x:c r="F82" s="6" t="s">
        <x:v>40</x:v>
      </x:c>
      <x:c r="G82" s="14" t="str">
        <x:f>IF(OR(N82="",N82&gt;기본입력!$C$34),"",VLOOKUP(O82,기본입력!$A$9:$F$33,5))</x:f>
        <x:v>양현수_53778</x:v>
      </x:c>
      <x:c r="H82" s="14" t="str">
        <x:f>IF(OR(N82="",N82&gt;기본입력!$C$34),"",기본입력!$C$6)</x:f>
        <x:v>1교육실(실습겸용강의실)_243089</x:v>
      </x:c>
      <x:c r="I82" s="14" t="str">
        <x:f>IF(OR(O82="",N82&gt;기본입력!$C$34),"",VLOOKUP(O82,기본입력!$A$9:$F$33,6,FALSE))</x:f>
        <x:v>웹 애플리케이션 개발__3</x:v>
      </x:c>
      <x:c r="J82" s="38" t="str">
        <x:f t="shared" si="8"/>
        <x:v>웹 애플리케이션 개발</x:v>
      </x:c>
      <x:c r="K82" s="38" t="str">
        <x:f t="shared" si="9"/>
        <x:v>1교육실(실습겸용강의실)</x:v>
      </x:c>
      <x:c r="L82" s="38" t="str">
        <x:f t="shared" si="10"/>
        <x:v>양현수</x:v>
      </x:c>
      <x:c r="M82" s="63"/>
      <x:c r="N82" s="30">
        <x:f>IF(F82="2","",COUNTIF($F$3:$F82,"=1"))</x:f>
        <x:v>71</x:v>
      </x:c>
      <x:c r="O82" s="30">
        <x:f t="shared" si="6"/>
        <x:v>1</x:v>
      </x:c>
      <x:c r="P82" s="30">
        <x:f t="shared" si="11"/>
        <x:v>1</x:v>
      </x:c>
      <x:c r="Q82" s="30">
        <x:f>COUNTIF($P$3:P82,"=3")</x:f>
        <x:v>9</x:v>
      </x:c>
      <x:c r="R82" s="29">
        <x:f>WORKDAY(기본입력!$H$2,Q82-1,공휴일)</x:f>
        <x:v>45932</x:v>
      </x:c>
    </x:row>
    <x:row r="83" spans="1:18">
      <x:c r="A83" s="144" t="str">
        <x:f t="shared" si="7"/>
        <x:v>20251002</x:v>
      </x:c>
      <x:c r="B83" s="6" t="s">
        <x:v>5</x:v>
      </x:c>
      <x:c r="C83" s="6">
        <x:v>1740</x:v>
      </x:c>
      <x:c r="D83" s="5" t="s">
        <x:v>1</x:v>
      </x:c>
      <x:c r="E83" s="6">
        <x:v>1640</x:v>
      </x:c>
      <x:c r="F83" s="6" t="s">
        <x:v>40</x:v>
      </x:c>
      <x:c r="G83" s="14" t="str">
        <x:f>IF(OR(N83="",N83&gt;기본입력!$C$34),"",VLOOKUP(O83,기본입력!$A$9:$F$33,5))</x:f>
        <x:v>양현수_53778</x:v>
      </x:c>
      <x:c r="H83" s="14" t="str">
        <x:f>IF(OR(N83="",N83&gt;기본입력!$C$34),"",기본입력!$C$6)</x:f>
        <x:v>1교육실(실습겸용강의실)_243089</x:v>
      </x:c>
      <x:c r="I83" s="14" t="str">
        <x:f>IF(OR(O83="",N83&gt;기본입력!$C$34),"",VLOOKUP(O83,기본입력!$A$9:$F$33,6,FALSE))</x:f>
        <x:v>웹 애플리케이션 개발__3</x:v>
      </x:c>
      <x:c r="J83" s="38" t="str">
        <x:f t="shared" si="8"/>
        <x:v>웹 애플리케이션 개발</x:v>
      </x:c>
      <x:c r="K83" s="38" t="str">
        <x:f t="shared" si="9"/>
        <x:v>1교육실(실습겸용강의실)</x:v>
      </x:c>
      <x:c r="L83" s="38" t="str">
        <x:f t="shared" si="10"/>
        <x:v>양현수</x:v>
      </x:c>
      <x:c r="M83" s="63"/>
      <x:c r="N83" s="30">
        <x:f>IF(F83="2","",COUNTIF($F$3:$F83,"=1"))</x:f>
        <x:v>72</x:v>
      </x:c>
      <x:c r="O83" s="30">
        <x:f t="shared" si="6"/>
        <x:v>1</x:v>
      </x:c>
      <x:c r="P83" s="30">
        <x:f t="shared" si="11"/>
        <x:v>2</x:v>
      </x:c>
      <x:c r="Q83" s="30">
        <x:f>COUNTIF($P$3:P83,"=3")</x:f>
        <x:v>9</x:v>
      </x:c>
      <x:c r="R83" s="29">
        <x:f>WORKDAY(기본입력!$H$2,Q83-1,공휴일)</x:f>
        <x:v>45932</x:v>
      </x:c>
    </x:row>
    <x:row r="84" spans="1:18">
      <x:c r="A84" s="145" t="str">
        <x:f t="shared" si="7"/>
        <x:v>20251010</x:v>
      </x:c>
      <x:c r="B84" s="8" t="s">
        <x:v>5</x:v>
      </x:c>
      <x:c r="C84" s="8">
        <x:v>1740</x:v>
      </x:c>
      <x:c r="D84" s="7" t="s">
        <x:v>1</x:v>
      </x:c>
      <x:c r="E84" s="8" t="s">
        <x:v>5</x:v>
      </x:c>
      <x:c r="F84" s="8" t="s">
        <x:v>40</x:v>
      </x:c>
      <x:c r="G84" s="15" t="str">
        <x:f>IF(OR(N84="",N84&gt;기본입력!$C$34),"",VLOOKUP(O84,기본입력!$A$9:$F$33,5))</x:f>
        <x:v>양현수_53778</x:v>
      </x:c>
      <x:c r="H84" s="15" t="str">
        <x:f>IF(OR(N84="",N84&gt;기본입력!$C$34),"",기본입력!$C$6)</x:f>
        <x:v>1교육실(실습겸용강의실)_243089</x:v>
      </x:c>
      <x:c r="I84" s="15" t="str">
        <x:f>IF(OR(O84="",N84&gt;기본입력!$C$34),"",VLOOKUP(O84,기본입력!$A$9:$F$33,6,FALSE))</x:f>
        <x:v>웹 애플리케이션 개발__3</x:v>
      </x:c>
      <x:c r="J84" s="38" t="str">
        <x:f t="shared" si="8"/>
        <x:v>웹 애플리케이션 개발</x:v>
      </x:c>
      <x:c r="K84" s="38" t="str">
        <x:f t="shared" si="9"/>
        <x:v>1교육실(실습겸용강의실)</x:v>
      </x:c>
      <x:c r="L84" s="38" t="str">
        <x:f t="shared" si="10"/>
        <x:v>양현수</x:v>
      </x:c>
      <x:c r="M84" s="63"/>
      <x:c r="N84" s="30">
        <x:f>IF(F84="2","",COUNTIF($F$3:$F84,"=1"))</x:f>
        <x:v>73</x:v>
      </x:c>
      <x:c r="O84" s="30">
        <x:f t="shared" si="6"/>
        <x:v>1</x:v>
      </x:c>
      <x:c r="P84" s="30">
        <x:f t="shared" si="11"/>
        <x:v>3</x:v>
      </x:c>
      <x:c r="Q84" s="30">
        <x:f>COUNTIF($P$3:P84,"=3")</x:f>
        <x:v>10</x:v>
      </x:c>
      <x:c r="R84" s="29">
        <x:f>WORKDAY(기본입력!$H$2,Q84-1,공휴일)</x:f>
        <x:v>45940</x:v>
      </x:c>
    </x:row>
    <x:row r="85" spans="1:18">
      <x:c r="A85" s="145" t="str">
        <x:f t="shared" si="7"/>
        <x:v>20251010</x:v>
      </x:c>
      <x:c r="B85" s="8" t="s">
        <x:v>5</x:v>
      </x:c>
      <x:c r="C85" s="8">
        <x:v>1740</x:v>
      </x:c>
      <x:c r="D85" s="7" t="s">
        <x:v>1</x:v>
      </x:c>
      <x:c r="E85" s="8" t="s">
        <x:v>117</x:v>
      </x:c>
      <x:c r="F85" s="8" t="s">
        <x:v>40</x:v>
      </x:c>
      <x:c r="G85" s="15" t="str">
        <x:f>IF(OR(N85="",N85&gt;기본입력!$C$34),"",VLOOKUP(O85,기본입력!$A$9:$F$33,5))</x:f>
        <x:v>양현수_53778</x:v>
      </x:c>
      <x:c r="H85" s="15" t="str">
        <x:f>IF(OR(N85="",N85&gt;기본입력!$C$34),"",기본입력!$C$6)</x:f>
        <x:v>1교육실(실습겸용강의실)_243089</x:v>
      </x:c>
      <x:c r="I85" s="15" t="str">
        <x:f>IF(OR(O85="",N85&gt;기본입력!$C$34),"",VLOOKUP(O85,기본입력!$A$9:$F$33,6,FALSE))</x:f>
        <x:v>웹 애플리케이션 개발__3</x:v>
      </x:c>
      <x:c r="J85" s="38" t="str">
        <x:f t="shared" si="8"/>
        <x:v>웹 애플리케이션 개발</x:v>
      </x:c>
      <x:c r="K85" s="38" t="str">
        <x:f t="shared" si="9"/>
        <x:v>1교육실(실습겸용강의실)</x:v>
      </x:c>
      <x:c r="L85" s="38" t="str">
        <x:f t="shared" si="10"/>
        <x:v>양현수</x:v>
      </x:c>
      <x:c r="M85" s="63"/>
      <x:c r="N85" s="30">
        <x:f>IF(F85="2","",COUNTIF($F$3:$F85,"=1"))</x:f>
        <x:v>74</x:v>
      </x:c>
      <x:c r="O85" s="30">
        <x:f t="shared" si="6"/>
        <x:v>1</x:v>
      </x:c>
      <x:c r="P85" s="30">
        <x:f t="shared" si="11"/>
        <x:v>4</x:v>
      </x:c>
      <x:c r="Q85" s="30">
        <x:f>COUNTIF($P$3:P85,"=3")</x:f>
        <x:v>10</x:v>
      </x:c>
      <x:c r="R85" s="29">
        <x:f>WORKDAY(기본입력!$H$2,Q85-1,공휴일)</x:f>
        <x:v>45940</x:v>
      </x:c>
    </x:row>
    <x:row r="86" spans="1:18">
      <x:c r="A86" s="145" t="str">
        <x:f t="shared" si="7"/>
        <x:v>20251010</x:v>
      </x:c>
      <x:c r="B86" s="8" t="s">
        <x:v>5</x:v>
      </x:c>
      <x:c r="C86" s="8">
        <x:v>1740</x:v>
      </x:c>
      <x:c r="D86" s="7" t="s">
        <x:v>1</x:v>
      </x:c>
      <x:c r="E86" s="8" t="s">
        <x:v>87</x:v>
      </x:c>
      <x:c r="F86" s="8" t="s">
        <x:v>40</x:v>
      </x:c>
      <x:c r="G86" s="15" t="str">
        <x:f>IF(OR(N86="",N86&gt;기본입력!$C$34),"",VLOOKUP(O86,기본입력!$A$9:$F$33,5))</x:f>
        <x:v>양현수_53778</x:v>
      </x:c>
      <x:c r="H86" s="15" t="str">
        <x:f>IF(OR(N86="",N86&gt;기본입력!$C$34),"",기본입력!$C$6)</x:f>
        <x:v>1교육실(실습겸용강의실)_243089</x:v>
      </x:c>
      <x:c r="I86" s="15" t="str">
        <x:f>IF(OR(O86="",N86&gt;기본입력!$C$34),"",VLOOKUP(O86,기본입력!$A$9:$F$33,6,FALSE))</x:f>
        <x:v>웹 애플리케이션 개발__3</x:v>
      </x:c>
      <x:c r="J86" s="38" t="str">
        <x:f t="shared" si="8"/>
        <x:v>웹 애플리케이션 개발</x:v>
      </x:c>
      <x:c r="K86" s="38" t="str">
        <x:f t="shared" si="9"/>
        <x:v>1교육실(실습겸용강의실)</x:v>
      </x:c>
      <x:c r="L86" s="38" t="str">
        <x:f t="shared" si="10"/>
        <x:v>양현수</x:v>
      </x:c>
      <x:c r="M86" s="63"/>
      <x:c r="N86" s="30">
        <x:f>IF(F86="2","",COUNTIF($F$3:$F86,"=1"))</x:f>
        <x:v>75</x:v>
      </x:c>
      <x:c r="O86" s="30">
        <x:f t="shared" si="6"/>
        <x:v>1</x:v>
      </x:c>
      <x:c r="P86" s="30">
        <x:f t="shared" si="11"/>
        <x:v>5</x:v>
      </x:c>
      <x:c r="Q86" s="30">
        <x:f>COUNTIF($P$3:P86,"=3")</x:f>
        <x:v>10</x:v>
      </x:c>
      <x:c r="R86" s="29">
        <x:f>WORKDAY(기본입력!$H$2,Q86-1,공휴일)</x:f>
        <x:v>45940</x:v>
      </x:c>
    </x:row>
    <x:row r="87" spans="1:18">
      <x:c r="A87" s="145" t="str">
        <x:f t="shared" si="7"/>
        <x:v>20251010</x:v>
      </x:c>
      <x:c r="B87" s="8" t="s">
        <x:v>5</x:v>
      </x:c>
      <x:c r="C87" s="8">
        <x:v>1740</x:v>
      </x:c>
      <x:c r="D87" s="7" t="s">
        <x:v>1</x:v>
      </x:c>
      <x:c r="E87" s="8" t="s">
        <x:v>88</x:v>
      </x:c>
      <x:c r="F87" s="8" t="s">
        <x:v>40</x:v>
      </x:c>
      <x:c r="G87" s="15" t="str">
        <x:f>IF(OR(N87="",N87&gt;기본입력!$C$34),"",VLOOKUP(O87,기본입력!$A$9:$F$33,5))</x:f>
        <x:v>양현수_53778</x:v>
      </x:c>
      <x:c r="H87" s="15" t="str">
        <x:f>IF(OR(N87="",N87&gt;기본입력!$C$34),"",기본입력!$C$6)</x:f>
        <x:v>1교육실(실습겸용강의실)_243089</x:v>
      </x:c>
      <x:c r="I87" s="15" t="str">
        <x:f>IF(OR(O87="",N87&gt;기본입력!$C$34),"",VLOOKUP(O87,기본입력!$A$9:$F$33,6,FALSE))</x:f>
        <x:v>웹 애플리케이션 개발__3</x:v>
      </x:c>
      <x:c r="J87" s="38" t="str">
        <x:f t="shared" si="8"/>
        <x:v>웹 애플리케이션 개발</x:v>
      </x:c>
      <x:c r="K87" s="38" t="str">
        <x:f t="shared" si="9"/>
        <x:v>1교육실(실습겸용강의실)</x:v>
      </x:c>
      <x:c r="L87" s="38" t="str">
        <x:f t="shared" si="10"/>
        <x:v>양현수</x:v>
      </x:c>
      <x:c r="M87" s="63"/>
      <x:c r="N87" s="30">
        <x:f>IF(F87="2","",COUNTIF($F$3:$F87,"=1"))</x:f>
        <x:v>76</x:v>
      </x:c>
      <x:c r="O87" s="30">
        <x:f t="shared" si="6"/>
        <x:v>1</x:v>
      </x:c>
      <x:c r="P87" s="30">
        <x:f t="shared" si="11"/>
        <x:v>6</x:v>
      </x:c>
      <x:c r="Q87" s="30">
        <x:f>COUNTIF($P$3:P87,"=3")</x:f>
        <x:v>10</x:v>
      </x:c>
      <x:c r="R87" s="29">
        <x:f>WORKDAY(기본입력!$H$2,Q87-1,공휴일)</x:f>
        <x:v>45940</x:v>
      </x:c>
    </x:row>
    <x:row r="88" spans="1:18">
      <x:c r="A88" s="145" t="str">
        <x:f t="shared" si="7"/>
        <x:v>20251010</x:v>
      </x:c>
      <x:c r="B88" s="8" t="s">
        <x:v>5</x:v>
      </x:c>
      <x:c r="C88" s="8">
        <x:v>1740</x:v>
      </x:c>
      <x:c r="D88" s="7" t="s">
        <x:v>1</x:v>
      </x:c>
      <x:c r="E88" s="8" t="s">
        <x:v>0</x:v>
      </x:c>
      <x:c r="F88" s="8" t="s">
        <x:v>41</x:v>
      </x:c>
      <x:c r="G88" s="15" t="str">
        <x:f>IF(OR(N88="",N88&gt;기본입력!$C$34),"",VLOOKUP(O88,기본입력!$A$9:$F$33,5))</x:f>
        <x:v/>
      </x:c>
      <x:c r="H88" s="15" t="str">
        <x:f>IF(OR(N88="",N88&gt;기본입력!$C$34),"",기본입력!$C$6)</x:f>
        <x:v/>
      </x:c>
      <x:c r="I88" s="15" t="str">
        <x:f>IF(OR(O88="",N88&gt;기본입력!$C$34),"",VLOOKUP(O88,기본입력!$A$9:$F$33,6,FALSE))</x:f>
        <x:v/>
      </x:c>
      <x:c r="J88" s="38" t="str">
        <x:f t="shared" si="8"/>
        <x:v/>
      </x:c>
      <x:c r="K88" s="38" t="str">
        <x:f t="shared" si="9"/>
        <x:v/>
      </x:c>
      <x:c r="L88" s="38" t="str">
        <x:f t="shared" si="10"/>
        <x:v/>
      </x:c>
      <x:c r="M88" s="63"/>
      <x:c r="N88" s="30" t="str">
        <x:f>IF(F88="2","",COUNTIF($F$3:$F88,"=1"))</x:f>
        <x:v/>
      </x:c>
      <x:c r="O88" s="30" t="str">
        <x:f t="shared" si="6"/>
        <x:v/>
      </x:c>
      <x:c r="P88" s="30">
        <x:f t="shared" si="11"/>
        <x:v>7</x:v>
      </x:c>
      <x:c r="Q88" s="30">
        <x:f>COUNTIF($P$3:P88,"=3")</x:f>
        <x:v>10</x:v>
      </x:c>
      <x:c r="R88" s="29">
        <x:f>WORKDAY(기본입력!$H$2,Q88-1,공휴일)</x:f>
        <x:v>45940</x:v>
      </x:c>
    </x:row>
    <x:row r="89" spans="1:18">
      <x:c r="A89" s="145" t="str">
        <x:f t="shared" si="7"/>
        <x:v>20251010</x:v>
      </x:c>
      <x:c r="B89" s="8" t="s">
        <x:v>5</x:v>
      </x:c>
      <x:c r="C89" s="8">
        <x:v>1740</x:v>
      </x:c>
      <x:c r="D89" s="7" t="s">
        <x:v>1</x:v>
      </x:c>
      <x:c r="E89" s="8">
        <x:v>1340</x:v>
      </x:c>
      <x:c r="F89" s="8" t="s">
        <x:v>40</x:v>
      </x:c>
      <x:c r="G89" s="15" t="str">
        <x:f>IF(OR(N89="",N89&gt;기본입력!$C$34),"",VLOOKUP(O89,기본입력!$A$9:$F$33,5))</x:f>
        <x:v>양현수_53778</x:v>
      </x:c>
      <x:c r="H89" s="15" t="str">
        <x:f>IF(OR(N89="",N89&gt;기본입력!$C$34),"",기본입력!$C$6)</x:f>
        <x:v>1교육실(실습겸용강의실)_243089</x:v>
      </x:c>
      <x:c r="I89" s="15" t="str">
        <x:f>IF(OR(O89="",N89&gt;기본입력!$C$34),"",VLOOKUP(O89,기본입력!$A$9:$F$33,6,FALSE))</x:f>
        <x:v>웹 애플리케이션 개발__3</x:v>
      </x:c>
      <x:c r="J89" s="38" t="str">
        <x:f t="shared" si="8"/>
        <x:v>웹 애플리케이션 개발</x:v>
      </x:c>
      <x:c r="K89" s="38" t="str">
        <x:f t="shared" si="9"/>
        <x:v>1교육실(실습겸용강의실)</x:v>
      </x:c>
      <x:c r="L89" s="38" t="str">
        <x:f t="shared" si="10"/>
        <x:v>양현수</x:v>
      </x:c>
      <x:c r="M89" s="63"/>
      <x:c r="N89" s="30">
        <x:f>IF(F89="2","",COUNTIF($F$3:$F89,"=1"))</x:f>
        <x:v>77</x:v>
      </x:c>
      <x:c r="O89" s="30">
        <x:f t="shared" si="6"/>
        <x:v>1</x:v>
      </x:c>
      <x:c r="P89" s="30">
        <x:f t="shared" si="11"/>
        <x:v>8</x:v>
      </x:c>
      <x:c r="Q89" s="30">
        <x:f>COUNTIF($P$3:P89,"=3")</x:f>
        <x:v>10</x:v>
      </x:c>
      <x:c r="R89" s="29">
        <x:f>WORKDAY(기본입력!$H$2,Q89-1,공휴일)</x:f>
        <x:v>45940</x:v>
      </x:c>
    </x:row>
    <x:row r="90" spans="1:18">
      <x:c r="A90" s="145" t="str">
        <x:f t="shared" si="7"/>
        <x:v>20251010</x:v>
      </x:c>
      <x:c r="B90" s="8" t="s">
        <x:v>5</x:v>
      </x:c>
      <x:c r="C90" s="8">
        <x:v>1740</x:v>
      </x:c>
      <x:c r="D90" s="7" t="s">
        <x:v>1</x:v>
      </x:c>
      <x:c r="E90" s="8">
        <x:v>1440</x:v>
      </x:c>
      <x:c r="F90" s="8" t="s">
        <x:v>40</x:v>
      </x:c>
      <x:c r="G90" s="15" t="str">
        <x:f>IF(OR(N90="",N90&gt;기본입력!$C$34),"",VLOOKUP(O90,기본입력!$A$9:$F$33,5))</x:f>
        <x:v>양현수_53778</x:v>
      </x:c>
      <x:c r="H90" s="15" t="str">
        <x:f>IF(OR(N90="",N90&gt;기본입력!$C$34),"",기본입력!$C$6)</x:f>
        <x:v>1교육실(실습겸용강의실)_243089</x:v>
      </x:c>
      <x:c r="I90" s="15" t="str">
        <x:f>IF(OR(O90="",N90&gt;기본입력!$C$34),"",VLOOKUP(O90,기본입력!$A$9:$F$33,6,FALSE))</x:f>
        <x:v>웹 애플리케이션 개발__3</x:v>
      </x:c>
      <x:c r="J90" s="38" t="str">
        <x:f t="shared" si="8"/>
        <x:v>웹 애플리케이션 개발</x:v>
      </x:c>
      <x:c r="K90" s="38" t="str">
        <x:f t="shared" si="9"/>
        <x:v>1교육실(실습겸용강의실)</x:v>
      </x:c>
      <x:c r="L90" s="38" t="str">
        <x:f t="shared" si="10"/>
        <x:v>양현수</x:v>
      </x:c>
      <x:c r="M90" s="63"/>
      <x:c r="N90" s="30">
        <x:f>IF(F90="2","",COUNTIF($F$3:$F90,"=1"))</x:f>
        <x:v>78</x:v>
      </x:c>
      <x:c r="O90" s="30">
        <x:f t="shared" si="6"/>
        <x:v>1</x:v>
      </x:c>
      <x:c r="P90" s="30">
        <x:f t="shared" si="11"/>
        <x:v>0</x:v>
      </x:c>
      <x:c r="Q90" s="30">
        <x:f>COUNTIF($P$3:P90,"=3")</x:f>
        <x:v>10</x:v>
      </x:c>
      <x:c r="R90" s="29">
        <x:f>WORKDAY(기본입력!$H$2,Q90-1,공휴일)</x:f>
        <x:v>45940</x:v>
      </x:c>
    </x:row>
    <x:row r="91" spans="1:18">
      <x:c r="A91" s="145" t="str">
        <x:f t="shared" si="7"/>
        <x:v>20251010</x:v>
      </x:c>
      <x:c r="B91" s="8" t="s">
        <x:v>5</x:v>
      </x:c>
      <x:c r="C91" s="8">
        <x:v>1740</x:v>
      </x:c>
      <x:c r="D91" s="7" t="s">
        <x:v>1</x:v>
      </x:c>
      <x:c r="E91" s="8">
        <x:v>1540</x:v>
      </x:c>
      <x:c r="F91" s="8" t="s">
        <x:v>40</x:v>
      </x:c>
      <x:c r="G91" s="15" t="str">
        <x:f>IF(OR(N91="",N91&gt;기본입력!$C$34),"",VLOOKUP(O91,기본입력!$A$9:$F$33,5))</x:f>
        <x:v>양현수_53778</x:v>
      </x:c>
      <x:c r="H91" s="15" t="str">
        <x:f>IF(OR(N91="",N91&gt;기본입력!$C$34),"",기본입력!$C$6)</x:f>
        <x:v>1교육실(실습겸용강의실)_243089</x:v>
      </x:c>
      <x:c r="I91" s="15" t="str">
        <x:f>IF(OR(O91="",N91&gt;기본입력!$C$34),"",VLOOKUP(O91,기본입력!$A$9:$F$33,6,FALSE))</x:f>
        <x:v>웹 애플리케이션 개발__3</x:v>
      </x:c>
      <x:c r="J91" s="38" t="str">
        <x:f t="shared" si="8"/>
        <x:v>웹 애플리케이션 개발</x:v>
      </x:c>
      <x:c r="K91" s="38" t="str">
        <x:f t="shared" si="9"/>
        <x:v>1교육실(실습겸용강의실)</x:v>
      </x:c>
      <x:c r="L91" s="38" t="str">
        <x:f t="shared" si="10"/>
        <x:v>양현수</x:v>
      </x:c>
      <x:c r="M91" s="63"/>
      <x:c r="N91" s="30">
        <x:f>IF(F91="2","",COUNTIF($F$3:$F91,"=1"))</x:f>
        <x:v>79</x:v>
      </x:c>
      <x:c r="O91" s="30">
        <x:f t="shared" si="6"/>
        <x:v>1</x:v>
      </x:c>
      <x:c r="P91" s="30">
        <x:f t="shared" si="11"/>
        <x:v>1</x:v>
      </x:c>
      <x:c r="Q91" s="30">
        <x:f>COUNTIF($P$3:P91,"=3")</x:f>
        <x:v>10</x:v>
      </x:c>
      <x:c r="R91" s="29">
        <x:f>WORKDAY(기본입력!$H$2,Q91-1,공휴일)</x:f>
        <x:v>45940</x:v>
      </x:c>
    </x:row>
    <x:row r="92" spans="1:18">
      <x:c r="A92" s="145" t="str">
        <x:f t="shared" si="7"/>
        <x:v>20251010</x:v>
      </x:c>
      <x:c r="B92" s="8" t="s">
        <x:v>5</x:v>
      </x:c>
      <x:c r="C92" s="8">
        <x:v>1740</x:v>
      </x:c>
      <x:c r="D92" s="7" t="s">
        <x:v>1</x:v>
      </x:c>
      <x:c r="E92" s="8">
        <x:v>1640</x:v>
      </x:c>
      <x:c r="F92" s="8" t="s">
        <x:v>40</x:v>
      </x:c>
      <x:c r="G92" s="15" t="str">
        <x:f>IF(OR(N92="",N92&gt;기본입력!$C$34),"",VLOOKUP(O92,기본입력!$A$9:$F$33,5))</x:f>
        <x:v>양현수_53778</x:v>
      </x:c>
      <x:c r="H92" s="15" t="str">
        <x:f>IF(OR(N92="",N92&gt;기본입력!$C$34),"",기본입력!$C$6)</x:f>
        <x:v>1교육실(실습겸용강의실)_243089</x:v>
      </x:c>
      <x:c r="I92" s="15" t="str">
        <x:f>IF(OR(O92="",N92&gt;기본입력!$C$34),"",VLOOKUP(O92,기본입력!$A$9:$F$33,6,FALSE))</x:f>
        <x:v>웹 애플리케이션 개발__3</x:v>
      </x:c>
      <x:c r="J92" s="38" t="str">
        <x:f t="shared" si="8"/>
        <x:v>웹 애플리케이션 개발</x:v>
      </x:c>
      <x:c r="K92" s="38" t="str">
        <x:f t="shared" si="9"/>
        <x:v>1교육실(실습겸용강의실)</x:v>
      </x:c>
      <x:c r="L92" s="38" t="str">
        <x:f t="shared" si="10"/>
        <x:v>양현수</x:v>
      </x:c>
      <x:c r="M92" s="63"/>
      <x:c r="N92" s="30">
        <x:f>IF(F92="2","",COUNTIF($F$3:$F92,"=1"))</x:f>
        <x:v>80</x:v>
      </x:c>
      <x:c r="O92" s="30">
        <x:f t="shared" si="6"/>
        <x:v>1</x:v>
      </x:c>
      <x:c r="P92" s="30">
        <x:f t="shared" si="11"/>
        <x:v>2</x:v>
      </x:c>
      <x:c r="Q92" s="30">
        <x:f>COUNTIF($P$3:P92,"=3")</x:f>
        <x:v>10</x:v>
      </x:c>
      <x:c r="R92" s="29">
        <x:f>WORKDAY(기본입력!$H$2,Q92-1,공휴일)</x:f>
        <x:v>45940</x:v>
      </x:c>
    </x:row>
    <x:row r="93" spans="1:18">
      <x:c r="A93" s="144" t="str">
        <x:f t="shared" si="7"/>
        <x:v>20251013</x:v>
      </x:c>
      <x:c r="B93" s="6" t="s">
        <x:v>5</x:v>
      </x:c>
      <x:c r="C93" s="6">
        <x:v>1740</x:v>
      </x:c>
      <x:c r="D93" s="5" t="s">
        <x:v>1</x:v>
      </x:c>
      <x:c r="E93" s="6" t="s">
        <x:v>5</x:v>
      </x:c>
      <x:c r="F93" s="6" t="s">
        <x:v>40</x:v>
      </x:c>
      <x:c r="G93" s="14" t="str">
        <x:f>IF(OR(N93="",N93&gt;기본입력!$C$34),"",VLOOKUP(O93,기본입력!$A$9:$F$33,5))</x:f>
        <x:v>양현수_53778</x:v>
      </x:c>
      <x:c r="H93" s="14" t="str">
        <x:f>IF(OR(N93="",N93&gt;기본입력!$C$34),"",기본입력!$C$6)</x:f>
        <x:v>1교육실(실습겸용강의실)_243089</x:v>
      </x:c>
      <x:c r="I93" s="14" t="str">
        <x:f>IF(OR(O93="",N93&gt;기본입력!$C$34),"",VLOOKUP(O93,기본입력!$A$9:$F$33,6,FALSE))</x:f>
        <x:v>웹&amp;콘텐츠 서비스 개발__4</x:v>
      </x:c>
      <x:c r="J93" s="38" t="str">
        <x:f t="shared" si="8"/>
        <x:v>웹&amp;콘텐츠 서비스 개발</x:v>
      </x:c>
      <x:c r="K93" s="38" t="str">
        <x:f t="shared" si="9"/>
        <x:v>1교육실(실습겸용강의실)</x:v>
      </x:c>
      <x:c r="L93" s="38" t="str">
        <x:f t="shared" si="10"/>
        <x:v>양현수</x:v>
      </x:c>
      <x:c r="M93" s="63"/>
      <x:c r="N93" s="30">
        <x:f>IF(F93="2","",COUNTIF($F$3:$F93,"=1"))</x:f>
        <x:v>81</x:v>
      </x:c>
      <x:c r="O93" s="30">
        <x:f t="shared" si="6"/>
        <x:v>2</x:v>
      </x:c>
      <x:c r="P93" s="30">
        <x:f t="shared" si="11"/>
        <x:v>3</x:v>
      </x:c>
      <x:c r="Q93" s="30">
        <x:f>COUNTIF($P$3:P93,"=3")</x:f>
        <x:v>11</x:v>
      </x:c>
      <x:c r="R93" s="29">
        <x:f>WORKDAY(기본입력!$H$2,Q93-1,공휴일)</x:f>
        <x:v>45943</x:v>
      </x:c>
    </x:row>
    <x:row r="94" spans="1:18">
      <x:c r="A94" s="144" t="str">
        <x:f t="shared" si="7"/>
        <x:v>20251013</x:v>
      </x:c>
      <x:c r="B94" s="6" t="s">
        <x:v>5</x:v>
      </x:c>
      <x:c r="C94" s="6">
        <x:v>1740</x:v>
      </x:c>
      <x:c r="D94" s="5" t="s">
        <x:v>1</x:v>
      </x:c>
      <x:c r="E94" s="6" t="s">
        <x:v>117</x:v>
      </x:c>
      <x:c r="F94" s="6" t="s">
        <x:v>40</x:v>
      </x:c>
      <x:c r="G94" s="14" t="str">
        <x:f>IF(OR(N94="",N94&gt;기본입력!$C$34),"",VLOOKUP(O94,기본입력!$A$9:$F$33,5))</x:f>
        <x:v>양현수_53778</x:v>
      </x:c>
      <x:c r="H94" s="14" t="str">
        <x:f>IF(OR(N94="",N94&gt;기본입력!$C$34),"",기본입력!$C$6)</x:f>
        <x:v>1교육실(실습겸용강의실)_243089</x:v>
      </x:c>
      <x:c r="I94" s="14" t="str">
        <x:f>IF(OR(O94="",N94&gt;기본입력!$C$34),"",VLOOKUP(O94,기본입력!$A$9:$F$33,6,FALSE))</x:f>
        <x:v>웹&amp;콘텐츠 서비스 개발__4</x:v>
      </x:c>
      <x:c r="J94" s="38" t="str">
        <x:f t="shared" si="8"/>
        <x:v>웹&amp;콘텐츠 서비스 개발</x:v>
      </x:c>
      <x:c r="K94" s="38" t="str">
        <x:f t="shared" si="9"/>
        <x:v>1교육실(실습겸용강의실)</x:v>
      </x:c>
      <x:c r="L94" s="38" t="str">
        <x:f t="shared" si="10"/>
        <x:v>양현수</x:v>
      </x:c>
      <x:c r="M94" s="63"/>
      <x:c r="N94" s="30">
        <x:f>IF(F94="2","",COUNTIF($F$3:$F94,"=1"))</x:f>
        <x:v>82</x:v>
      </x:c>
      <x:c r="O94" s="30">
        <x:f t="shared" si="6"/>
        <x:v>2</x:v>
      </x:c>
      <x:c r="P94" s="30">
        <x:f t="shared" si="11"/>
        <x:v>4</x:v>
      </x:c>
      <x:c r="Q94" s="30">
        <x:f>COUNTIF($P$3:P94,"=3")</x:f>
        <x:v>11</x:v>
      </x:c>
      <x:c r="R94" s="29">
        <x:f>WORKDAY(기본입력!$H$2,Q94-1,공휴일)</x:f>
        <x:v>45943</x:v>
      </x:c>
    </x:row>
    <x:row r="95" spans="1:18">
      <x:c r="A95" s="144" t="str">
        <x:f t="shared" si="7"/>
        <x:v>20251013</x:v>
      </x:c>
      <x:c r="B95" s="6" t="s">
        <x:v>5</x:v>
      </x:c>
      <x:c r="C95" s="6">
        <x:v>1740</x:v>
      </x:c>
      <x:c r="D95" s="5" t="s">
        <x:v>1</x:v>
      </x:c>
      <x:c r="E95" s="6" t="s">
        <x:v>87</x:v>
      </x:c>
      <x:c r="F95" s="6" t="s">
        <x:v>40</x:v>
      </x:c>
      <x:c r="G95" s="14" t="str">
        <x:f>IF(OR(N95="",N95&gt;기본입력!$C$34),"",VLOOKUP(O95,기본입력!$A$9:$F$33,5))</x:f>
        <x:v>양현수_53778</x:v>
      </x:c>
      <x:c r="H95" s="14" t="str">
        <x:f>IF(OR(N95="",N95&gt;기본입력!$C$34),"",기본입력!$C$6)</x:f>
        <x:v>1교육실(실습겸용강의실)_243089</x:v>
      </x:c>
      <x:c r="I95" s="14" t="str">
        <x:f>IF(OR(O95="",N95&gt;기본입력!$C$34),"",VLOOKUP(O95,기본입력!$A$9:$F$33,6,FALSE))</x:f>
        <x:v>웹&amp;콘텐츠 서비스 개발__4</x:v>
      </x:c>
      <x:c r="J95" s="38" t="str">
        <x:f t="shared" si="8"/>
        <x:v>웹&amp;콘텐츠 서비스 개발</x:v>
      </x:c>
      <x:c r="K95" s="38" t="str">
        <x:f t="shared" si="9"/>
        <x:v>1교육실(실습겸용강의실)</x:v>
      </x:c>
      <x:c r="L95" s="38" t="str">
        <x:f t="shared" si="10"/>
        <x:v>양현수</x:v>
      </x:c>
      <x:c r="M95" s="63"/>
      <x:c r="N95" s="30">
        <x:f>IF(F95="2","",COUNTIF($F$3:$F95,"=1"))</x:f>
        <x:v>83</x:v>
      </x:c>
      <x:c r="O95" s="30">
        <x:f t="shared" si="6"/>
        <x:v>2</x:v>
      </x:c>
      <x:c r="P95" s="30">
        <x:f t="shared" si="11"/>
        <x:v>5</x:v>
      </x:c>
      <x:c r="Q95" s="30">
        <x:f>COUNTIF($P$3:P95,"=3")</x:f>
        <x:v>11</x:v>
      </x:c>
      <x:c r="R95" s="29">
        <x:f>WORKDAY(기본입력!$H$2,Q95-1,공휴일)</x:f>
        <x:v>45943</x:v>
      </x:c>
    </x:row>
    <x:row r="96" spans="1:18">
      <x:c r="A96" s="144" t="str">
        <x:f t="shared" si="7"/>
        <x:v>20251013</x:v>
      </x:c>
      <x:c r="B96" s="6" t="s">
        <x:v>5</x:v>
      </x:c>
      <x:c r="C96" s="6">
        <x:v>1740</x:v>
      </x:c>
      <x:c r="D96" s="5" t="s">
        <x:v>1</x:v>
      </x:c>
      <x:c r="E96" s="6" t="s">
        <x:v>88</x:v>
      </x:c>
      <x:c r="F96" s="6" t="s">
        <x:v>40</x:v>
      </x:c>
      <x:c r="G96" s="14" t="str">
        <x:f>IF(OR(N96="",N96&gt;기본입력!$C$34),"",VLOOKUP(O96,기본입력!$A$9:$F$33,5))</x:f>
        <x:v>양현수_53778</x:v>
      </x:c>
      <x:c r="H96" s="14" t="str">
        <x:f>IF(OR(N96="",N96&gt;기본입력!$C$34),"",기본입력!$C$6)</x:f>
        <x:v>1교육실(실습겸용강의실)_243089</x:v>
      </x:c>
      <x:c r="I96" s="14" t="str">
        <x:f>IF(OR(O96="",N96&gt;기본입력!$C$34),"",VLOOKUP(O96,기본입력!$A$9:$F$33,6,FALSE))</x:f>
        <x:v>웹&amp;콘텐츠 서비스 개발__4</x:v>
      </x:c>
      <x:c r="J96" s="38" t="str">
        <x:f t="shared" si="8"/>
        <x:v>웹&amp;콘텐츠 서비스 개발</x:v>
      </x:c>
      <x:c r="K96" s="38" t="str">
        <x:f t="shared" si="9"/>
        <x:v>1교육실(실습겸용강의실)</x:v>
      </x:c>
      <x:c r="L96" s="38" t="str">
        <x:f t="shared" si="10"/>
        <x:v>양현수</x:v>
      </x:c>
      <x:c r="M96" s="63"/>
      <x:c r="N96" s="30">
        <x:f>IF(F96="2","",COUNTIF($F$3:$F96,"=1"))</x:f>
        <x:v>84</x:v>
      </x:c>
      <x:c r="O96" s="30">
        <x:f t="shared" si="6"/>
        <x:v>2</x:v>
      </x:c>
      <x:c r="P96" s="30">
        <x:f t="shared" si="11"/>
        <x:v>6</x:v>
      </x:c>
      <x:c r="Q96" s="30">
        <x:f>COUNTIF($P$3:P96,"=3")</x:f>
        <x:v>11</x:v>
      </x:c>
      <x:c r="R96" s="29">
        <x:f>WORKDAY(기본입력!$H$2,Q96-1,공휴일)</x:f>
        <x:v>45943</x:v>
      </x:c>
    </x:row>
    <x:row r="97" spans="1:18">
      <x:c r="A97" s="144" t="str">
        <x:f t="shared" si="7"/>
        <x:v>20251013</x:v>
      </x:c>
      <x:c r="B97" s="6" t="s">
        <x:v>5</x:v>
      </x:c>
      <x:c r="C97" s="6">
        <x:v>1740</x:v>
      </x:c>
      <x:c r="D97" s="5" t="s">
        <x:v>1</x:v>
      </x:c>
      <x:c r="E97" s="6" t="s">
        <x:v>0</x:v>
      </x:c>
      <x:c r="F97" s="6" t="s">
        <x:v>41</x:v>
      </x:c>
      <x:c r="G97" s="14" t="str">
        <x:f>IF(OR(N97="",N97&gt;기본입력!$C$34),"",VLOOKUP(O97,기본입력!$A$9:$F$33,5))</x:f>
        <x:v/>
      </x:c>
      <x:c r="H97" s="14" t="str">
        <x:f>IF(OR(N97="",N97&gt;기본입력!$C$34),"",기본입력!$C$6)</x:f>
        <x:v/>
      </x:c>
      <x:c r="I97" s="14" t="str">
        <x:f>IF(OR(O97="",N97&gt;기본입력!$C$34),"",VLOOKUP(O97,기본입력!$A$9:$F$33,6,FALSE))</x:f>
        <x:v/>
      </x:c>
      <x:c r="J97" s="38" t="str">
        <x:f t="shared" si="8"/>
        <x:v/>
      </x:c>
      <x:c r="K97" s="38" t="str">
        <x:f t="shared" si="9"/>
        <x:v/>
      </x:c>
      <x:c r="L97" s="38" t="str">
        <x:f t="shared" si="10"/>
        <x:v/>
      </x:c>
      <x:c r="M97" s="63"/>
      <x:c r="N97" s="30" t="str">
        <x:f>IF(F97="2","",COUNTIF($F$3:$F97,"=1"))</x:f>
        <x:v/>
      </x:c>
      <x:c r="O97" s="30" t="str">
        <x:f t="shared" si="6"/>
        <x:v/>
      </x:c>
      <x:c r="P97" s="30">
        <x:f t="shared" si="11"/>
        <x:v>7</x:v>
      </x:c>
      <x:c r="Q97" s="30">
        <x:f>COUNTIF($P$3:P97,"=3")</x:f>
        <x:v>11</x:v>
      </x:c>
      <x:c r="R97" s="29">
        <x:f>WORKDAY(기본입력!$H$2,Q97-1,공휴일)</x:f>
        <x:v>45943</x:v>
      </x:c>
    </x:row>
    <x:row r="98" spans="1:18">
      <x:c r="A98" s="144" t="str">
        <x:f t="shared" si="7"/>
        <x:v>20251013</x:v>
      </x:c>
      <x:c r="B98" s="6" t="s">
        <x:v>5</x:v>
      </x:c>
      <x:c r="C98" s="6">
        <x:v>1740</x:v>
      </x:c>
      <x:c r="D98" s="5" t="s">
        <x:v>1</x:v>
      </x:c>
      <x:c r="E98" s="6">
        <x:v>1340</x:v>
      </x:c>
      <x:c r="F98" s="6" t="s">
        <x:v>40</x:v>
      </x:c>
      <x:c r="G98" s="14" t="str">
        <x:f>IF(OR(N98="",N98&gt;기본입력!$C$34),"",VLOOKUP(O98,기본입력!$A$9:$F$33,5))</x:f>
        <x:v>양현수_53778</x:v>
      </x:c>
      <x:c r="H98" s="14" t="str">
        <x:f>IF(OR(N98="",N98&gt;기본입력!$C$34),"",기본입력!$C$6)</x:f>
        <x:v>1교육실(실습겸용강의실)_243089</x:v>
      </x:c>
      <x:c r="I98" s="14" t="str">
        <x:f>IF(OR(O98="",N98&gt;기본입력!$C$34),"",VLOOKUP(O98,기본입력!$A$9:$F$33,6,FALSE))</x:f>
        <x:v>웹&amp;콘텐츠 서비스 개발__4</x:v>
      </x:c>
      <x:c r="J98" s="38" t="str">
        <x:f t="shared" si="8"/>
        <x:v>웹&amp;콘텐츠 서비스 개발</x:v>
      </x:c>
      <x:c r="K98" s="38" t="str">
        <x:f t="shared" si="9"/>
        <x:v>1교육실(실습겸용강의실)</x:v>
      </x:c>
      <x:c r="L98" s="38" t="str">
        <x:f t="shared" si="10"/>
        <x:v>양현수</x:v>
      </x:c>
      <x:c r="M98" s="63"/>
      <x:c r="N98" s="30">
        <x:f>IF(F98="2","",COUNTIF($F$3:$F98,"=1"))</x:f>
        <x:v>85</x:v>
      </x:c>
      <x:c r="O98" s="30">
        <x:f t="shared" si="6"/>
        <x:v>2</x:v>
      </x:c>
      <x:c r="P98" s="30">
        <x:f t="shared" si="11"/>
        <x:v>8</x:v>
      </x:c>
      <x:c r="Q98" s="30">
        <x:f>COUNTIF($P$3:P98,"=3")</x:f>
        <x:v>11</x:v>
      </x:c>
      <x:c r="R98" s="29">
        <x:f>WORKDAY(기본입력!$H$2,Q98-1,공휴일)</x:f>
        <x:v>45943</x:v>
      </x:c>
    </x:row>
    <x:row r="99" spans="1:18">
      <x:c r="A99" s="144" t="str">
        <x:f t="shared" si="7"/>
        <x:v>20251013</x:v>
      </x:c>
      <x:c r="B99" s="6" t="s">
        <x:v>5</x:v>
      </x:c>
      <x:c r="C99" s="6">
        <x:v>1740</x:v>
      </x:c>
      <x:c r="D99" s="5" t="s">
        <x:v>1</x:v>
      </x:c>
      <x:c r="E99" s="6">
        <x:v>1440</x:v>
      </x:c>
      <x:c r="F99" s="6" t="s">
        <x:v>40</x:v>
      </x:c>
      <x:c r="G99" s="14" t="str">
        <x:f>IF(OR(N99="",N99&gt;기본입력!$C$34),"",VLOOKUP(O99,기본입력!$A$9:$F$33,5))</x:f>
        <x:v>양현수_53778</x:v>
      </x:c>
      <x:c r="H99" s="14" t="str">
        <x:f>IF(OR(N99="",N99&gt;기본입력!$C$34),"",기본입력!$C$6)</x:f>
        <x:v>1교육실(실습겸용강의실)_243089</x:v>
      </x:c>
      <x:c r="I99" s="14" t="str">
        <x:f>IF(OR(O99="",N99&gt;기본입력!$C$34),"",VLOOKUP(O99,기본입력!$A$9:$F$33,6,FALSE))</x:f>
        <x:v>웹&amp;콘텐츠 서비스 개발__4</x:v>
      </x:c>
      <x:c r="J99" s="38" t="str">
        <x:f t="shared" si="8"/>
        <x:v>웹&amp;콘텐츠 서비스 개발</x:v>
      </x:c>
      <x:c r="K99" s="38" t="str">
        <x:f t="shared" si="9"/>
        <x:v>1교육실(실습겸용강의실)</x:v>
      </x:c>
      <x:c r="L99" s="38" t="str">
        <x:f t="shared" si="10"/>
        <x:v>양현수</x:v>
      </x:c>
      <x:c r="M99" s="63"/>
      <x:c r="N99" s="30">
        <x:f>IF(F99="2","",COUNTIF($F$3:$F99,"=1"))</x:f>
        <x:v>86</x:v>
      </x:c>
      <x:c r="O99" s="30">
        <x:f t="shared" si="6"/>
        <x:v>2</x:v>
      </x:c>
      <x:c r="P99" s="30">
        <x:f t="shared" si="11"/>
        <x:v>0</x:v>
      </x:c>
      <x:c r="Q99" s="30">
        <x:f>COUNTIF($P$3:P99,"=3")</x:f>
        <x:v>11</x:v>
      </x:c>
      <x:c r="R99" s="29">
        <x:f>WORKDAY(기본입력!$H$2,Q99-1,공휴일)</x:f>
        <x:v>45943</x:v>
      </x:c>
    </x:row>
    <x:row r="100" spans="1:18">
      <x:c r="A100" s="144" t="str">
        <x:f t="shared" si="7"/>
        <x:v>20251013</x:v>
      </x:c>
      <x:c r="B100" s="6" t="s">
        <x:v>5</x:v>
      </x:c>
      <x:c r="C100" s="6">
        <x:v>1740</x:v>
      </x:c>
      <x:c r="D100" s="5" t="s">
        <x:v>1</x:v>
      </x:c>
      <x:c r="E100" s="6">
        <x:v>1540</x:v>
      </x:c>
      <x:c r="F100" s="6" t="s">
        <x:v>40</x:v>
      </x:c>
      <x:c r="G100" s="14" t="str">
        <x:f>IF(OR(N100="",N100&gt;기본입력!$C$34),"",VLOOKUP(O100,기본입력!$A$9:$F$33,5))</x:f>
        <x:v>양현수_53778</x:v>
      </x:c>
      <x:c r="H100" s="14" t="str">
        <x:f>IF(OR(N100="",N100&gt;기본입력!$C$34),"",기본입력!$C$6)</x:f>
        <x:v>1교육실(실습겸용강의실)_243089</x:v>
      </x:c>
      <x:c r="I100" s="14" t="str">
        <x:f>IF(OR(O100="",N100&gt;기본입력!$C$34),"",VLOOKUP(O100,기본입력!$A$9:$F$33,6,FALSE))</x:f>
        <x:v>웹&amp;콘텐츠 서비스 개발__4</x:v>
      </x:c>
      <x:c r="J100" s="38" t="str">
        <x:f t="shared" si="8"/>
        <x:v>웹&amp;콘텐츠 서비스 개발</x:v>
      </x:c>
      <x:c r="K100" s="38" t="str">
        <x:f t="shared" si="9"/>
        <x:v>1교육실(실습겸용강의실)</x:v>
      </x:c>
      <x:c r="L100" s="38" t="str">
        <x:f t="shared" si="10"/>
        <x:v>양현수</x:v>
      </x:c>
      <x:c r="M100" s="63"/>
      <x:c r="N100" s="30">
        <x:f>IF(F100="2","",COUNTIF($F$3:$F100,"=1"))</x:f>
        <x:v>87</x:v>
      </x:c>
      <x:c r="O100" s="30">
        <x:f t="shared" si="6"/>
        <x:v>2</x:v>
      </x:c>
      <x:c r="P100" s="30">
        <x:f t="shared" si="11"/>
        <x:v>1</x:v>
      </x:c>
      <x:c r="Q100" s="30">
        <x:f>COUNTIF($P$3:P100,"=3")</x:f>
        <x:v>11</x:v>
      </x:c>
      <x:c r="R100" s="29">
        <x:f>WORKDAY(기본입력!$H$2,Q100-1,공휴일)</x:f>
        <x:v>45943</x:v>
      </x:c>
    </x:row>
    <x:row r="101" spans="1:18">
      <x:c r="A101" s="144" t="str">
        <x:f t="shared" si="7"/>
        <x:v>20251013</x:v>
      </x:c>
      <x:c r="B101" s="6" t="s">
        <x:v>5</x:v>
      </x:c>
      <x:c r="C101" s="6">
        <x:v>1740</x:v>
      </x:c>
      <x:c r="D101" s="5" t="s">
        <x:v>1</x:v>
      </x:c>
      <x:c r="E101" s="6">
        <x:v>1640</x:v>
      </x:c>
      <x:c r="F101" s="6" t="s">
        <x:v>40</x:v>
      </x:c>
      <x:c r="G101" s="14" t="str">
        <x:f>IF(OR(N101="",N101&gt;기본입력!$C$34),"",VLOOKUP(O101,기본입력!$A$9:$F$33,5))</x:f>
        <x:v>양현수_53778</x:v>
      </x:c>
      <x:c r="H101" s="14" t="str">
        <x:f>IF(OR(N101="",N101&gt;기본입력!$C$34),"",기본입력!$C$6)</x:f>
        <x:v>1교육실(실습겸용강의실)_243089</x:v>
      </x:c>
      <x:c r="I101" s="14" t="str">
        <x:f>IF(OR(O101="",N101&gt;기본입력!$C$34),"",VLOOKUP(O101,기본입력!$A$9:$F$33,6,FALSE))</x:f>
        <x:v>웹&amp;콘텐츠 서비스 개발__4</x:v>
      </x:c>
      <x:c r="J101" s="38" t="str">
        <x:f t="shared" si="8"/>
        <x:v>웹&amp;콘텐츠 서비스 개발</x:v>
      </x:c>
      <x:c r="K101" s="38" t="str">
        <x:f t="shared" si="9"/>
        <x:v>1교육실(실습겸용강의실)</x:v>
      </x:c>
      <x:c r="L101" s="38" t="str">
        <x:f t="shared" si="10"/>
        <x:v>양현수</x:v>
      </x:c>
      <x:c r="M101" s="63"/>
      <x:c r="N101" s="30">
        <x:f>IF(F101="2","",COUNTIF($F$3:$F101,"=1"))</x:f>
        <x:v>88</x:v>
      </x:c>
      <x:c r="O101" s="30">
        <x:f t="shared" si="6"/>
        <x:v>2</x:v>
      </x:c>
      <x:c r="P101" s="30">
        <x:f t="shared" si="11"/>
        <x:v>2</x:v>
      </x:c>
      <x:c r="Q101" s="30">
        <x:f>COUNTIF($P$3:P101,"=3")</x:f>
        <x:v>11</x:v>
      </x:c>
      <x:c r="R101" s="29">
        <x:f>WORKDAY(기본입력!$H$2,Q101-1,공휴일)</x:f>
        <x:v>45943</x:v>
      </x:c>
    </x:row>
    <x:row r="102" spans="1:18">
      <x:c r="A102" s="145" t="str">
        <x:f t="shared" si="7"/>
        <x:v>20251014</x:v>
      </x:c>
      <x:c r="B102" s="8" t="s">
        <x:v>5</x:v>
      </x:c>
      <x:c r="C102" s="8">
        <x:v>1740</x:v>
      </x:c>
      <x:c r="D102" s="7" t="s">
        <x:v>1</x:v>
      </x:c>
      <x:c r="E102" s="8" t="s">
        <x:v>5</x:v>
      </x:c>
      <x:c r="F102" s="8" t="s">
        <x:v>40</x:v>
      </x:c>
      <x:c r="G102" s="15" t="str">
        <x:f>IF(OR(N102="",N102&gt;기본입력!$C$34),"",VLOOKUP(O102,기본입력!$A$9:$F$33,5))</x:f>
        <x:v>양현수_53778</x:v>
      </x:c>
      <x:c r="H102" s="15" t="str">
        <x:f>IF(OR(N102="",N102&gt;기본입력!$C$34),"",기본입력!$C$6)</x:f>
        <x:v>1교육실(실습겸용강의실)_243089</x:v>
      </x:c>
      <x:c r="I102" s="15" t="str">
        <x:f>IF(OR(O102="",N102&gt;기본입력!$C$34),"",VLOOKUP(O102,기본입력!$A$9:$F$33,6,FALSE))</x:f>
        <x:v>웹&amp;콘텐츠 서비스 개발__4</x:v>
      </x:c>
      <x:c r="J102" s="38" t="str">
        <x:f t="shared" si="8"/>
        <x:v>웹&amp;콘텐츠 서비스 개발</x:v>
      </x:c>
      <x:c r="K102" s="38" t="str">
        <x:f t="shared" si="9"/>
        <x:v>1교육실(실습겸용강의실)</x:v>
      </x:c>
      <x:c r="L102" s="38" t="str">
        <x:f t="shared" si="10"/>
        <x:v>양현수</x:v>
      </x:c>
      <x:c r="M102" s="63"/>
      <x:c r="N102" s="30">
        <x:f>IF(F102="2","",COUNTIF($F$3:$F102,"=1"))</x:f>
        <x:v>89</x:v>
      </x:c>
      <x:c r="O102" s="30">
        <x:f t="shared" si="6"/>
        <x:v>2</x:v>
      </x:c>
      <x:c r="P102" s="30">
        <x:f t="shared" si="11"/>
        <x:v>3</x:v>
      </x:c>
      <x:c r="Q102" s="30">
        <x:f>COUNTIF($P$3:P102,"=3")</x:f>
        <x:v>12</x:v>
      </x:c>
      <x:c r="R102" s="29">
        <x:f>WORKDAY(기본입력!$H$2,Q102-1,공휴일)</x:f>
        <x:v>45944</x:v>
      </x:c>
    </x:row>
    <x:row r="103" spans="1:18">
      <x:c r="A103" s="145" t="str">
        <x:f t="shared" si="7"/>
        <x:v>20251014</x:v>
      </x:c>
      <x:c r="B103" s="8" t="s">
        <x:v>5</x:v>
      </x:c>
      <x:c r="C103" s="8">
        <x:v>1740</x:v>
      </x:c>
      <x:c r="D103" s="7" t="s">
        <x:v>1</x:v>
      </x:c>
      <x:c r="E103" s="8" t="s">
        <x:v>117</x:v>
      </x:c>
      <x:c r="F103" s="8" t="s">
        <x:v>40</x:v>
      </x:c>
      <x:c r="G103" s="15" t="str">
        <x:f>IF(OR(N103="",N103&gt;기본입력!$C$34),"",VLOOKUP(O103,기본입력!$A$9:$F$33,5))</x:f>
        <x:v>양현수_53778</x:v>
      </x:c>
      <x:c r="H103" s="15" t="str">
        <x:f>IF(OR(N103="",N103&gt;기본입력!$C$34),"",기본입력!$C$6)</x:f>
        <x:v>1교육실(실습겸용강의실)_243089</x:v>
      </x:c>
      <x:c r="I103" s="15" t="str">
        <x:f>IF(OR(O103="",N103&gt;기본입력!$C$34),"",VLOOKUP(O103,기본입력!$A$9:$F$33,6,FALSE))</x:f>
        <x:v>웹&amp;콘텐츠 서비스 개발__4</x:v>
      </x:c>
      <x:c r="J103" s="38" t="str">
        <x:f t="shared" si="8"/>
        <x:v>웹&amp;콘텐츠 서비스 개발</x:v>
      </x:c>
      <x:c r="K103" s="38" t="str">
        <x:f t="shared" si="9"/>
        <x:v>1교육실(실습겸용강의실)</x:v>
      </x:c>
      <x:c r="L103" s="38" t="str">
        <x:f t="shared" si="10"/>
        <x:v>양현수</x:v>
      </x:c>
      <x:c r="M103" s="63"/>
      <x:c r="N103" s="30">
        <x:f>IF(F103="2","",COUNTIF($F$3:$F103,"=1"))</x:f>
        <x:v>90</x:v>
      </x:c>
      <x:c r="O103" s="30">
        <x:f t="shared" si="6"/>
        <x:v>2</x:v>
      </x:c>
      <x:c r="P103" s="30">
        <x:f t="shared" si="11"/>
        <x:v>4</x:v>
      </x:c>
      <x:c r="Q103" s="30">
        <x:f>COUNTIF($P$3:P103,"=3")</x:f>
        <x:v>12</x:v>
      </x:c>
      <x:c r="R103" s="29">
        <x:f>WORKDAY(기본입력!$H$2,Q103-1,공휴일)</x:f>
        <x:v>45944</x:v>
      </x:c>
    </x:row>
    <x:row r="104" spans="1:18">
      <x:c r="A104" s="145" t="str">
        <x:f t="shared" si="7"/>
        <x:v>20251014</x:v>
      </x:c>
      <x:c r="B104" s="8" t="s">
        <x:v>5</x:v>
      </x:c>
      <x:c r="C104" s="8">
        <x:v>1740</x:v>
      </x:c>
      <x:c r="D104" s="7" t="s">
        <x:v>1</x:v>
      </x:c>
      <x:c r="E104" s="8" t="s">
        <x:v>87</x:v>
      </x:c>
      <x:c r="F104" s="8" t="s">
        <x:v>40</x:v>
      </x:c>
      <x:c r="G104" s="15" t="str">
        <x:f>IF(OR(N104="",N104&gt;기본입력!$C$34),"",VLOOKUP(O104,기본입력!$A$9:$F$33,5))</x:f>
        <x:v>양현수_53778</x:v>
      </x:c>
      <x:c r="H104" s="15" t="str">
        <x:f>IF(OR(N104="",N104&gt;기본입력!$C$34),"",기본입력!$C$6)</x:f>
        <x:v>1교육실(실습겸용강의실)_243089</x:v>
      </x:c>
      <x:c r="I104" s="15" t="str">
        <x:f>IF(OR(O104="",N104&gt;기본입력!$C$34),"",VLOOKUP(O104,기본입력!$A$9:$F$33,6,FALSE))</x:f>
        <x:v>웹&amp;콘텐츠 서비스 개발__4</x:v>
      </x:c>
      <x:c r="J104" s="38" t="str">
        <x:f t="shared" si="8"/>
        <x:v>웹&amp;콘텐츠 서비스 개발</x:v>
      </x:c>
      <x:c r="K104" s="38" t="str">
        <x:f t="shared" si="9"/>
        <x:v>1교육실(실습겸용강의실)</x:v>
      </x:c>
      <x:c r="L104" s="38" t="str">
        <x:f t="shared" si="10"/>
        <x:v>양현수</x:v>
      </x:c>
      <x:c r="M104" s="63"/>
      <x:c r="N104" s="30">
        <x:f>IF(F104="2","",COUNTIF($F$3:$F104,"=1"))</x:f>
        <x:v>91</x:v>
      </x:c>
      <x:c r="O104" s="30">
        <x:f t="shared" si="6"/>
        <x:v>2</x:v>
      </x:c>
      <x:c r="P104" s="30">
        <x:f t="shared" si="11"/>
        <x:v>5</x:v>
      </x:c>
      <x:c r="Q104" s="30">
        <x:f>COUNTIF($P$3:P104,"=3")</x:f>
        <x:v>12</x:v>
      </x:c>
      <x:c r="R104" s="29">
        <x:f>WORKDAY(기본입력!$H$2,Q104-1,공휴일)</x:f>
        <x:v>45944</x:v>
      </x:c>
    </x:row>
    <x:row r="105" spans="1:18">
      <x:c r="A105" s="145" t="str">
        <x:f t="shared" si="7"/>
        <x:v>20251014</x:v>
      </x:c>
      <x:c r="B105" s="8" t="s">
        <x:v>5</x:v>
      </x:c>
      <x:c r="C105" s="8">
        <x:v>1740</x:v>
      </x:c>
      <x:c r="D105" s="7" t="s">
        <x:v>1</x:v>
      </x:c>
      <x:c r="E105" s="8" t="s">
        <x:v>88</x:v>
      </x:c>
      <x:c r="F105" s="8" t="s">
        <x:v>40</x:v>
      </x:c>
      <x:c r="G105" s="15" t="str">
        <x:f>IF(OR(N105="",N105&gt;기본입력!$C$34),"",VLOOKUP(O105,기본입력!$A$9:$F$33,5))</x:f>
        <x:v>양현수_53778</x:v>
      </x:c>
      <x:c r="H105" s="15" t="str">
        <x:f>IF(OR(N105="",N105&gt;기본입력!$C$34),"",기본입력!$C$6)</x:f>
        <x:v>1교육실(실습겸용강의실)_243089</x:v>
      </x:c>
      <x:c r="I105" s="15" t="str">
        <x:f>IF(OR(O105="",N105&gt;기본입력!$C$34),"",VLOOKUP(O105,기본입력!$A$9:$F$33,6,FALSE))</x:f>
        <x:v>웹&amp;콘텐츠 서비스 개발__4</x:v>
      </x:c>
      <x:c r="J105" s="38" t="str">
        <x:f t="shared" si="8"/>
        <x:v>웹&amp;콘텐츠 서비스 개발</x:v>
      </x:c>
      <x:c r="K105" s="38" t="str">
        <x:f t="shared" si="9"/>
        <x:v>1교육실(실습겸용강의실)</x:v>
      </x:c>
      <x:c r="L105" s="38" t="str">
        <x:f t="shared" si="10"/>
        <x:v>양현수</x:v>
      </x:c>
      <x:c r="M105" s="63"/>
      <x:c r="N105" s="30">
        <x:f>IF(F105="2","",COUNTIF($F$3:$F105,"=1"))</x:f>
        <x:v>92</x:v>
      </x:c>
      <x:c r="O105" s="30">
        <x:f t="shared" si="6"/>
        <x:v>2</x:v>
      </x:c>
      <x:c r="P105" s="30">
        <x:f t="shared" si="11"/>
        <x:v>6</x:v>
      </x:c>
      <x:c r="Q105" s="30">
        <x:f>COUNTIF($P$3:P105,"=3")</x:f>
        <x:v>12</x:v>
      </x:c>
      <x:c r="R105" s="29">
        <x:f>WORKDAY(기본입력!$H$2,Q105-1,공휴일)</x:f>
        <x:v>45944</x:v>
      </x:c>
    </x:row>
    <x:row r="106" spans="1:18">
      <x:c r="A106" s="145" t="str">
        <x:f t="shared" si="7"/>
        <x:v>20251014</x:v>
      </x:c>
      <x:c r="B106" s="8" t="s">
        <x:v>5</x:v>
      </x:c>
      <x:c r="C106" s="8">
        <x:v>1740</x:v>
      </x:c>
      <x:c r="D106" s="7" t="s">
        <x:v>1</x:v>
      </x:c>
      <x:c r="E106" s="8" t="s">
        <x:v>0</x:v>
      </x:c>
      <x:c r="F106" s="8" t="s">
        <x:v>41</x:v>
      </x:c>
      <x:c r="G106" s="15" t="str">
        <x:f>IF(OR(N106="",N106&gt;기본입력!$C$34),"",VLOOKUP(O106,기본입력!$A$9:$F$33,5))</x:f>
        <x:v/>
      </x:c>
      <x:c r="H106" s="15" t="str">
        <x:f>IF(OR(N106="",N106&gt;기본입력!$C$34),"",기본입력!$C$6)</x:f>
        <x:v/>
      </x:c>
      <x:c r="I106" s="15" t="str">
        <x:f>IF(OR(O106="",N106&gt;기본입력!$C$34),"",VLOOKUP(O106,기본입력!$A$9:$F$33,6,FALSE))</x:f>
        <x:v/>
      </x:c>
      <x:c r="J106" s="38" t="str">
        <x:f t="shared" si="8"/>
        <x:v/>
      </x:c>
      <x:c r="K106" s="38" t="str">
        <x:f t="shared" si="9"/>
        <x:v/>
      </x:c>
      <x:c r="L106" s="38" t="str">
        <x:f t="shared" si="10"/>
        <x:v/>
      </x:c>
      <x:c r="M106" s="63"/>
      <x:c r="N106" s="30" t="str">
        <x:f>IF(F106="2","",COUNTIF($F$3:$F106,"=1"))</x:f>
        <x:v/>
      </x:c>
      <x:c r="O106" s="30" t="str">
        <x:f t="shared" si="6"/>
        <x:v/>
      </x:c>
      <x:c r="P106" s="30">
        <x:f t="shared" si="11"/>
        <x:v>7</x:v>
      </x:c>
      <x:c r="Q106" s="30">
        <x:f>COUNTIF($P$3:P106,"=3")</x:f>
        <x:v>12</x:v>
      </x:c>
      <x:c r="R106" s="29">
        <x:f>WORKDAY(기본입력!$H$2,Q106-1,공휴일)</x:f>
        <x:v>45944</x:v>
      </x:c>
    </x:row>
    <x:row r="107" spans="1:18">
      <x:c r="A107" s="145" t="str">
        <x:f t="shared" si="7"/>
        <x:v>20251014</x:v>
      </x:c>
      <x:c r="B107" s="8" t="s">
        <x:v>5</x:v>
      </x:c>
      <x:c r="C107" s="8">
        <x:v>1740</x:v>
      </x:c>
      <x:c r="D107" s="7" t="s">
        <x:v>1</x:v>
      </x:c>
      <x:c r="E107" s="8">
        <x:v>1340</x:v>
      </x:c>
      <x:c r="F107" s="8" t="s">
        <x:v>40</x:v>
      </x:c>
      <x:c r="G107" s="15" t="str">
        <x:f>IF(OR(N107="",N107&gt;기본입력!$C$34),"",VLOOKUP(O107,기본입력!$A$9:$F$33,5))</x:f>
        <x:v>양현수_53778</x:v>
      </x:c>
      <x:c r="H107" s="15" t="str">
        <x:f>IF(OR(N107="",N107&gt;기본입력!$C$34),"",기본입력!$C$6)</x:f>
        <x:v>1교육실(실습겸용강의실)_243089</x:v>
      </x:c>
      <x:c r="I107" s="15" t="str">
        <x:f>IF(OR(O107="",N107&gt;기본입력!$C$34),"",VLOOKUP(O107,기본입력!$A$9:$F$33,6,FALSE))</x:f>
        <x:v>웹&amp;콘텐츠 서비스 개발__4</x:v>
      </x:c>
      <x:c r="J107" s="38" t="str">
        <x:f t="shared" si="8"/>
        <x:v>웹&amp;콘텐츠 서비스 개발</x:v>
      </x:c>
      <x:c r="K107" s="38" t="str">
        <x:f t="shared" si="9"/>
        <x:v>1교육실(실습겸용강의실)</x:v>
      </x:c>
      <x:c r="L107" s="38" t="str">
        <x:f t="shared" si="10"/>
        <x:v>양현수</x:v>
      </x:c>
      <x:c r="M107" s="63"/>
      <x:c r="N107" s="30">
        <x:f>IF(F107="2","",COUNTIF($F$3:$F107,"=1"))</x:f>
        <x:v>93</x:v>
      </x:c>
      <x:c r="O107" s="30">
        <x:f t="shared" si="6"/>
        <x:v>2</x:v>
      </x:c>
      <x:c r="P107" s="30">
        <x:f t="shared" si="11"/>
        <x:v>8</x:v>
      </x:c>
      <x:c r="Q107" s="30">
        <x:f>COUNTIF($P$3:P107,"=3")</x:f>
        <x:v>12</x:v>
      </x:c>
      <x:c r="R107" s="29">
        <x:f>WORKDAY(기본입력!$H$2,Q107-1,공휴일)</x:f>
        <x:v>45944</x:v>
      </x:c>
    </x:row>
    <x:row r="108" spans="1:18">
      <x:c r="A108" s="145" t="str">
        <x:f t="shared" si="7"/>
        <x:v>20251014</x:v>
      </x:c>
      <x:c r="B108" s="8" t="s">
        <x:v>5</x:v>
      </x:c>
      <x:c r="C108" s="8">
        <x:v>1740</x:v>
      </x:c>
      <x:c r="D108" s="7" t="s">
        <x:v>1</x:v>
      </x:c>
      <x:c r="E108" s="8">
        <x:v>1440</x:v>
      </x:c>
      <x:c r="F108" s="8" t="s">
        <x:v>40</x:v>
      </x:c>
      <x:c r="G108" s="15" t="str">
        <x:f>IF(OR(N108="",N108&gt;기본입력!$C$34),"",VLOOKUP(O108,기본입력!$A$9:$F$33,5))</x:f>
        <x:v>양현수_53778</x:v>
      </x:c>
      <x:c r="H108" s="15" t="str">
        <x:f>IF(OR(N108="",N108&gt;기본입력!$C$34),"",기본입력!$C$6)</x:f>
        <x:v>1교육실(실습겸용강의실)_243089</x:v>
      </x:c>
      <x:c r="I108" s="15" t="str">
        <x:f>IF(OR(O108="",N108&gt;기본입력!$C$34),"",VLOOKUP(O108,기본입력!$A$9:$F$33,6,FALSE))</x:f>
        <x:v>웹&amp;콘텐츠 서비스 개발__4</x:v>
      </x:c>
      <x:c r="J108" s="38" t="str">
        <x:f t="shared" si="8"/>
        <x:v>웹&amp;콘텐츠 서비스 개발</x:v>
      </x:c>
      <x:c r="K108" s="38" t="str">
        <x:f t="shared" si="9"/>
        <x:v>1교육실(실습겸용강의실)</x:v>
      </x:c>
      <x:c r="L108" s="38" t="str">
        <x:f t="shared" si="10"/>
        <x:v>양현수</x:v>
      </x:c>
      <x:c r="M108" s="63"/>
      <x:c r="N108" s="30">
        <x:f>IF(F108="2","",COUNTIF($F$3:$F108,"=1"))</x:f>
        <x:v>94</x:v>
      </x:c>
      <x:c r="O108" s="30">
        <x:f t="shared" si="6"/>
        <x:v>2</x:v>
      </x:c>
      <x:c r="P108" s="30">
        <x:f t="shared" si="11"/>
        <x:v>0</x:v>
      </x:c>
      <x:c r="Q108" s="30">
        <x:f>COUNTIF($P$3:P108,"=3")</x:f>
        <x:v>12</x:v>
      </x:c>
      <x:c r="R108" s="29">
        <x:f>WORKDAY(기본입력!$H$2,Q108-1,공휴일)</x:f>
        <x:v>45944</x:v>
      </x:c>
    </x:row>
    <x:row r="109" spans="1:18">
      <x:c r="A109" s="145" t="str">
        <x:f t="shared" si="7"/>
        <x:v>20251014</x:v>
      </x:c>
      <x:c r="B109" s="8" t="s">
        <x:v>5</x:v>
      </x:c>
      <x:c r="C109" s="8">
        <x:v>1740</x:v>
      </x:c>
      <x:c r="D109" s="7" t="s">
        <x:v>1</x:v>
      </x:c>
      <x:c r="E109" s="8">
        <x:v>1540</x:v>
      </x:c>
      <x:c r="F109" s="8" t="s">
        <x:v>40</x:v>
      </x:c>
      <x:c r="G109" s="15" t="str">
        <x:f>IF(OR(N109="",N109&gt;기본입력!$C$34),"",VLOOKUP(O109,기본입력!$A$9:$F$33,5))</x:f>
        <x:v>양현수_53778</x:v>
      </x:c>
      <x:c r="H109" s="15" t="str">
        <x:f>IF(OR(N109="",N109&gt;기본입력!$C$34),"",기본입력!$C$6)</x:f>
        <x:v>1교육실(실습겸용강의실)_243089</x:v>
      </x:c>
      <x:c r="I109" s="15" t="str">
        <x:f>IF(OR(O109="",N109&gt;기본입력!$C$34),"",VLOOKUP(O109,기본입력!$A$9:$F$33,6,FALSE))</x:f>
        <x:v>웹&amp;콘텐츠 서비스 개발__4</x:v>
      </x:c>
      <x:c r="J109" s="38" t="str">
        <x:f t="shared" si="8"/>
        <x:v>웹&amp;콘텐츠 서비스 개발</x:v>
      </x:c>
      <x:c r="K109" s="38" t="str">
        <x:f t="shared" si="9"/>
        <x:v>1교육실(실습겸용강의실)</x:v>
      </x:c>
      <x:c r="L109" s="38" t="str">
        <x:f t="shared" si="10"/>
        <x:v>양현수</x:v>
      </x:c>
      <x:c r="M109" s="63"/>
      <x:c r="N109" s="30">
        <x:f>IF(F109="2","",COUNTIF($F$3:$F109,"=1"))</x:f>
        <x:v>95</x:v>
      </x:c>
      <x:c r="O109" s="30">
        <x:f t="shared" si="6"/>
        <x:v>2</x:v>
      </x:c>
      <x:c r="P109" s="30">
        <x:f t="shared" si="11"/>
        <x:v>1</x:v>
      </x:c>
      <x:c r="Q109" s="30">
        <x:f>COUNTIF($P$3:P109,"=3")</x:f>
        <x:v>12</x:v>
      </x:c>
      <x:c r="R109" s="29">
        <x:f>WORKDAY(기본입력!$H$2,Q109-1,공휴일)</x:f>
        <x:v>45944</x:v>
      </x:c>
    </x:row>
    <x:row r="110" spans="1:18">
      <x:c r="A110" s="145" t="str">
        <x:f t="shared" si="7"/>
        <x:v>20251014</x:v>
      </x:c>
      <x:c r="B110" s="8" t="s">
        <x:v>5</x:v>
      </x:c>
      <x:c r="C110" s="8">
        <x:v>1740</x:v>
      </x:c>
      <x:c r="D110" s="7" t="s">
        <x:v>1</x:v>
      </x:c>
      <x:c r="E110" s="8">
        <x:v>1640</x:v>
      </x:c>
      <x:c r="F110" s="8" t="s">
        <x:v>40</x:v>
      </x:c>
      <x:c r="G110" s="15" t="str">
        <x:f>IF(OR(N110="",N110&gt;기본입력!$C$34),"",VLOOKUP(O110,기본입력!$A$9:$F$33,5))</x:f>
        <x:v>양현수_53778</x:v>
      </x:c>
      <x:c r="H110" s="15" t="str">
        <x:f>IF(OR(N110="",N110&gt;기본입력!$C$34),"",기본입력!$C$6)</x:f>
        <x:v>1교육실(실습겸용강의실)_243089</x:v>
      </x:c>
      <x:c r="I110" s="15" t="str">
        <x:f>IF(OR(O110="",N110&gt;기본입력!$C$34),"",VLOOKUP(O110,기본입력!$A$9:$F$33,6,FALSE))</x:f>
        <x:v>웹&amp;콘텐츠 서비스 개발__4</x:v>
      </x:c>
      <x:c r="J110" s="38" t="str">
        <x:f t="shared" si="8"/>
        <x:v>웹&amp;콘텐츠 서비스 개발</x:v>
      </x:c>
      <x:c r="K110" s="38" t="str">
        <x:f t="shared" si="9"/>
        <x:v>1교육실(실습겸용강의실)</x:v>
      </x:c>
      <x:c r="L110" s="38" t="str">
        <x:f t="shared" si="10"/>
        <x:v>양현수</x:v>
      </x:c>
      <x:c r="M110" s="63"/>
      <x:c r="N110" s="30">
        <x:f>IF(F110="2","",COUNTIF($F$3:$F110,"=1"))</x:f>
        <x:v>96</x:v>
      </x:c>
      <x:c r="O110" s="30">
        <x:f t="shared" si="6"/>
        <x:v>2</x:v>
      </x:c>
      <x:c r="P110" s="30">
        <x:f t="shared" si="11"/>
        <x:v>2</x:v>
      </x:c>
      <x:c r="Q110" s="30">
        <x:f>COUNTIF($P$3:P110,"=3")</x:f>
        <x:v>12</x:v>
      </x:c>
      <x:c r="R110" s="29">
        <x:f>WORKDAY(기본입력!$H$2,Q110-1,공휴일)</x:f>
        <x:v>45944</x:v>
      </x:c>
    </x:row>
    <x:row r="111" spans="1:18">
      <x:c r="A111" s="144" t="str">
        <x:f t="shared" si="7"/>
        <x:v>20251015</x:v>
      </x:c>
      <x:c r="B111" s="6" t="s">
        <x:v>5</x:v>
      </x:c>
      <x:c r="C111" s="6">
        <x:v>1740</x:v>
      </x:c>
      <x:c r="D111" s="5" t="s">
        <x:v>1</x:v>
      </x:c>
      <x:c r="E111" s="6" t="s">
        <x:v>5</x:v>
      </x:c>
      <x:c r="F111" s="6" t="s">
        <x:v>40</x:v>
      </x:c>
      <x:c r="G111" s="14" t="str">
        <x:f>IF(OR(N111="",N111&gt;기본입력!$C$34),"",VLOOKUP(O111,기본입력!$A$9:$F$33,5))</x:f>
        <x:v>양현수_53778</x:v>
      </x:c>
      <x:c r="H111" s="14" t="str">
        <x:f>IF(OR(N111="",N111&gt;기본입력!$C$34),"",기본입력!$C$6)</x:f>
        <x:v>1교육실(실습겸용강의실)_243089</x:v>
      </x:c>
      <x:c r="I111" s="14" t="str">
        <x:f>IF(OR(O111="",N111&gt;기본입력!$C$34),"",VLOOKUP(O111,기본입력!$A$9:$F$33,6,FALSE))</x:f>
        <x:v>웹&amp;콘텐츠 서비스 개발__4</x:v>
      </x:c>
      <x:c r="J111" s="38" t="str">
        <x:f t="shared" si="8"/>
        <x:v>웹&amp;콘텐츠 서비스 개발</x:v>
      </x:c>
      <x:c r="K111" s="38" t="str">
        <x:f t="shared" si="9"/>
        <x:v>1교육실(실습겸용강의실)</x:v>
      </x:c>
      <x:c r="L111" s="38" t="str">
        <x:f t="shared" si="10"/>
        <x:v>양현수</x:v>
      </x:c>
      <x:c r="M111" s="63"/>
      <x:c r="N111" s="30">
        <x:f>IF(F111="2","",COUNTIF($F$3:$F111,"=1"))</x:f>
        <x:v>97</x:v>
      </x:c>
      <x:c r="O111" s="30">
        <x:f t="shared" si="6"/>
        <x:v>2</x:v>
      </x:c>
      <x:c r="P111" s="30">
        <x:f t="shared" si="11"/>
        <x:v>3</x:v>
      </x:c>
      <x:c r="Q111" s="30">
        <x:f>COUNTIF($P$3:P111,"=3")</x:f>
        <x:v>13</x:v>
      </x:c>
      <x:c r="R111" s="29">
        <x:f>WORKDAY(기본입력!$H$2,Q111-1,공휴일)</x:f>
        <x:v>45945</x:v>
      </x:c>
    </x:row>
    <x:row r="112" spans="1:18">
      <x:c r="A112" s="144" t="str">
        <x:f t="shared" si="7"/>
        <x:v>20251015</x:v>
      </x:c>
      <x:c r="B112" s="6" t="s">
        <x:v>5</x:v>
      </x:c>
      <x:c r="C112" s="6">
        <x:v>1740</x:v>
      </x:c>
      <x:c r="D112" s="5" t="s">
        <x:v>1</x:v>
      </x:c>
      <x:c r="E112" s="6" t="s">
        <x:v>117</x:v>
      </x:c>
      <x:c r="F112" s="6" t="s">
        <x:v>40</x:v>
      </x:c>
      <x:c r="G112" s="14" t="str">
        <x:f>IF(OR(N112="",N112&gt;기본입력!$C$34),"",VLOOKUP(O112,기본입력!$A$9:$F$33,5))</x:f>
        <x:v>양현수_53778</x:v>
      </x:c>
      <x:c r="H112" s="14" t="str">
        <x:f>IF(OR(N112="",N112&gt;기본입력!$C$34),"",기본입력!$C$6)</x:f>
        <x:v>1교육실(실습겸용강의실)_243089</x:v>
      </x:c>
      <x:c r="I112" s="14" t="str">
        <x:f>IF(OR(O112="",N112&gt;기본입력!$C$34),"",VLOOKUP(O112,기본입력!$A$9:$F$33,6,FALSE))</x:f>
        <x:v>웹&amp;콘텐츠 서비스 개발__4</x:v>
      </x:c>
      <x:c r="J112" s="38" t="str">
        <x:f t="shared" si="8"/>
        <x:v>웹&amp;콘텐츠 서비스 개발</x:v>
      </x:c>
      <x:c r="K112" s="38" t="str">
        <x:f t="shared" si="9"/>
        <x:v>1교육실(실습겸용강의실)</x:v>
      </x:c>
      <x:c r="L112" s="38" t="str">
        <x:f t="shared" si="10"/>
        <x:v>양현수</x:v>
      </x:c>
      <x:c r="M112" s="63"/>
      <x:c r="N112" s="30">
        <x:f>IF(F112="2","",COUNTIF($F$3:$F112,"=1"))</x:f>
        <x:v>98</x:v>
      </x:c>
      <x:c r="O112" s="30">
        <x:f t="shared" si="6"/>
        <x:v>2</x:v>
      </x:c>
      <x:c r="P112" s="30">
        <x:f t="shared" si="11"/>
        <x:v>4</x:v>
      </x:c>
      <x:c r="Q112" s="30">
        <x:f>COUNTIF($P$3:P112,"=3")</x:f>
        <x:v>13</x:v>
      </x:c>
      <x:c r="R112" s="29">
        <x:f>WORKDAY(기본입력!$H$2,Q112-1,공휴일)</x:f>
        <x:v>45945</x:v>
      </x:c>
    </x:row>
    <x:row r="113" spans="1:18">
      <x:c r="A113" s="144" t="str">
        <x:f t="shared" si="7"/>
        <x:v>20251015</x:v>
      </x:c>
      <x:c r="B113" s="6" t="s">
        <x:v>5</x:v>
      </x:c>
      <x:c r="C113" s="6">
        <x:v>1740</x:v>
      </x:c>
      <x:c r="D113" s="5" t="s">
        <x:v>1</x:v>
      </x:c>
      <x:c r="E113" s="6" t="s">
        <x:v>87</x:v>
      </x:c>
      <x:c r="F113" s="6" t="s">
        <x:v>40</x:v>
      </x:c>
      <x:c r="G113" s="14" t="str">
        <x:f>IF(OR(N113="",N113&gt;기본입력!$C$34),"",VLOOKUP(O113,기본입력!$A$9:$F$33,5))</x:f>
        <x:v>양현수_53778</x:v>
      </x:c>
      <x:c r="H113" s="14" t="str">
        <x:f>IF(OR(N113="",N113&gt;기본입력!$C$34),"",기본입력!$C$6)</x:f>
        <x:v>1교육실(실습겸용강의실)_243089</x:v>
      </x:c>
      <x:c r="I113" s="14" t="str">
        <x:f>IF(OR(O113="",N113&gt;기본입력!$C$34),"",VLOOKUP(O113,기본입력!$A$9:$F$33,6,FALSE))</x:f>
        <x:v>웹&amp;콘텐츠 서비스 개발__4</x:v>
      </x:c>
      <x:c r="J113" s="38" t="str">
        <x:f t="shared" si="8"/>
        <x:v>웹&amp;콘텐츠 서비스 개발</x:v>
      </x:c>
      <x:c r="K113" s="38" t="str">
        <x:f t="shared" si="9"/>
        <x:v>1교육실(실습겸용강의실)</x:v>
      </x:c>
      <x:c r="L113" s="38" t="str">
        <x:f t="shared" si="10"/>
        <x:v>양현수</x:v>
      </x:c>
      <x:c r="M113" s="63"/>
      <x:c r="N113" s="30">
        <x:f>IF(F113="2","",COUNTIF($F$3:$F113,"=1"))</x:f>
        <x:v>99</x:v>
      </x:c>
      <x:c r="O113" s="30">
        <x:f t="shared" si="6"/>
        <x:v>2</x:v>
      </x:c>
      <x:c r="P113" s="30">
        <x:f t="shared" si="11"/>
        <x:v>5</x:v>
      </x:c>
      <x:c r="Q113" s="30">
        <x:f>COUNTIF($P$3:P113,"=3")</x:f>
        <x:v>13</x:v>
      </x:c>
      <x:c r="R113" s="29">
        <x:f>WORKDAY(기본입력!$H$2,Q113-1,공휴일)</x:f>
        <x:v>45945</x:v>
      </x:c>
    </x:row>
    <x:row r="114" spans="1:18">
      <x:c r="A114" s="144" t="str">
        <x:f t="shared" si="7"/>
        <x:v>20251015</x:v>
      </x:c>
      <x:c r="B114" s="6" t="s">
        <x:v>5</x:v>
      </x:c>
      <x:c r="C114" s="6">
        <x:v>1740</x:v>
      </x:c>
      <x:c r="D114" s="5" t="s">
        <x:v>1</x:v>
      </x:c>
      <x:c r="E114" s="6" t="s">
        <x:v>88</x:v>
      </x:c>
      <x:c r="F114" s="6" t="s">
        <x:v>40</x:v>
      </x:c>
      <x:c r="G114" s="14" t="str">
        <x:f>IF(OR(N114="",N114&gt;기본입력!$C$34),"",VLOOKUP(O114,기본입력!$A$9:$F$33,5))</x:f>
        <x:v>양현수_53778</x:v>
      </x:c>
      <x:c r="H114" s="14" t="str">
        <x:f>IF(OR(N114="",N114&gt;기본입력!$C$34),"",기본입력!$C$6)</x:f>
        <x:v>1교육실(실습겸용강의실)_243089</x:v>
      </x:c>
      <x:c r="I114" s="14" t="str">
        <x:f>IF(OR(O114="",N114&gt;기본입력!$C$34),"",VLOOKUP(O114,기본입력!$A$9:$F$33,6,FALSE))</x:f>
        <x:v>웹&amp;콘텐츠 서비스 개발__4</x:v>
      </x:c>
      <x:c r="J114" s="38" t="str">
        <x:f t="shared" si="8"/>
        <x:v>웹&amp;콘텐츠 서비스 개발</x:v>
      </x:c>
      <x:c r="K114" s="38" t="str">
        <x:f t="shared" si="9"/>
        <x:v>1교육실(실습겸용강의실)</x:v>
      </x:c>
      <x:c r="L114" s="38" t="str">
        <x:f t="shared" si="10"/>
        <x:v>양현수</x:v>
      </x:c>
      <x:c r="M114" s="63"/>
      <x:c r="N114" s="30">
        <x:f>IF(F114="2","",COUNTIF($F$3:$F114,"=1"))</x:f>
        <x:v>100</x:v>
      </x:c>
      <x:c r="O114" s="30">
        <x:f t="shared" si="6"/>
        <x:v>2</x:v>
      </x:c>
      <x:c r="P114" s="30">
        <x:f t="shared" si="11"/>
        <x:v>6</x:v>
      </x:c>
      <x:c r="Q114" s="30">
        <x:f>COUNTIF($P$3:P114,"=3")</x:f>
        <x:v>13</x:v>
      </x:c>
      <x:c r="R114" s="29">
        <x:f>WORKDAY(기본입력!$H$2,Q114-1,공휴일)</x:f>
        <x:v>45945</x:v>
      </x:c>
    </x:row>
    <x:row r="115" spans="1:18">
      <x:c r="A115" s="144" t="str">
        <x:f t="shared" si="7"/>
        <x:v>20251015</x:v>
      </x:c>
      <x:c r="B115" s="6" t="s">
        <x:v>5</x:v>
      </x:c>
      <x:c r="C115" s="6">
        <x:v>1740</x:v>
      </x:c>
      <x:c r="D115" s="5" t="s">
        <x:v>1</x:v>
      </x:c>
      <x:c r="E115" s="6" t="s">
        <x:v>0</x:v>
      </x:c>
      <x:c r="F115" s="6" t="s">
        <x:v>41</x:v>
      </x:c>
      <x:c r="G115" s="14" t="str">
        <x:f>IF(OR(N115="",N115&gt;기본입력!$C$34),"",VLOOKUP(O115,기본입력!$A$9:$F$33,5))</x:f>
        <x:v/>
      </x:c>
      <x:c r="H115" s="14" t="str">
        <x:f>IF(OR(N115="",N115&gt;기본입력!$C$34),"",기본입력!$C$6)</x:f>
        <x:v/>
      </x:c>
      <x:c r="I115" s="14" t="str">
        <x:f>IF(OR(O115="",N115&gt;기본입력!$C$34),"",VLOOKUP(O115,기본입력!$A$9:$F$33,6,FALSE))</x:f>
        <x:v/>
      </x:c>
      <x:c r="J115" s="38" t="str">
        <x:f t="shared" si="8"/>
        <x:v/>
      </x:c>
      <x:c r="K115" s="38" t="str">
        <x:f t="shared" si="9"/>
        <x:v/>
      </x:c>
      <x:c r="L115" s="38" t="str">
        <x:f t="shared" si="10"/>
        <x:v/>
      </x:c>
      <x:c r="M115" s="63"/>
      <x:c r="N115" s="30" t="str">
        <x:f>IF(F115="2","",COUNTIF($F$3:$F115,"=1"))</x:f>
        <x:v/>
      </x:c>
      <x:c r="O115" s="30" t="str">
        <x:f t="shared" si="6"/>
        <x:v/>
      </x:c>
      <x:c r="P115" s="30">
        <x:f t="shared" si="11"/>
        <x:v>7</x:v>
      </x:c>
      <x:c r="Q115" s="30">
        <x:f>COUNTIF($P$3:P115,"=3")</x:f>
        <x:v>13</x:v>
      </x:c>
      <x:c r="R115" s="29">
        <x:f>WORKDAY(기본입력!$H$2,Q115-1,공휴일)</x:f>
        <x:v>45945</x:v>
      </x:c>
    </x:row>
    <x:row r="116" spans="1:18">
      <x:c r="A116" s="144" t="str">
        <x:f t="shared" si="7"/>
        <x:v>20251015</x:v>
      </x:c>
      <x:c r="B116" s="6" t="s">
        <x:v>5</x:v>
      </x:c>
      <x:c r="C116" s="6">
        <x:v>1740</x:v>
      </x:c>
      <x:c r="D116" s="5" t="s">
        <x:v>1</x:v>
      </x:c>
      <x:c r="E116" s="6">
        <x:v>1340</x:v>
      </x:c>
      <x:c r="F116" s="6" t="s">
        <x:v>40</x:v>
      </x:c>
      <x:c r="G116" s="14" t="str">
        <x:f>IF(OR(N116="",N116&gt;기본입력!$C$34),"",VLOOKUP(O116,기본입력!$A$9:$F$33,5))</x:f>
        <x:v>양현수_53778</x:v>
      </x:c>
      <x:c r="H116" s="14" t="str">
        <x:f>IF(OR(N116="",N116&gt;기본입력!$C$34),"",기본입력!$C$6)</x:f>
        <x:v>1교육실(실습겸용강의실)_243089</x:v>
      </x:c>
      <x:c r="I116" s="14" t="str">
        <x:f>IF(OR(O116="",N116&gt;기본입력!$C$34),"",VLOOKUP(O116,기본입력!$A$9:$F$33,6,FALSE))</x:f>
        <x:v>웹&amp;콘텐츠 서비스 개발__4</x:v>
      </x:c>
      <x:c r="J116" s="38" t="str">
        <x:f t="shared" si="8"/>
        <x:v>웹&amp;콘텐츠 서비스 개발</x:v>
      </x:c>
      <x:c r="K116" s="38" t="str">
        <x:f t="shared" si="9"/>
        <x:v>1교육실(실습겸용강의실)</x:v>
      </x:c>
      <x:c r="L116" s="38" t="str">
        <x:f t="shared" si="10"/>
        <x:v>양현수</x:v>
      </x:c>
      <x:c r="M116" s="63"/>
      <x:c r="N116" s="30">
        <x:f>IF(F116="2","",COUNTIF($F$3:$F116,"=1"))</x:f>
        <x:v>101</x:v>
      </x:c>
      <x:c r="O116" s="30">
        <x:f t="shared" si="6"/>
        <x:v>2</x:v>
      </x:c>
      <x:c r="P116" s="30">
        <x:f t="shared" si="11"/>
        <x:v>8</x:v>
      </x:c>
      <x:c r="Q116" s="30">
        <x:f>COUNTIF($P$3:P116,"=3")</x:f>
        <x:v>13</x:v>
      </x:c>
      <x:c r="R116" s="29">
        <x:f>WORKDAY(기본입력!$H$2,Q116-1,공휴일)</x:f>
        <x:v>45945</x:v>
      </x:c>
    </x:row>
    <x:row r="117" spans="1:18">
      <x:c r="A117" s="144" t="str">
        <x:f t="shared" si="7"/>
        <x:v>20251015</x:v>
      </x:c>
      <x:c r="B117" s="6" t="s">
        <x:v>5</x:v>
      </x:c>
      <x:c r="C117" s="6">
        <x:v>1740</x:v>
      </x:c>
      <x:c r="D117" s="5" t="s">
        <x:v>1</x:v>
      </x:c>
      <x:c r="E117" s="6">
        <x:v>1440</x:v>
      </x:c>
      <x:c r="F117" s="6" t="s">
        <x:v>40</x:v>
      </x:c>
      <x:c r="G117" s="14" t="str">
        <x:f>IF(OR(N117="",N117&gt;기본입력!$C$34),"",VLOOKUP(O117,기본입력!$A$9:$F$33,5))</x:f>
        <x:v>양현수_53778</x:v>
      </x:c>
      <x:c r="H117" s="14" t="str">
        <x:f>IF(OR(N117="",N117&gt;기본입력!$C$34),"",기본입력!$C$6)</x:f>
        <x:v>1교육실(실습겸용강의실)_243089</x:v>
      </x:c>
      <x:c r="I117" s="14" t="str">
        <x:f>IF(OR(O117="",N117&gt;기본입력!$C$34),"",VLOOKUP(O117,기본입력!$A$9:$F$33,6,FALSE))</x:f>
        <x:v>웹&amp;콘텐츠 서비스 개발__4</x:v>
      </x:c>
      <x:c r="J117" s="38" t="str">
        <x:f t="shared" si="8"/>
        <x:v>웹&amp;콘텐츠 서비스 개발</x:v>
      </x:c>
      <x:c r="K117" s="38" t="str">
        <x:f t="shared" si="9"/>
        <x:v>1교육실(실습겸용강의실)</x:v>
      </x:c>
      <x:c r="L117" s="38" t="str">
        <x:f t="shared" si="10"/>
        <x:v>양현수</x:v>
      </x:c>
      <x:c r="M117" s="63"/>
      <x:c r="N117" s="30">
        <x:f>IF(F117="2","",COUNTIF($F$3:$F117,"=1"))</x:f>
        <x:v>102</x:v>
      </x:c>
      <x:c r="O117" s="30">
        <x:f t="shared" si="6"/>
        <x:v>2</x:v>
      </x:c>
      <x:c r="P117" s="30">
        <x:f t="shared" si="11"/>
        <x:v>0</x:v>
      </x:c>
      <x:c r="Q117" s="30">
        <x:f>COUNTIF($P$3:P117,"=3")</x:f>
        <x:v>13</x:v>
      </x:c>
      <x:c r="R117" s="29">
        <x:f>WORKDAY(기본입력!$H$2,Q117-1,공휴일)</x:f>
        <x:v>45945</x:v>
      </x:c>
    </x:row>
    <x:row r="118" spans="1:18">
      <x:c r="A118" s="144" t="str">
        <x:f t="shared" si="7"/>
        <x:v>20251015</x:v>
      </x:c>
      <x:c r="B118" s="6" t="s">
        <x:v>5</x:v>
      </x:c>
      <x:c r="C118" s="6">
        <x:v>1740</x:v>
      </x:c>
      <x:c r="D118" s="5" t="s">
        <x:v>1</x:v>
      </x:c>
      <x:c r="E118" s="6">
        <x:v>1540</x:v>
      </x:c>
      <x:c r="F118" s="6" t="s">
        <x:v>40</x:v>
      </x:c>
      <x:c r="G118" s="14" t="str">
        <x:f>IF(OR(N118="",N118&gt;기본입력!$C$34),"",VLOOKUP(O118,기본입력!$A$9:$F$33,5))</x:f>
        <x:v>양현수_53778</x:v>
      </x:c>
      <x:c r="H118" s="14" t="str">
        <x:f>IF(OR(N118="",N118&gt;기본입력!$C$34),"",기본입력!$C$6)</x:f>
        <x:v>1교육실(실습겸용강의실)_243089</x:v>
      </x:c>
      <x:c r="I118" s="14" t="str">
        <x:f>IF(OR(O118="",N118&gt;기본입력!$C$34),"",VLOOKUP(O118,기본입력!$A$9:$F$33,6,FALSE))</x:f>
        <x:v>웹&amp;콘텐츠 서비스 개발__4</x:v>
      </x:c>
      <x:c r="J118" s="38" t="str">
        <x:f t="shared" si="8"/>
        <x:v>웹&amp;콘텐츠 서비스 개발</x:v>
      </x:c>
      <x:c r="K118" s="38" t="str">
        <x:f t="shared" si="9"/>
        <x:v>1교육실(실습겸용강의실)</x:v>
      </x:c>
      <x:c r="L118" s="38" t="str">
        <x:f t="shared" si="10"/>
        <x:v>양현수</x:v>
      </x:c>
      <x:c r="M118" s="63"/>
      <x:c r="N118" s="30">
        <x:f>IF(F118="2","",COUNTIF($F$3:$F118,"=1"))</x:f>
        <x:v>103</x:v>
      </x:c>
      <x:c r="O118" s="30">
        <x:f t="shared" si="6"/>
        <x:v>2</x:v>
      </x:c>
      <x:c r="P118" s="30">
        <x:f t="shared" si="11"/>
        <x:v>1</x:v>
      </x:c>
      <x:c r="Q118" s="30">
        <x:f>COUNTIF($P$3:P118,"=3")</x:f>
        <x:v>13</x:v>
      </x:c>
      <x:c r="R118" s="29">
        <x:f>WORKDAY(기본입력!$H$2,Q118-1,공휴일)</x:f>
        <x:v>45945</x:v>
      </x:c>
    </x:row>
    <x:row r="119" spans="1:18">
      <x:c r="A119" s="144" t="str">
        <x:f t="shared" si="7"/>
        <x:v>20251015</x:v>
      </x:c>
      <x:c r="B119" s="6" t="s">
        <x:v>5</x:v>
      </x:c>
      <x:c r="C119" s="6">
        <x:v>1740</x:v>
      </x:c>
      <x:c r="D119" s="5" t="s">
        <x:v>1</x:v>
      </x:c>
      <x:c r="E119" s="6">
        <x:v>1640</x:v>
      </x:c>
      <x:c r="F119" s="6" t="s">
        <x:v>40</x:v>
      </x:c>
      <x:c r="G119" s="14" t="str">
        <x:f>IF(OR(N119="",N119&gt;기본입력!$C$34),"",VLOOKUP(O119,기본입력!$A$9:$F$33,5))</x:f>
        <x:v>양현수_53778</x:v>
      </x:c>
      <x:c r="H119" s="14" t="str">
        <x:f>IF(OR(N119="",N119&gt;기본입력!$C$34),"",기본입력!$C$6)</x:f>
        <x:v>1교육실(실습겸용강의실)_243089</x:v>
      </x:c>
      <x:c r="I119" s="14" t="str">
        <x:f>IF(OR(O119="",N119&gt;기본입력!$C$34),"",VLOOKUP(O119,기본입력!$A$9:$F$33,6,FALSE))</x:f>
        <x:v>웹&amp;콘텐츠 서비스 개발__4</x:v>
      </x:c>
      <x:c r="J119" s="38" t="str">
        <x:f t="shared" si="8"/>
        <x:v>웹&amp;콘텐츠 서비스 개발</x:v>
      </x:c>
      <x:c r="K119" s="38" t="str">
        <x:f t="shared" si="9"/>
        <x:v>1교육실(실습겸용강의실)</x:v>
      </x:c>
      <x:c r="L119" s="38" t="str">
        <x:f t="shared" si="10"/>
        <x:v>양현수</x:v>
      </x:c>
      <x:c r="M119" s="63"/>
      <x:c r="N119" s="30">
        <x:f>IF(F119="2","",COUNTIF($F$3:$F119,"=1"))</x:f>
        <x:v>104</x:v>
      </x:c>
      <x:c r="O119" s="30">
        <x:f t="shared" si="6"/>
        <x:v>2</x:v>
      </x:c>
      <x:c r="P119" s="30">
        <x:f t="shared" si="11"/>
        <x:v>2</x:v>
      </x:c>
      <x:c r="Q119" s="30">
        <x:f>COUNTIF($P$3:P119,"=3")</x:f>
        <x:v>13</x:v>
      </x:c>
      <x:c r="R119" s="29">
        <x:f>WORKDAY(기본입력!$H$2,Q119-1,공휴일)</x:f>
        <x:v>45945</x:v>
      </x:c>
    </x:row>
    <x:row r="120" spans="1:18">
      <x:c r="A120" s="145" t="str">
        <x:f t="shared" si="7"/>
        <x:v>20251016</x:v>
      </x:c>
      <x:c r="B120" s="8" t="s">
        <x:v>5</x:v>
      </x:c>
      <x:c r="C120" s="8">
        <x:v>1740</x:v>
      </x:c>
      <x:c r="D120" s="7" t="s">
        <x:v>1</x:v>
      </x:c>
      <x:c r="E120" s="8" t="s">
        <x:v>5</x:v>
      </x:c>
      <x:c r="F120" s="8" t="s">
        <x:v>40</x:v>
      </x:c>
      <x:c r="G120" s="15" t="str">
        <x:f>IF(OR(N120="",N120&gt;기본입력!$C$34),"",VLOOKUP(O120,기본입력!$A$9:$F$33,5))</x:f>
        <x:v>양현수_53778</x:v>
      </x:c>
      <x:c r="H120" s="15" t="str">
        <x:f>IF(OR(N120="",N120&gt;기본입력!$C$34),"",기본입력!$C$6)</x:f>
        <x:v>1교육실(실습겸용강의실)_243089</x:v>
      </x:c>
      <x:c r="I120" s="15" t="str">
        <x:f>IF(OR(O120="",N120&gt;기본입력!$C$34),"",VLOOKUP(O120,기본입력!$A$9:$F$33,6,FALSE))</x:f>
        <x:v>웹&amp;콘텐츠 서비스 개발__4</x:v>
      </x:c>
      <x:c r="J120" s="38" t="str">
        <x:f t="shared" si="8"/>
        <x:v>웹&amp;콘텐츠 서비스 개발</x:v>
      </x:c>
      <x:c r="K120" s="38" t="str">
        <x:f t="shared" si="9"/>
        <x:v>1교육실(실습겸용강의실)</x:v>
      </x:c>
      <x:c r="L120" s="38" t="str">
        <x:f t="shared" si="10"/>
        <x:v>양현수</x:v>
      </x:c>
      <x:c r="M120" s="63"/>
      <x:c r="N120" s="30">
        <x:f>IF(F120="2","",COUNTIF($F$3:$F120,"=1"))</x:f>
        <x:v>105</x:v>
      </x:c>
      <x:c r="O120" s="30">
        <x:f t="shared" si="6"/>
        <x:v>2</x:v>
      </x:c>
      <x:c r="P120" s="30">
        <x:f t="shared" si="11"/>
        <x:v>3</x:v>
      </x:c>
      <x:c r="Q120" s="30">
        <x:f>COUNTIF($P$3:P120,"=3")</x:f>
        <x:v>14</x:v>
      </x:c>
      <x:c r="R120" s="29">
        <x:f>WORKDAY(기본입력!$H$2,Q120-1,공휴일)</x:f>
        <x:v>45946</x:v>
      </x:c>
    </x:row>
    <x:row r="121" spans="1:18">
      <x:c r="A121" s="145" t="str">
        <x:f t="shared" si="7"/>
        <x:v>20251016</x:v>
      </x:c>
      <x:c r="B121" s="8" t="s">
        <x:v>5</x:v>
      </x:c>
      <x:c r="C121" s="8">
        <x:v>1740</x:v>
      </x:c>
      <x:c r="D121" s="7" t="s">
        <x:v>1</x:v>
      </x:c>
      <x:c r="E121" s="8" t="s">
        <x:v>117</x:v>
      </x:c>
      <x:c r="F121" s="8" t="s">
        <x:v>40</x:v>
      </x:c>
      <x:c r="G121" s="15" t="str">
        <x:f>IF(OR(N121="",N121&gt;기본입력!$C$34),"",VLOOKUP(O121,기본입력!$A$9:$F$33,5))</x:f>
        <x:v>양현수_53778</x:v>
      </x:c>
      <x:c r="H121" s="15" t="str">
        <x:f>IF(OR(N121="",N121&gt;기본입력!$C$34),"",기본입력!$C$6)</x:f>
        <x:v>1교육실(실습겸용강의실)_243089</x:v>
      </x:c>
      <x:c r="I121" s="15" t="str">
        <x:f>IF(OR(O121="",N121&gt;기본입력!$C$34),"",VLOOKUP(O121,기본입력!$A$9:$F$33,6,FALSE))</x:f>
        <x:v>웹&amp;콘텐츠 서비스 개발__4</x:v>
      </x:c>
      <x:c r="J121" s="38" t="str">
        <x:f t="shared" si="8"/>
        <x:v>웹&amp;콘텐츠 서비스 개발</x:v>
      </x:c>
      <x:c r="K121" s="38" t="str">
        <x:f t="shared" si="9"/>
        <x:v>1교육실(실습겸용강의실)</x:v>
      </x:c>
      <x:c r="L121" s="38" t="str">
        <x:f t="shared" si="10"/>
        <x:v>양현수</x:v>
      </x:c>
      <x:c r="M121" s="63"/>
      <x:c r="N121" s="30">
        <x:f>IF(F121="2","",COUNTIF($F$3:$F121,"=1"))</x:f>
        <x:v>106</x:v>
      </x:c>
      <x:c r="O121" s="30">
        <x:f t="shared" si="6"/>
        <x:v>2</x:v>
      </x:c>
      <x:c r="P121" s="30">
        <x:f t="shared" si="11"/>
        <x:v>4</x:v>
      </x:c>
      <x:c r="Q121" s="30">
        <x:f>COUNTIF($P$3:P121,"=3")</x:f>
        <x:v>14</x:v>
      </x:c>
      <x:c r="R121" s="29">
        <x:f>WORKDAY(기본입력!$H$2,Q121-1,공휴일)</x:f>
        <x:v>45946</x:v>
      </x:c>
    </x:row>
    <x:row r="122" spans="1:18">
      <x:c r="A122" s="145" t="str">
        <x:f t="shared" si="7"/>
        <x:v>20251016</x:v>
      </x:c>
      <x:c r="B122" s="8" t="s">
        <x:v>5</x:v>
      </x:c>
      <x:c r="C122" s="8">
        <x:v>1740</x:v>
      </x:c>
      <x:c r="D122" s="7" t="s">
        <x:v>1</x:v>
      </x:c>
      <x:c r="E122" s="8" t="s">
        <x:v>87</x:v>
      </x:c>
      <x:c r="F122" s="8" t="s">
        <x:v>40</x:v>
      </x:c>
      <x:c r="G122" s="15" t="str">
        <x:f>IF(OR(N122="",N122&gt;기본입력!$C$34),"",VLOOKUP(O122,기본입력!$A$9:$F$33,5))</x:f>
        <x:v>양현수_53778</x:v>
      </x:c>
      <x:c r="H122" s="15" t="str">
        <x:f>IF(OR(N122="",N122&gt;기본입력!$C$34),"",기본입력!$C$6)</x:f>
        <x:v>1교육실(실습겸용강의실)_243089</x:v>
      </x:c>
      <x:c r="I122" s="15" t="str">
        <x:f>IF(OR(O122="",N122&gt;기본입력!$C$34),"",VLOOKUP(O122,기본입력!$A$9:$F$33,6,FALSE))</x:f>
        <x:v>웹&amp;콘텐츠 서비스 개발__4</x:v>
      </x:c>
      <x:c r="J122" s="38" t="str">
        <x:f t="shared" si="8"/>
        <x:v>웹&amp;콘텐츠 서비스 개발</x:v>
      </x:c>
      <x:c r="K122" s="38" t="str">
        <x:f t="shared" si="9"/>
        <x:v>1교육실(실습겸용강의실)</x:v>
      </x:c>
      <x:c r="L122" s="38" t="str">
        <x:f t="shared" si="10"/>
        <x:v>양현수</x:v>
      </x:c>
      <x:c r="M122" s="63"/>
      <x:c r="N122" s="30">
        <x:f>IF(F122="2","",COUNTIF($F$3:$F122,"=1"))</x:f>
        <x:v>107</x:v>
      </x:c>
      <x:c r="O122" s="30">
        <x:f t="shared" si="6"/>
        <x:v>2</x:v>
      </x:c>
      <x:c r="P122" s="30">
        <x:f t="shared" si="11"/>
        <x:v>5</x:v>
      </x:c>
      <x:c r="Q122" s="30">
        <x:f>COUNTIF($P$3:P122,"=3")</x:f>
        <x:v>14</x:v>
      </x:c>
      <x:c r="R122" s="29">
        <x:f>WORKDAY(기본입력!$H$2,Q122-1,공휴일)</x:f>
        <x:v>45946</x:v>
      </x:c>
    </x:row>
    <x:row r="123" spans="1:18">
      <x:c r="A123" s="145" t="str">
        <x:f t="shared" si="7"/>
        <x:v>20251016</x:v>
      </x:c>
      <x:c r="B123" s="8" t="s">
        <x:v>5</x:v>
      </x:c>
      <x:c r="C123" s="8">
        <x:v>1740</x:v>
      </x:c>
      <x:c r="D123" s="7" t="s">
        <x:v>1</x:v>
      </x:c>
      <x:c r="E123" s="8" t="s">
        <x:v>88</x:v>
      </x:c>
      <x:c r="F123" s="8" t="s">
        <x:v>40</x:v>
      </x:c>
      <x:c r="G123" s="15" t="str">
        <x:f>IF(OR(N123="",N123&gt;기본입력!$C$34),"",VLOOKUP(O123,기본입력!$A$9:$F$33,5))</x:f>
        <x:v>양현수_53778</x:v>
      </x:c>
      <x:c r="H123" s="15" t="str">
        <x:f>IF(OR(N123="",N123&gt;기본입력!$C$34),"",기본입력!$C$6)</x:f>
        <x:v>1교육실(실습겸용강의실)_243089</x:v>
      </x:c>
      <x:c r="I123" s="15" t="str">
        <x:f>IF(OR(O123="",N123&gt;기본입력!$C$34),"",VLOOKUP(O123,기본입력!$A$9:$F$33,6,FALSE))</x:f>
        <x:v>웹&amp;콘텐츠 서비스 개발__4</x:v>
      </x:c>
      <x:c r="J123" s="38" t="str">
        <x:f t="shared" si="8"/>
        <x:v>웹&amp;콘텐츠 서비스 개발</x:v>
      </x:c>
      <x:c r="K123" s="38" t="str">
        <x:f t="shared" si="9"/>
        <x:v>1교육실(실습겸용강의실)</x:v>
      </x:c>
      <x:c r="L123" s="38" t="str">
        <x:f t="shared" si="10"/>
        <x:v>양현수</x:v>
      </x:c>
      <x:c r="M123" s="63"/>
      <x:c r="N123" s="30">
        <x:f>IF(F123="2","",COUNTIF($F$3:$F123,"=1"))</x:f>
        <x:v>108</x:v>
      </x:c>
      <x:c r="O123" s="30">
        <x:f t="shared" si="6"/>
        <x:v>2</x:v>
      </x:c>
      <x:c r="P123" s="30">
        <x:f t="shared" si="11"/>
        <x:v>6</x:v>
      </x:c>
      <x:c r="Q123" s="30">
        <x:f>COUNTIF($P$3:P123,"=3")</x:f>
        <x:v>14</x:v>
      </x:c>
      <x:c r="R123" s="29">
        <x:f>WORKDAY(기본입력!$H$2,Q123-1,공휴일)</x:f>
        <x:v>45946</x:v>
      </x:c>
    </x:row>
    <x:row r="124" spans="1:18">
      <x:c r="A124" s="145" t="str">
        <x:f t="shared" si="7"/>
        <x:v>20251016</x:v>
      </x:c>
      <x:c r="B124" s="8" t="s">
        <x:v>5</x:v>
      </x:c>
      <x:c r="C124" s="8">
        <x:v>1740</x:v>
      </x:c>
      <x:c r="D124" s="7" t="s">
        <x:v>1</x:v>
      </x:c>
      <x:c r="E124" s="8" t="s">
        <x:v>0</x:v>
      </x:c>
      <x:c r="F124" s="8" t="s">
        <x:v>41</x:v>
      </x:c>
      <x:c r="G124" s="15" t="str">
        <x:f>IF(OR(N124="",N124&gt;기본입력!$C$34),"",VLOOKUP(O124,기본입력!$A$9:$F$33,5))</x:f>
        <x:v/>
      </x:c>
      <x:c r="H124" s="15" t="str">
        <x:f>IF(OR(N124="",N124&gt;기본입력!$C$34),"",기본입력!$C$6)</x:f>
        <x:v/>
      </x:c>
      <x:c r="I124" s="15" t="str">
        <x:f>IF(OR(O124="",N124&gt;기본입력!$C$34),"",VLOOKUP(O124,기본입력!$A$9:$F$33,6,FALSE))</x:f>
        <x:v/>
      </x:c>
      <x:c r="J124" s="38" t="str">
        <x:f t="shared" si="8"/>
        <x:v/>
      </x:c>
      <x:c r="K124" s="38" t="str">
        <x:f t="shared" si="9"/>
        <x:v/>
      </x:c>
      <x:c r="L124" s="38" t="str">
        <x:f t="shared" si="10"/>
        <x:v/>
      </x:c>
      <x:c r="M124" s="63"/>
      <x:c r="N124" s="30" t="str">
        <x:f>IF(F124="2","",COUNTIF($F$3:$F124,"=1"))</x:f>
        <x:v/>
      </x:c>
      <x:c r="O124" s="30" t="str">
        <x:f t="shared" si="6"/>
        <x:v/>
      </x:c>
      <x:c r="P124" s="30">
        <x:f t="shared" si="11"/>
        <x:v>7</x:v>
      </x:c>
      <x:c r="Q124" s="30">
        <x:f>COUNTIF($P$3:P124,"=3")</x:f>
        <x:v>14</x:v>
      </x:c>
      <x:c r="R124" s="29">
        <x:f>WORKDAY(기본입력!$H$2,Q124-1,공휴일)</x:f>
        <x:v>45946</x:v>
      </x:c>
    </x:row>
    <x:row r="125" spans="1:18">
      <x:c r="A125" s="145" t="str">
        <x:f t="shared" si="7"/>
        <x:v>20251016</x:v>
      </x:c>
      <x:c r="B125" s="8" t="s">
        <x:v>5</x:v>
      </x:c>
      <x:c r="C125" s="8">
        <x:v>1740</x:v>
      </x:c>
      <x:c r="D125" s="7" t="s">
        <x:v>1</x:v>
      </x:c>
      <x:c r="E125" s="8">
        <x:v>1340</x:v>
      </x:c>
      <x:c r="F125" s="8" t="s">
        <x:v>40</x:v>
      </x:c>
      <x:c r="G125" s="15" t="str">
        <x:f>IF(OR(N125="",N125&gt;기본입력!$C$34),"",VLOOKUP(O125,기본입력!$A$9:$F$33,5))</x:f>
        <x:v>양현수_53778</x:v>
      </x:c>
      <x:c r="H125" s="15" t="str">
        <x:f>IF(OR(N125="",N125&gt;기본입력!$C$34),"",기본입력!$C$6)</x:f>
        <x:v>1교육실(실습겸용강의실)_243089</x:v>
      </x:c>
      <x:c r="I125" s="15" t="str">
        <x:f>IF(OR(O125="",N125&gt;기본입력!$C$34),"",VLOOKUP(O125,기본입력!$A$9:$F$33,6,FALSE))</x:f>
        <x:v>웹&amp;콘텐츠 서비스 개발__4</x:v>
      </x:c>
      <x:c r="J125" s="38" t="str">
        <x:f t="shared" si="8"/>
        <x:v>웹&amp;콘텐츠 서비스 개발</x:v>
      </x:c>
      <x:c r="K125" s="38" t="str">
        <x:f t="shared" si="9"/>
        <x:v>1교육실(실습겸용강의실)</x:v>
      </x:c>
      <x:c r="L125" s="38" t="str">
        <x:f t="shared" si="10"/>
        <x:v>양현수</x:v>
      </x:c>
      <x:c r="M125" s="63"/>
      <x:c r="N125" s="30">
        <x:f>IF(F125="2","",COUNTIF($F$3:$F125,"=1"))</x:f>
        <x:v>109</x:v>
      </x:c>
      <x:c r="O125" s="30">
        <x:f t="shared" si="6"/>
        <x:v>2</x:v>
      </x:c>
      <x:c r="P125" s="30">
        <x:f t="shared" si="11"/>
        <x:v>8</x:v>
      </x:c>
      <x:c r="Q125" s="30">
        <x:f>COUNTIF($P$3:P125,"=3")</x:f>
        <x:v>14</x:v>
      </x:c>
      <x:c r="R125" s="29">
        <x:f>WORKDAY(기본입력!$H$2,Q125-1,공휴일)</x:f>
        <x:v>45946</x:v>
      </x:c>
    </x:row>
    <x:row r="126" spans="1:18">
      <x:c r="A126" s="145" t="str">
        <x:f t="shared" si="7"/>
        <x:v>20251016</x:v>
      </x:c>
      <x:c r="B126" s="8" t="s">
        <x:v>5</x:v>
      </x:c>
      <x:c r="C126" s="8">
        <x:v>1740</x:v>
      </x:c>
      <x:c r="D126" s="7" t="s">
        <x:v>1</x:v>
      </x:c>
      <x:c r="E126" s="8">
        <x:v>1440</x:v>
      </x:c>
      <x:c r="F126" s="8" t="s">
        <x:v>40</x:v>
      </x:c>
      <x:c r="G126" s="15" t="str">
        <x:f>IF(OR(N126="",N126&gt;기본입력!$C$34),"",VLOOKUP(O126,기본입력!$A$9:$F$33,5))</x:f>
        <x:v>양현수_53778</x:v>
      </x:c>
      <x:c r="H126" s="15" t="str">
        <x:f>IF(OR(N126="",N126&gt;기본입력!$C$34),"",기본입력!$C$6)</x:f>
        <x:v>1교육실(실습겸용강의실)_243089</x:v>
      </x:c>
      <x:c r="I126" s="15" t="str">
        <x:f>IF(OR(O126="",N126&gt;기본입력!$C$34),"",VLOOKUP(O126,기본입력!$A$9:$F$33,6,FALSE))</x:f>
        <x:v>웹&amp;콘텐츠 서비스 개발__4</x:v>
      </x:c>
      <x:c r="J126" s="38" t="str">
        <x:f t="shared" si="8"/>
        <x:v>웹&amp;콘텐츠 서비스 개발</x:v>
      </x:c>
      <x:c r="K126" s="38" t="str">
        <x:f t="shared" si="9"/>
        <x:v>1교육실(실습겸용강의실)</x:v>
      </x:c>
      <x:c r="L126" s="38" t="str">
        <x:f t="shared" si="10"/>
        <x:v>양현수</x:v>
      </x:c>
      <x:c r="M126" s="63"/>
      <x:c r="N126" s="30">
        <x:f>IF(F126="2","",COUNTIF($F$3:$F126,"=1"))</x:f>
        <x:v>110</x:v>
      </x:c>
      <x:c r="O126" s="30">
        <x:f t="shared" si="6"/>
        <x:v>2</x:v>
      </x:c>
      <x:c r="P126" s="30">
        <x:f t="shared" si="11"/>
        <x:v>0</x:v>
      </x:c>
      <x:c r="Q126" s="30">
        <x:f>COUNTIF($P$3:P126,"=3")</x:f>
        <x:v>14</x:v>
      </x:c>
      <x:c r="R126" s="29">
        <x:f>WORKDAY(기본입력!$H$2,Q126-1,공휴일)</x:f>
        <x:v>45946</x:v>
      </x:c>
    </x:row>
    <x:row r="127" spans="1:18">
      <x:c r="A127" s="145" t="str">
        <x:f t="shared" si="7"/>
        <x:v>20251016</x:v>
      </x:c>
      <x:c r="B127" s="8" t="s">
        <x:v>5</x:v>
      </x:c>
      <x:c r="C127" s="8">
        <x:v>1740</x:v>
      </x:c>
      <x:c r="D127" s="7" t="s">
        <x:v>1</x:v>
      </x:c>
      <x:c r="E127" s="8">
        <x:v>1540</x:v>
      </x:c>
      <x:c r="F127" s="8" t="s">
        <x:v>40</x:v>
      </x:c>
      <x:c r="G127" s="15" t="str">
        <x:f>IF(OR(N127="",N127&gt;기본입력!$C$34),"",VLOOKUP(O127,기본입력!$A$9:$F$33,5))</x:f>
        <x:v>양현수_53778</x:v>
      </x:c>
      <x:c r="H127" s="15" t="str">
        <x:f>IF(OR(N127="",N127&gt;기본입력!$C$34),"",기본입력!$C$6)</x:f>
        <x:v>1교육실(실습겸용강의실)_243089</x:v>
      </x:c>
      <x:c r="I127" s="15" t="str">
        <x:f>IF(OR(O127="",N127&gt;기본입력!$C$34),"",VLOOKUP(O127,기본입력!$A$9:$F$33,6,FALSE))</x:f>
        <x:v>웹&amp;콘텐츠 서비스 개발__4</x:v>
      </x:c>
      <x:c r="J127" s="38" t="str">
        <x:f t="shared" si="8"/>
        <x:v>웹&amp;콘텐츠 서비스 개발</x:v>
      </x:c>
      <x:c r="K127" s="38" t="str">
        <x:f t="shared" si="9"/>
        <x:v>1교육실(실습겸용강의실)</x:v>
      </x:c>
      <x:c r="L127" s="38" t="str">
        <x:f t="shared" si="10"/>
        <x:v>양현수</x:v>
      </x:c>
      <x:c r="M127" s="63"/>
      <x:c r="N127" s="30">
        <x:f>IF(F127="2","",COUNTIF($F$3:$F127,"=1"))</x:f>
        <x:v>111</x:v>
      </x:c>
      <x:c r="O127" s="30">
        <x:f t="shared" si="6"/>
        <x:v>2</x:v>
      </x:c>
      <x:c r="P127" s="30">
        <x:f t="shared" si="11"/>
        <x:v>1</x:v>
      </x:c>
      <x:c r="Q127" s="30">
        <x:f>COUNTIF($P$3:P127,"=3")</x:f>
        <x:v>14</x:v>
      </x:c>
      <x:c r="R127" s="29">
        <x:f>WORKDAY(기본입력!$H$2,Q127-1,공휴일)</x:f>
        <x:v>45946</x:v>
      </x:c>
    </x:row>
    <x:row r="128" spans="1:18">
      <x:c r="A128" s="145" t="str">
        <x:f t="shared" si="7"/>
        <x:v>20251016</x:v>
      </x:c>
      <x:c r="B128" s="8" t="s">
        <x:v>5</x:v>
      </x:c>
      <x:c r="C128" s="8">
        <x:v>1740</x:v>
      </x:c>
      <x:c r="D128" s="7" t="s">
        <x:v>1</x:v>
      </x:c>
      <x:c r="E128" s="8">
        <x:v>1640</x:v>
      </x:c>
      <x:c r="F128" s="8" t="s">
        <x:v>40</x:v>
      </x:c>
      <x:c r="G128" s="15" t="str">
        <x:f>IF(OR(N128="",N128&gt;기본입력!$C$34),"",VLOOKUP(O128,기본입력!$A$9:$F$33,5))</x:f>
        <x:v>양현수_53778</x:v>
      </x:c>
      <x:c r="H128" s="15" t="str">
        <x:f>IF(OR(N128="",N128&gt;기본입력!$C$34),"",기본입력!$C$6)</x:f>
        <x:v>1교육실(실습겸용강의실)_243089</x:v>
      </x:c>
      <x:c r="I128" s="15" t="str">
        <x:f>IF(OR(O128="",N128&gt;기본입력!$C$34),"",VLOOKUP(O128,기본입력!$A$9:$F$33,6,FALSE))</x:f>
        <x:v>웹&amp;콘텐츠 서비스 개발__4</x:v>
      </x:c>
      <x:c r="J128" s="38" t="str">
        <x:f t="shared" si="8"/>
        <x:v>웹&amp;콘텐츠 서비스 개발</x:v>
      </x:c>
      <x:c r="K128" s="38" t="str">
        <x:f t="shared" si="9"/>
        <x:v>1교육실(실습겸용강의실)</x:v>
      </x:c>
      <x:c r="L128" s="38" t="str">
        <x:f t="shared" si="10"/>
        <x:v>양현수</x:v>
      </x:c>
      <x:c r="M128" s="63"/>
      <x:c r="N128" s="30">
        <x:f>IF(F128="2","",COUNTIF($F$3:$F128,"=1"))</x:f>
        <x:v>112</x:v>
      </x:c>
      <x:c r="O128" s="30">
        <x:f t="shared" si="6"/>
        <x:v>2</x:v>
      </x:c>
      <x:c r="P128" s="30">
        <x:f t="shared" si="11"/>
        <x:v>2</x:v>
      </x:c>
      <x:c r="Q128" s="30">
        <x:f>COUNTIF($P$3:P128,"=3")</x:f>
        <x:v>14</x:v>
      </x:c>
      <x:c r="R128" s="29">
        <x:f>WORKDAY(기본입력!$H$2,Q128-1,공휴일)</x:f>
        <x:v>45946</x:v>
      </x:c>
    </x:row>
    <x:row r="129" spans="1:18">
      <x:c r="A129" s="144" t="str">
        <x:f t="shared" si="7"/>
        <x:v>20251017</x:v>
      </x:c>
      <x:c r="B129" s="6" t="s">
        <x:v>5</x:v>
      </x:c>
      <x:c r="C129" s="6">
        <x:v>1740</x:v>
      </x:c>
      <x:c r="D129" s="5" t="s">
        <x:v>1</x:v>
      </x:c>
      <x:c r="E129" s="6" t="s">
        <x:v>5</x:v>
      </x:c>
      <x:c r="F129" s="6" t="s">
        <x:v>40</x:v>
      </x:c>
      <x:c r="G129" s="14" t="str">
        <x:f>IF(OR(N129="",N129&gt;기본입력!$C$34),"",VLOOKUP(O129,기본입력!$A$9:$F$33,5))</x:f>
        <x:v>양현수_53778</x:v>
      </x:c>
      <x:c r="H129" s="14" t="str">
        <x:f>IF(OR(N129="",N129&gt;기본입력!$C$34),"",기본입력!$C$6)</x:f>
        <x:v>1교육실(실습겸용강의실)_243089</x:v>
      </x:c>
      <x:c r="I129" s="14" t="str">
        <x:f>IF(OR(O129="",N129&gt;기본입력!$C$34),"",VLOOKUP(O129,기본입력!$A$9:$F$33,6,FALSE))</x:f>
        <x:v>웹&amp;콘텐츠 서비스 개발__4</x:v>
      </x:c>
      <x:c r="J129" s="38" t="str">
        <x:f t="shared" si="8"/>
        <x:v>웹&amp;콘텐츠 서비스 개발</x:v>
      </x:c>
      <x:c r="K129" s="38" t="str">
        <x:f t="shared" si="9"/>
        <x:v>1교육실(실습겸용강의실)</x:v>
      </x:c>
      <x:c r="L129" s="38" t="str">
        <x:f t="shared" si="10"/>
        <x:v>양현수</x:v>
      </x:c>
      <x:c r="M129" s="63"/>
      <x:c r="N129" s="30">
        <x:f>IF(F129="2","",COUNTIF($F$3:$F129,"=1"))</x:f>
        <x:v>113</x:v>
      </x:c>
      <x:c r="O129" s="30">
        <x:f t="shared" si="6"/>
        <x:v>2</x:v>
      </x:c>
      <x:c r="P129" s="30">
        <x:f t="shared" si="11"/>
        <x:v>3</x:v>
      </x:c>
      <x:c r="Q129" s="30">
        <x:f>COUNTIF($P$3:P129,"=3")</x:f>
        <x:v>15</x:v>
      </x:c>
      <x:c r="R129" s="29">
        <x:f>WORKDAY(기본입력!$H$2,Q129-1,공휴일)</x:f>
        <x:v>45947</x:v>
      </x:c>
    </x:row>
    <x:row r="130" spans="1:18">
      <x:c r="A130" s="144" t="str">
        <x:f t="shared" si="7"/>
        <x:v>20251017</x:v>
      </x:c>
      <x:c r="B130" s="6" t="s">
        <x:v>5</x:v>
      </x:c>
      <x:c r="C130" s="6">
        <x:v>1740</x:v>
      </x:c>
      <x:c r="D130" s="5" t="s">
        <x:v>1</x:v>
      </x:c>
      <x:c r="E130" s="6" t="s">
        <x:v>117</x:v>
      </x:c>
      <x:c r="F130" s="6" t="s">
        <x:v>40</x:v>
      </x:c>
      <x:c r="G130" s="14" t="str">
        <x:f>IF(OR(N130="",N130&gt;기본입력!$C$34),"",VLOOKUP(O130,기본입력!$A$9:$F$33,5))</x:f>
        <x:v>양현수_53778</x:v>
      </x:c>
      <x:c r="H130" s="14" t="str">
        <x:f>IF(OR(N130="",N130&gt;기본입력!$C$34),"",기본입력!$C$6)</x:f>
        <x:v>1교육실(실습겸용강의실)_243089</x:v>
      </x:c>
      <x:c r="I130" s="14" t="str">
        <x:f>IF(OR(O130="",N130&gt;기본입력!$C$34),"",VLOOKUP(O130,기본입력!$A$9:$F$33,6,FALSE))</x:f>
        <x:v>웹&amp;콘텐츠 서비스 개발__4</x:v>
      </x:c>
      <x:c r="J130" s="38" t="str">
        <x:f t="shared" si="8"/>
        <x:v>웹&amp;콘텐츠 서비스 개발</x:v>
      </x:c>
      <x:c r="K130" s="38" t="str">
        <x:f t="shared" si="9"/>
        <x:v>1교육실(실습겸용강의실)</x:v>
      </x:c>
      <x:c r="L130" s="38" t="str">
        <x:f t="shared" si="10"/>
        <x:v>양현수</x:v>
      </x:c>
      <x:c r="M130" s="63"/>
      <x:c r="N130" s="30">
        <x:f>IF(F130="2","",COUNTIF($F$3:$F130,"=1"))</x:f>
        <x:v>114</x:v>
      </x:c>
      <x:c r="O130" s="30">
        <x:f t="shared" si="6"/>
        <x:v>2</x:v>
      </x:c>
      <x:c r="P130" s="30">
        <x:f t="shared" si="11"/>
        <x:v>4</x:v>
      </x:c>
      <x:c r="Q130" s="30">
        <x:f>COUNTIF($P$3:P130,"=3")</x:f>
        <x:v>15</x:v>
      </x:c>
      <x:c r="R130" s="29">
        <x:f>WORKDAY(기본입력!$H$2,Q130-1,공휴일)</x:f>
        <x:v>45947</x:v>
      </x:c>
    </x:row>
    <x:row r="131" spans="1:18">
      <x:c r="A131" s="144" t="str">
        <x:f t="shared" si="7"/>
        <x:v>20251017</x:v>
      </x:c>
      <x:c r="B131" s="6" t="s">
        <x:v>5</x:v>
      </x:c>
      <x:c r="C131" s="6">
        <x:v>1740</x:v>
      </x:c>
      <x:c r="D131" s="5" t="s">
        <x:v>1</x:v>
      </x:c>
      <x:c r="E131" s="6" t="s">
        <x:v>87</x:v>
      </x:c>
      <x:c r="F131" s="6" t="s">
        <x:v>40</x:v>
      </x:c>
      <x:c r="G131" s="14" t="str">
        <x:f>IF(OR(N131="",N131&gt;기본입력!$C$34),"",VLOOKUP(O131,기본입력!$A$9:$F$33,5))</x:f>
        <x:v>양현수_53778</x:v>
      </x:c>
      <x:c r="H131" s="14" t="str">
        <x:f>IF(OR(N131="",N131&gt;기본입력!$C$34),"",기본입력!$C$6)</x:f>
        <x:v>1교육실(실습겸용강의실)_243089</x:v>
      </x:c>
      <x:c r="I131" s="14" t="str">
        <x:f>IF(OR(O131="",N131&gt;기본입력!$C$34),"",VLOOKUP(O131,기본입력!$A$9:$F$33,6,FALSE))</x:f>
        <x:v>웹&amp;콘텐츠 서비스 개발__4</x:v>
      </x:c>
      <x:c r="J131" s="38" t="str">
        <x:f t="shared" si="8"/>
        <x:v>웹&amp;콘텐츠 서비스 개발</x:v>
      </x:c>
      <x:c r="K131" s="38" t="str">
        <x:f t="shared" si="9"/>
        <x:v>1교육실(실습겸용강의실)</x:v>
      </x:c>
      <x:c r="L131" s="38" t="str">
        <x:f t="shared" si="10"/>
        <x:v>양현수</x:v>
      </x:c>
      <x:c r="M131" s="63"/>
      <x:c r="N131" s="30">
        <x:f>IF(F131="2","",COUNTIF($F$3:$F131,"=1"))</x:f>
        <x:v>115</x:v>
      </x:c>
      <x:c r="O131" s="30">
        <x:f t="shared" ref="O131:O194" si="12">IF(F131="2","",IF(N131&lt;=누적시수1,1,IF(N131&lt;=누적시수2,2,IF(N131&lt;=누적시수3,3,IF(N131&lt;=누적시수4,4,IF(N131&lt;=누적시수5,5,IF(N131&lt;=누적시수6,6,IF(N131&lt;=누적시수7,7,IF(N131&lt;=누적시수8,8,IF(N131&lt;=누적시수9,9,IF(N131&lt;=누적시수10,10,IF(N131&lt;=누적시수11,11,IF(N131&lt;=누적시수12,12,IF(N131&lt;=누적시수13,13,IF(N131&lt;=누적시수14,14,IF(N131&lt;=누적시수15,15,IF(N131&lt;=누적시수16,16,IF(N131&lt;=누적시수17,17,IF(N131&lt;=누적시수18,18,IF(N131&lt;=누적시수19,19,IF(N131&lt;=누적시수20,20,IF(N131&lt;=누적시수21,21,IF(N131&lt;=누적시수22,22,IF(N131&lt;=누적시수23,23,IF(N131&lt;=누적시수24,24,IF(N131&lt;=누적시수25,25,0))))))))))))))))))))))))))</x:f>
        <x:v>2</x:v>
      </x:c>
      <x:c r="P131" s="30">
        <x:f t="shared" si="11"/>
        <x:v>5</x:v>
      </x:c>
      <x:c r="Q131" s="30">
        <x:f>COUNTIF($P$3:P131,"=3")</x:f>
        <x:v>15</x:v>
      </x:c>
      <x:c r="R131" s="29">
        <x:f>WORKDAY(기본입력!$H$2,Q131-1,공휴일)</x:f>
        <x:v>45947</x:v>
      </x:c>
    </x:row>
    <x:row r="132" spans="1:18">
      <x:c r="A132" s="144" t="str">
        <x:f t="shared" ref="A132:A195" si="13">TEXT(R132,"yyyymmdd")</x:f>
        <x:v>20251017</x:v>
      </x:c>
      <x:c r="B132" s="6" t="s">
        <x:v>5</x:v>
      </x:c>
      <x:c r="C132" s="6">
        <x:v>1740</x:v>
      </x:c>
      <x:c r="D132" s="5" t="s">
        <x:v>1</x:v>
      </x:c>
      <x:c r="E132" s="6" t="s">
        <x:v>88</x:v>
      </x:c>
      <x:c r="F132" s="6" t="s">
        <x:v>40</x:v>
      </x:c>
      <x:c r="G132" s="14" t="str">
        <x:f>IF(OR(N132="",N132&gt;기본입력!$C$34),"",VLOOKUP(O132,기본입력!$A$9:$F$33,5))</x:f>
        <x:v>양현수_53778</x:v>
      </x:c>
      <x:c r="H132" s="14" t="str">
        <x:f>IF(OR(N132="",N132&gt;기본입력!$C$34),"",기본입력!$C$6)</x:f>
        <x:v>1교육실(실습겸용강의실)_243089</x:v>
      </x:c>
      <x:c r="I132" s="14" t="str">
        <x:f>IF(OR(O132="",N132&gt;기본입력!$C$34),"",VLOOKUP(O132,기본입력!$A$9:$F$33,6,FALSE))</x:f>
        <x:v>웹&amp;콘텐츠 서비스 개발__4</x:v>
      </x:c>
      <x:c r="J132" s="38" t="str">
        <x:f t="shared" ref="J132:J177" si="14">IF(F132="2","",LEFT(I132,FIND("_",I132,2)-1))</x:f>
        <x:v>웹&amp;콘텐츠 서비스 개발</x:v>
      </x:c>
      <x:c r="K132" s="38" t="str">
        <x:f t="shared" ref="K132:K177" si="15">IF(F132="2","",LEFT(H132,FIND("_",H132,2)-1))</x:f>
        <x:v>1교육실(실습겸용강의실)</x:v>
      </x:c>
      <x:c r="L132" s="38" t="str">
        <x:f t="shared" ref="L132:L177" si="16">IF(F132="2","",LEFT(G132,FIND("_",G132,2)-1))</x:f>
        <x:v>양현수</x:v>
      </x:c>
      <x:c r="M132" s="63"/>
      <x:c r="N132" s="30">
        <x:f>IF(F132="2","",COUNTIF($F$3:$F132,"=1"))</x:f>
        <x:v>116</x:v>
      </x:c>
      <x:c r="O132" s="30">
        <x:f t="shared" si="12"/>
        <x:v>2</x:v>
      </x:c>
      <x:c r="P132" s="30">
        <x:f t="shared" ref="P132:P195" si="17">MOD(ROW(),9)</x:f>
        <x:v>6</x:v>
      </x:c>
      <x:c r="Q132" s="30">
        <x:f>COUNTIF($P$3:P132,"=3")</x:f>
        <x:v>15</x:v>
      </x:c>
      <x:c r="R132" s="29">
        <x:f>WORKDAY(기본입력!$H$2,Q132-1,공휴일)</x:f>
        <x:v>45947</x:v>
      </x:c>
    </x:row>
    <x:row r="133" spans="1:18">
      <x:c r="A133" s="144" t="str">
        <x:f t="shared" si="13"/>
        <x:v>20251017</x:v>
      </x:c>
      <x:c r="B133" s="6" t="s">
        <x:v>5</x:v>
      </x:c>
      <x:c r="C133" s="6">
        <x:v>1740</x:v>
      </x:c>
      <x:c r="D133" s="5" t="s">
        <x:v>1</x:v>
      </x:c>
      <x:c r="E133" s="6" t="s">
        <x:v>0</x:v>
      </x:c>
      <x:c r="F133" s="6" t="s">
        <x:v>41</x:v>
      </x:c>
      <x:c r="G133" s="14" t="str">
        <x:f>IF(OR(N133="",N133&gt;기본입력!$C$34),"",VLOOKUP(O133,기본입력!$A$9:$F$33,5))</x:f>
        <x:v/>
      </x:c>
      <x:c r="H133" s="14" t="str">
        <x:f>IF(OR(N133="",N133&gt;기본입력!$C$34),"",기본입력!$C$6)</x:f>
        <x:v/>
      </x:c>
      <x:c r="I133" s="14" t="str">
        <x:f>IF(OR(O133="",N133&gt;기본입력!$C$34),"",VLOOKUP(O133,기본입력!$A$9:$F$33,6,FALSE))</x:f>
        <x:v/>
      </x:c>
      <x:c r="J133" s="38" t="str">
        <x:f t="shared" si="14"/>
        <x:v/>
      </x:c>
      <x:c r="K133" s="38" t="str">
        <x:f t="shared" si="15"/>
        <x:v/>
      </x:c>
      <x:c r="L133" s="38" t="str">
        <x:f t="shared" si="16"/>
        <x:v/>
      </x:c>
      <x:c r="M133" s="63"/>
      <x:c r="N133" s="30" t="str">
        <x:f>IF(F133="2","",COUNTIF($F$3:$F133,"=1"))</x:f>
        <x:v/>
      </x:c>
      <x:c r="O133" s="30" t="str">
        <x:f t="shared" si="12"/>
        <x:v/>
      </x:c>
      <x:c r="P133" s="30">
        <x:f t="shared" si="17"/>
        <x:v>7</x:v>
      </x:c>
      <x:c r="Q133" s="30">
        <x:f>COUNTIF($P$3:P133,"=3")</x:f>
        <x:v>15</x:v>
      </x:c>
      <x:c r="R133" s="29">
        <x:f>WORKDAY(기본입력!$H$2,Q133-1,공휴일)</x:f>
        <x:v>45947</x:v>
      </x:c>
    </x:row>
    <x:row r="134" spans="1:18">
      <x:c r="A134" s="144" t="str">
        <x:f t="shared" si="13"/>
        <x:v>20251017</x:v>
      </x:c>
      <x:c r="B134" s="6" t="s">
        <x:v>5</x:v>
      </x:c>
      <x:c r="C134" s="6">
        <x:v>1740</x:v>
      </x:c>
      <x:c r="D134" s="5" t="s">
        <x:v>1</x:v>
      </x:c>
      <x:c r="E134" s="6">
        <x:v>1340</x:v>
      </x:c>
      <x:c r="F134" s="6" t="s">
        <x:v>40</x:v>
      </x:c>
      <x:c r="G134" s="14" t="str">
        <x:f>IF(OR(N134="",N134&gt;기본입력!$C$34),"",VLOOKUP(O134,기본입력!$A$9:$F$33,5))</x:f>
        <x:v>양현수_53778</x:v>
      </x:c>
      <x:c r="H134" s="14" t="str">
        <x:f>IF(OR(N134="",N134&gt;기본입력!$C$34),"",기본입력!$C$6)</x:f>
        <x:v>1교육실(실습겸용강의실)_243089</x:v>
      </x:c>
      <x:c r="I134" s="14" t="str">
        <x:f>IF(OR(O134="",N134&gt;기본입력!$C$34),"",VLOOKUP(O134,기본입력!$A$9:$F$33,6,FALSE))</x:f>
        <x:v>웹&amp;콘텐츠 서비스 개발__4</x:v>
      </x:c>
      <x:c r="J134" s="38" t="str">
        <x:f t="shared" si="14"/>
        <x:v>웹&amp;콘텐츠 서비스 개발</x:v>
      </x:c>
      <x:c r="K134" s="38" t="str">
        <x:f t="shared" si="15"/>
        <x:v>1교육실(실습겸용강의실)</x:v>
      </x:c>
      <x:c r="L134" s="38" t="str">
        <x:f t="shared" si="16"/>
        <x:v>양현수</x:v>
      </x:c>
      <x:c r="M134" s="63"/>
      <x:c r="N134" s="30">
        <x:f>IF(F134="2","",COUNTIF($F$3:$F134,"=1"))</x:f>
        <x:v>117</x:v>
      </x:c>
      <x:c r="O134" s="30">
        <x:f t="shared" si="12"/>
        <x:v>2</x:v>
      </x:c>
      <x:c r="P134" s="30">
        <x:f t="shared" si="17"/>
        <x:v>8</x:v>
      </x:c>
      <x:c r="Q134" s="30">
        <x:f>COUNTIF($P$3:P134,"=3")</x:f>
        <x:v>15</x:v>
      </x:c>
      <x:c r="R134" s="29">
        <x:f>WORKDAY(기본입력!$H$2,Q134-1,공휴일)</x:f>
        <x:v>45947</x:v>
      </x:c>
    </x:row>
    <x:row r="135" spans="1:18">
      <x:c r="A135" s="144" t="str">
        <x:f t="shared" si="13"/>
        <x:v>20251017</x:v>
      </x:c>
      <x:c r="B135" s="6" t="s">
        <x:v>5</x:v>
      </x:c>
      <x:c r="C135" s="6">
        <x:v>1740</x:v>
      </x:c>
      <x:c r="D135" s="5" t="s">
        <x:v>1</x:v>
      </x:c>
      <x:c r="E135" s="6">
        <x:v>1440</x:v>
      </x:c>
      <x:c r="F135" s="6" t="s">
        <x:v>40</x:v>
      </x:c>
      <x:c r="G135" s="14" t="str">
        <x:f>IF(OR(N135="",N135&gt;기본입력!$C$34),"",VLOOKUP(O135,기본입력!$A$9:$F$33,5))</x:f>
        <x:v>양현수_53778</x:v>
      </x:c>
      <x:c r="H135" s="14" t="str">
        <x:f>IF(OR(N135="",N135&gt;기본입력!$C$34),"",기본입력!$C$6)</x:f>
        <x:v>1교육실(실습겸용강의실)_243089</x:v>
      </x:c>
      <x:c r="I135" s="14" t="str">
        <x:f>IF(OR(O135="",N135&gt;기본입력!$C$34),"",VLOOKUP(O135,기본입력!$A$9:$F$33,6,FALSE))</x:f>
        <x:v>웹&amp;콘텐츠 서비스 개발__4</x:v>
      </x:c>
      <x:c r="J135" s="38" t="str">
        <x:f t="shared" si="14"/>
        <x:v>웹&amp;콘텐츠 서비스 개발</x:v>
      </x:c>
      <x:c r="K135" s="38" t="str">
        <x:f t="shared" si="15"/>
        <x:v>1교육실(실습겸용강의실)</x:v>
      </x:c>
      <x:c r="L135" s="38" t="str">
        <x:f t="shared" si="16"/>
        <x:v>양현수</x:v>
      </x:c>
      <x:c r="M135" s="63"/>
      <x:c r="N135" s="30">
        <x:f>IF(F135="2","",COUNTIF($F$3:$F135,"=1"))</x:f>
        <x:v>118</x:v>
      </x:c>
      <x:c r="O135" s="30">
        <x:f t="shared" si="12"/>
        <x:v>2</x:v>
      </x:c>
      <x:c r="P135" s="30">
        <x:f t="shared" si="17"/>
        <x:v>0</x:v>
      </x:c>
      <x:c r="Q135" s="30">
        <x:f>COUNTIF($P$3:P135,"=3")</x:f>
        <x:v>15</x:v>
      </x:c>
      <x:c r="R135" s="29">
        <x:f>WORKDAY(기본입력!$H$2,Q135-1,공휴일)</x:f>
        <x:v>45947</x:v>
      </x:c>
    </x:row>
    <x:row r="136" spans="1:18">
      <x:c r="A136" s="144" t="str">
        <x:f t="shared" si="13"/>
        <x:v>20251017</x:v>
      </x:c>
      <x:c r="B136" s="6" t="s">
        <x:v>5</x:v>
      </x:c>
      <x:c r="C136" s="6">
        <x:v>1740</x:v>
      </x:c>
      <x:c r="D136" s="5" t="s">
        <x:v>1</x:v>
      </x:c>
      <x:c r="E136" s="6">
        <x:v>1540</x:v>
      </x:c>
      <x:c r="F136" s="6" t="s">
        <x:v>40</x:v>
      </x:c>
      <x:c r="G136" s="14" t="str">
        <x:f>IF(OR(N136="",N136&gt;기본입력!$C$34),"",VLOOKUP(O136,기본입력!$A$9:$F$33,5))</x:f>
        <x:v>양현수_53778</x:v>
      </x:c>
      <x:c r="H136" s="14" t="str">
        <x:f>IF(OR(N136="",N136&gt;기본입력!$C$34),"",기본입력!$C$6)</x:f>
        <x:v>1교육실(실습겸용강의실)_243089</x:v>
      </x:c>
      <x:c r="I136" s="14" t="str">
        <x:f>IF(OR(O136="",N136&gt;기본입력!$C$34),"",VLOOKUP(O136,기본입력!$A$9:$F$33,6,FALSE))</x:f>
        <x:v>웹&amp;콘텐츠 서비스 개발__4</x:v>
      </x:c>
      <x:c r="J136" s="38" t="str">
        <x:f t="shared" si="14"/>
        <x:v>웹&amp;콘텐츠 서비스 개발</x:v>
      </x:c>
      <x:c r="K136" s="38" t="str">
        <x:f t="shared" si="15"/>
        <x:v>1교육실(실습겸용강의실)</x:v>
      </x:c>
      <x:c r="L136" s="38" t="str">
        <x:f t="shared" si="16"/>
        <x:v>양현수</x:v>
      </x:c>
      <x:c r="M136" s="63"/>
      <x:c r="N136" s="30">
        <x:f>IF(F136="2","",COUNTIF($F$3:$F136,"=1"))</x:f>
        <x:v>119</x:v>
      </x:c>
      <x:c r="O136" s="30">
        <x:f t="shared" si="12"/>
        <x:v>2</x:v>
      </x:c>
      <x:c r="P136" s="30">
        <x:f t="shared" si="17"/>
        <x:v>1</x:v>
      </x:c>
      <x:c r="Q136" s="30">
        <x:f>COUNTIF($P$3:P136,"=3")</x:f>
        <x:v>15</x:v>
      </x:c>
      <x:c r="R136" s="29">
        <x:f>WORKDAY(기본입력!$H$2,Q136-1,공휴일)</x:f>
        <x:v>45947</x:v>
      </x:c>
    </x:row>
    <x:row r="137" spans="1:18">
      <x:c r="A137" s="144" t="str">
        <x:f t="shared" si="13"/>
        <x:v>20251017</x:v>
      </x:c>
      <x:c r="B137" s="6" t="s">
        <x:v>5</x:v>
      </x:c>
      <x:c r="C137" s="6">
        <x:v>1740</x:v>
      </x:c>
      <x:c r="D137" s="5" t="s">
        <x:v>1</x:v>
      </x:c>
      <x:c r="E137" s="6">
        <x:v>1640</x:v>
      </x:c>
      <x:c r="F137" s="6" t="s">
        <x:v>40</x:v>
      </x:c>
      <x:c r="G137" s="14" t="str">
        <x:f>IF(OR(N137="",N137&gt;기본입력!$C$34),"",VLOOKUP(O137,기본입력!$A$9:$F$33,5))</x:f>
        <x:v>양현수_53778</x:v>
      </x:c>
      <x:c r="H137" s="14" t="str">
        <x:f>IF(OR(N137="",N137&gt;기본입력!$C$34),"",기본입력!$C$6)</x:f>
        <x:v>1교육실(실습겸용강의실)_243089</x:v>
      </x:c>
      <x:c r="I137" s="14" t="str">
        <x:f>IF(OR(O137="",N137&gt;기본입력!$C$34),"",VLOOKUP(O137,기본입력!$A$9:$F$33,6,FALSE))</x:f>
        <x:v>웹&amp;콘텐츠 서비스 개발__4</x:v>
      </x:c>
      <x:c r="J137" s="38" t="str">
        <x:f t="shared" si="14"/>
        <x:v>웹&amp;콘텐츠 서비스 개발</x:v>
      </x:c>
      <x:c r="K137" s="38" t="str">
        <x:f t="shared" si="15"/>
        <x:v>1교육실(실습겸용강의실)</x:v>
      </x:c>
      <x:c r="L137" s="38" t="str">
        <x:f t="shared" si="16"/>
        <x:v>양현수</x:v>
      </x:c>
      <x:c r="M137" s="63"/>
      <x:c r="N137" s="30">
        <x:f>IF(F137="2","",COUNTIF($F$3:$F137,"=1"))</x:f>
        <x:v>120</x:v>
      </x:c>
      <x:c r="O137" s="30">
        <x:f t="shared" si="12"/>
        <x:v>2</x:v>
      </x:c>
      <x:c r="P137" s="30">
        <x:f t="shared" si="17"/>
        <x:v>2</x:v>
      </x:c>
      <x:c r="Q137" s="30">
        <x:f>COUNTIF($P$3:P137,"=3")</x:f>
        <x:v>15</x:v>
      </x:c>
      <x:c r="R137" s="29">
        <x:f>WORKDAY(기본입력!$H$2,Q137-1,공휴일)</x:f>
        <x:v>45947</x:v>
      </x:c>
    </x:row>
    <x:row r="138" spans="1:18">
      <x:c r="A138" s="145" t="str">
        <x:f t="shared" si="13"/>
        <x:v>20251020</x:v>
      </x:c>
      <x:c r="B138" s="8" t="s">
        <x:v>5</x:v>
      </x:c>
      <x:c r="C138" s="8">
        <x:v>1740</x:v>
      </x:c>
      <x:c r="D138" s="7" t="s">
        <x:v>1</x:v>
      </x:c>
      <x:c r="E138" s="8" t="s">
        <x:v>5</x:v>
      </x:c>
      <x:c r="F138" s="8" t="s">
        <x:v>40</x:v>
      </x:c>
      <x:c r="G138" s="15" t="str">
        <x:f>IF(OR(N138="",N138&gt;기본입력!$C$34),"",VLOOKUP(O138,기본입력!$A$9:$F$33,5))</x:f>
        <x:v>양현수_53778</x:v>
      </x:c>
      <x:c r="H138" s="15" t="str">
        <x:f>IF(OR(N138="",N138&gt;기본입력!$C$34),"",기본입력!$C$6)</x:f>
        <x:v>1교육실(실습겸용강의실)_243089</x:v>
      </x:c>
      <x:c r="I138" s="15" t="str">
        <x:f>IF(OR(O138="",N138&gt;기본입력!$C$34),"",VLOOKUP(O138,기본입력!$A$9:$F$33,6,FALSE))</x:f>
        <x:v>SQL 및 데이터 모델링__5</x:v>
      </x:c>
      <x:c r="J138" s="38" t="str">
        <x:f t="shared" si="14"/>
        <x:v>SQL 및 데이터 모델링</x:v>
      </x:c>
      <x:c r="K138" s="38" t="str">
        <x:f t="shared" si="15"/>
        <x:v>1교육실(실습겸용강의실)</x:v>
      </x:c>
      <x:c r="L138" s="38" t="str">
        <x:f t="shared" si="16"/>
        <x:v>양현수</x:v>
      </x:c>
      <x:c r="M138" s="63"/>
      <x:c r="N138" s="30">
        <x:f>IF(F138="2","",COUNTIF($F$3:$F138,"=1"))</x:f>
        <x:v>121</x:v>
      </x:c>
      <x:c r="O138" s="30">
        <x:f t="shared" si="12"/>
        <x:v>3</x:v>
      </x:c>
      <x:c r="P138" s="30">
        <x:f t="shared" si="17"/>
        <x:v>3</x:v>
      </x:c>
      <x:c r="Q138" s="30">
        <x:f>COUNTIF($P$3:P138,"=3")</x:f>
        <x:v>16</x:v>
      </x:c>
      <x:c r="R138" s="29">
        <x:f>WORKDAY(기본입력!$H$2,Q138-1,공휴일)</x:f>
        <x:v>45950</x:v>
      </x:c>
    </x:row>
    <x:row r="139" spans="1:18">
      <x:c r="A139" s="145" t="str">
        <x:f t="shared" si="13"/>
        <x:v>20251020</x:v>
      </x:c>
      <x:c r="B139" s="8" t="s">
        <x:v>5</x:v>
      </x:c>
      <x:c r="C139" s="8">
        <x:v>1740</x:v>
      </x:c>
      <x:c r="D139" s="7" t="s">
        <x:v>1</x:v>
      </x:c>
      <x:c r="E139" s="8" t="s">
        <x:v>117</x:v>
      </x:c>
      <x:c r="F139" s="8" t="s">
        <x:v>40</x:v>
      </x:c>
      <x:c r="G139" s="15" t="str">
        <x:f>IF(OR(N139="",N139&gt;기본입력!$C$34),"",VLOOKUP(O139,기본입력!$A$9:$F$33,5))</x:f>
        <x:v>양현수_53778</x:v>
      </x:c>
      <x:c r="H139" s="15" t="str">
        <x:f>IF(OR(N139="",N139&gt;기본입력!$C$34),"",기본입력!$C$6)</x:f>
        <x:v>1교육실(실습겸용강의실)_243089</x:v>
      </x:c>
      <x:c r="I139" s="15" t="str">
        <x:f>IF(OR(O139="",N139&gt;기본입력!$C$34),"",VLOOKUP(O139,기본입력!$A$9:$F$33,6,FALSE))</x:f>
        <x:v>SQL 및 데이터 모델링__5</x:v>
      </x:c>
      <x:c r="J139" s="38" t="str">
        <x:f t="shared" si="14"/>
        <x:v>SQL 및 데이터 모델링</x:v>
      </x:c>
      <x:c r="K139" s="38" t="str">
        <x:f t="shared" si="15"/>
        <x:v>1교육실(실습겸용강의실)</x:v>
      </x:c>
      <x:c r="L139" s="38" t="str">
        <x:f t="shared" si="16"/>
        <x:v>양현수</x:v>
      </x:c>
      <x:c r="M139" s="63"/>
      <x:c r="N139" s="30">
        <x:f>IF(F139="2","",COUNTIF($F$3:$F139,"=1"))</x:f>
        <x:v>122</x:v>
      </x:c>
      <x:c r="O139" s="30">
        <x:f t="shared" si="12"/>
        <x:v>3</x:v>
      </x:c>
      <x:c r="P139" s="30">
        <x:f t="shared" si="17"/>
        <x:v>4</x:v>
      </x:c>
      <x:c r="Q139" s="30">
        <x:f>COUNTIF($P$3:P139,"=3")</x:f>
        <x:v>16</x:v>
      </x:c>
      <x:c r="R139" s="29">
        <x:f>WORKDAY(기본입력!$H$2,Q139-1,공휴일)</x:f>
        <x:v>45950</x:v>
      </x:c>
    </x:row>
    <x:row r="140" spans="1:18">
      <x:c r="A140" s="145" t="str">
        <x:f t="shared" si="13"/>
        <x:v>20251020</x:v>
      </x:c>
      <x:c r="B140" s="8" t="s">
        <x:v>5</x:v>
      </x:c>
      <x:c r="C140" s="8">
        <x:v>1740</x:v>
      </x:c>
      <x:c r="D140" s="7" t="s">
        <x:v>1</x:v>
      </x:c>
      <x:c r="E140" s="8" t="s">
        <x:v>87</x:v>
      </x:c>
      <x:c r="F140" s="8" t="s">
        <x:v>40</x:v>
      </x:c>
      <x:c r="G140" s="15" t="str">
        <x:f>IF(OR(N140="",N140&gt;기본입력!$C$34),"",VLOOKUP(O140,기본입력!$A$9:$F$33,5))</x:f>
        <x:v>양현수_53778</x:v>
      </x:c>
      <x:c r="H140" s="15" t="str">
        <x:f>IF(OR(N140="",N140&gt;기본입력!$C$34),"",기본입력!$C$6)</x:f>
        <x:v>1교육실(실습겸용강의실)_243089</x:v>
      </x:c>
      <x:c r="I140" s="15" t="str">
        <x:f>IF(OR(O140="",N140&gt;기본입력!$C$34),"",VLOOKUP(O140,기본입력!$A$9:$F$33,6,FALSE))</x:f>
        <x:v>SQL 및 데이터 모델링__5</x:v>
      </x:c>
      <x:c r="J140" s="38" t="str">
        <x:f t="shared" si="14"/>
        <x:v>SQL 및 데이터 모델링</x:v>
      </x:c>
      <x:c r="K140" s="38" t="str">
        <x:f t="shared" si="15"/>
        <x:v>1교육실(실습겸용강의실)</x:v>
      </x:c>
      <x:c r="L140" s="38" t="str">
        <x:f t="shared" si="16"/>
        <x:v>양현수</x:v>
      </x:c>
      <x:c r="M140" s="63"/>
      <x:c r="N140" s="30">
        <x:f>IF(F140="2","",COUNTIF($F$3:$F140,"=1"))</x:f>
        <x:v>123</x:v>
      </x:c>
      <x:c r="O140" s="30">
        <x:f t="shared" si="12"/>
        <x:v>3</x:v>
      </x:c>
      <x:c r="P140" s="30">
        <x:f t="shared" si="17"/>
        <x:v>5</x:v>
      </x:c>
      <x:c r="Q140" s="30">
        <x:f>COUNTIF($P$3:P140,"=3")</x:f>
        <x:v>16</x:v>
      </x:c>
      <x:c r="R140" s="29">
        <x:f>WORKDAY(기본입력!$H$2,Q140-1,공휴일)</x:f>
        <x:v>45950</x:v>
      </x:c>
    </x:row>
    <x:row r="141" spans="1:18">
      <x:c r="A141" s="145" t="str">
        <x:f t="shared" si="13"/>
        <x:v>20251020</x:v>
      </x:c>
      <x:c r="B141" s="8" t="s">
        <x:v>5</x:v>
      </x:c>
      <x:c r="C141" s="8">
        <x:v>1740</x:v>
      </x:c>
      <x:c r="D141" s="7" t="s">
        <x:v>1</x:v>
      </x:c>
      <x:c r="E141" s="8" t="s">
        <x:v>88</x:v>
      </x:c>
      <x:c r="F141" s="8" t="s">
        <x:v>40</x:v>
      </x:c>
      <x:c r="G141" s="15" t="str">
        <x:f>IF(OR(N141="",N141&gt;기본입력!$C$34),"",VLOOKUP(O141,기본입력!$A$9:$F$33,5))</x:f>
        <x:v>양현수_53778</x:v>
      </x:c>
      <x:c r="H141" s="15" t="str">
        <x:f>IF(OR(N141="",N141&gt;기본입력!$C$34),"",기본입력!$C$6)</x:f>
        <x:v>1교육실(실습겸용강의실)_243089</x:v>
      </x:c>
      <x:c r="I141" s="15" t="str">
        <x:f>IF(OR(O141="",N141&gt;기본입력!$C$34),"",VLOOKUP(O141,기본입력!$A$9:$F$33,6,FALSE))</x:f>
        <x:v>SQL 및 데이터 모델링__5</x:v>
      </x:c>
      <x:c r="J141" s="38" t="str">
        <x:f t="shared" si="14"/>
        <x:v>SQL 및 데이터 모델링</x:v>
      </x:c>
      <x:c r="K141" s="38" t="str">
        <x:f t="shared" si="15"/>
        <x:v>1교육실(실습겸용강의실)</x:v>
      </x:c>
      <x:c r="L141" s="38" t="str">
        <x:f t="shared" si="16"/>
        <x:v>양현수</x:v>
      </x:c>
      <x:c r="M141" s="63"/>
      <x:c r="N141" s="30">
        <x:f>IF(F141="2","",COUNTIF($F$3:$F141,"=1"))</x:f>
        <x:v>124</x:v>
      </x:c>
      <x:c r="O141" s="30">
        <x:f t="shared" si="12"/>
        <x:v>3</x:v>
      </x:c>
      <x:c r="P141" s="30">
        <x:f t="shared" si="17"/>
        <x:v>6</x:v>
      </x:c>
      <x:c r="Q141" s="30">
        <x:f>COUNTIF($P$3:P141,"=3")</x:f>
        <x:v>16</x:v>
      </x:c>
      <x:c r="R141" s="29">
        <x:f>WORKDAY(기본입력!$H$2,Q141-1,공휴일)</x:f>
        <x:v>45950</x:v>
      </x:c>
    </x:row>
    <x:row r="142" spans="1:18">
      <x:c r="A142" s="145" t="str">
        <x:f t="shared" si="13"/>
        <x:v>20251020</x:v>
      </x:c>
      <x:c r="B142" s="8" t="s">
        <x:v>5</x:v>
      </x:c>
      <x:c r="C142" s="8">
        <x:v>1740</x:v>
      </x:c>
      <x:c r="D142" s="7" t="s">
        <x:v>1</x:v>
      </x:c>
      <x:c r="E142" s="8" t="s">
        <x:v>0</x:v>
      </x:c>
      <x:c r="F142" s="8" t="s">
        <x:v>41</x:v>
      </x:c>
      <x:c r="G142" s="15" t="str">
        <x:f>IF(OR(N142="",N142&gt;기본입력!$C$34),"",VLOOKUP(O142,기본입력!$A$9:$F$33,5))</x:f>
        <x:v/>
      </x:c>
      <x:c r="H142" s="15" t="str">
        <x:f>IF(OR(N142="",N142&gt;기본입력!$C$34),"",기본입력!$C$6)</x:f>
        <x:v/>
      </x:c>
      <x:c r="I142" s="15" t="str">
        <x:f>IF(OR(O142="",N142&gt;기본입력!$C$34),"",VLOOKUP(O142,기본입력!$A$9:$F$33,6,FALSE))</x:f>
        <x:v/>
      </x:c>
      <x:c r="J142" s="38" t="str">
        <x:f t="shared" si="14"/>
        <x:v/>
      </x:c>
      <x:c r="K142" s="38" t="str">
        <x:f t="shared" si="15"/>
        <x:v/>
      </x:c>
      <x:c r="L142" s="38" t="str">
        <x:f t="shared" si="16"/>
        <x:v/>
      </x:c>
      <x:c r="M142" s="63"/>
      <x:c r="N142" s="30" t="str">
        <x:f>IF(F142="2","",COUNTIF($F$3:$F142,"=1"))</x:f>
        <x:v/>
      </x:c>
      <x:c r="O142" s="30" t="str">
        <x:f t="shared" si="12"/>
        <x:v/>
      </x:c>
      <x:c r="P142" s="30">
        <x:f t="shared" si="17"/>
        <x:v>7</x:v>
      </x:c>
      <x:c r="Q142" s="30">
        <x:f>COUNTIF($P$3:P142,"=3")</x:f>
        <x:v>16</x:v>
      </x:c>
      <x:c r="R142" s="29">
        <x:f>WORKDAY(기본입력!$H$2,Q142-1,공휴일)</x:f>
        <x:v>45950</x:v>
      </x:c>
    </x:row>
    <x:row r="143" spans="1:18">
      <x:c r="A143" s="145" t="str">
        <x:f t="shared" si="13"/>
        <x:v>20251020</x:v>
      </x:c>
      <x:c r="B143" s="8" t="s">
        <x:v>5</x:v>
      </x:c>
      <x:c r="C143" s="8">
        <x:v>1740</x:v>
      </x:c>
      <x:c r="D143" s="7" t="s">
        <x:v>1</x:v>
      </x:c>
      <x:c r="E143" s="8">
        <x:v>1340</x:v>
      </x:c>
      <x:c r="F143" s="8" t="s">
        <x:v>40</x:v>
      </x:c>
      <x:c r="G143" s="15" t="str">
        <x:f>IF(OR(N143="",N143&gt;기본입력!$C$34),"",VLOOKUP(O143,기본입력!$A$9:$F$33,5))</x:f>
        <x:v>양현수_53778</x:v>
      </x:c>
      <x:c r="H143" s="15" t="str">
        <x:f>IF(OR(N143="",N143&gt;기본입력!$C$34),"",기본입력!$C$6)</x:f>
        <x:v>1교육실(실습겸용강의실)_243089</x:v>
      </x:c>
      <x:c r="I143" s="15" t="str">
        <x:f>IF(OR(O143="",N143&gt;기본입력!$C$34),"",VLOOKUP(O143,기본입력!$A$9:$F$33,6,FALSE))</x:f>
        <x:v>SQL 및 데이터 모델링__5</x:v>
      </x:c>
      <x:c r="J143" s="38" t="str">
        <x:f t="shared" si="14"/>
        <x:v>SQL 및 데이터 모델링</x:v>
      </x:c>
      <x:c r="K143" s="38" t="str">
        <x:f t="shared" si="15"/>
        <x:v>1교육실(실습겸용강의실)</x:v>
      </x:c>
      <x:c r="L143" s="38" t="str">
        <x:f t="shared" si="16"/>
        <x:v>양현수</x:v>
      </x:c>
      <x:c r="M143" s="63"/>
      <x:c r="N143" s="30">
        <x:f>IF(F143="2","",COUNTIF($F$3:$F143,"=1"))</x:f>
        <x:v>125</x:v>
      </x:c>
      <x:c r="O143" s="30">
        <x:f t="shared" si="12"/>
        <x:v>3</x:v>
      </x:c>
      <x:c r="P143" s="30">
        <x:f t="shared" si="17"/>
        <x:v>8</x:v>
      </x:c>
      <x:c r="Q143" s="30">
        <x:f>COUNTIF($P$3:P143,"=3")</x:f>
        <x:v>16</x:v>
      </x:c>
      <x:c r="R143" s="29">
        <x:f>WORKDAY(기본입력!$H$2,Q143-1,공휴일)</x:f>
        <x:v>45950</x:v>
      </x:c>
    </x:row>
    <x:row r="144" spans="1:18">
      <x:c r="A144" s="145" t="str">
        <x:f t="shared" si="13"/>
        <x:v>20251020</x:v>
      </x:c>
      <x:c r="B144" s="8" t="s">
        <x:v>5</x:v>
      </x:c>
      <x:c r="C144" s="8">
        <x:v>1740</x:v>
      </x:c>
      <x:c r="D144" s="7" t="s">
        <x:v>1</x:v>
      </x:c>
      <x:c r="E144" s="8">
        <x:v>1440</x:v>
      </x:c>
      <x:c r="F144" s="8" t="s">
        <x:v>40</x:v>
      </x:c>
      <x:c r="G144" s="15" t="str">
        <x:f>IF(OR(N144="",N144&gt;기본입력!$C$34),"",VLOOKUP(O144,기본입력!$A$9:$F$33,5))</x:f>
        <x:v>양현수_53778</x:v>
      </x:c>
      <x:c r="H144" s="15" t="str">
        <x:f>IF(OR(N144="",N144&gt;기본입력!$C$34),"",기본입력!$C$6)</x:f>
        <x:v>1교육실(실습겸용강의실)_243089</x:v>
      </x:c>
      <x:c r="I144" s="15" t="str">
        <x:f>IF(OR(O144="",N144&gt;기본입력!$C$34),"",VLOOKUP(O144,기본입력!$A$9:$F$33,6,FALSE))</x:f>
        <x:v>SQL 및 데이터 모델링__5</x:v>
      </x:c>
      <x:c r="J144" s="38" t="str">
        <x:f t="shared" si="14"/>
        <x:v>SQL 및 데이터 모델링</x:v>
      </x:c>
      <x:c r="K144" s="38" t="str">
        <x:f t="shared" si="15"/>
        <x:v>1교육실(실습겸용강의실)</x:v>
      </x:c>
      <x:c r="L144" s="38" t="str">
        <x:f t="shared" si="16"/>
        <x:v>양현수</x:v>
      </x:c>
      <x:c r="M144" s="63"/>
      <x:c r="N144" s="30">
        <x:f>IF(F144="2","",COUNTIF($F$3:$F144,"=1"))</x:f>
        <x:v>126</x:v>
      </x:c>
      <x:c r="O144" s="30">
        <x:f t="shared" si="12"/>
        <x:v>3</x:v>
      </x:c>
      <x:c r="P144" s="30">
        <x:f t="shared" si="17"/>
        <x:v>0</x:v>
      </x:c>
      <x:c r="Q144" s="30">
        <x:f>COUNTIF($P$3:P144,"=3")</x:f>
        <x:v>16</x:v>
      </x:c>
      <x:c r="R144" s="29">
        <x:f>WORKDAY(기본입력!$H$2,Q144-1,공휴일)</x:f>
        <x:v>45950</x:v>
      </x:c>
    </x:row>
    <x:row r="145" spans="1:18">
      <x:c r="A145" s="145" t="str">
        <x:f t="shared" si="13"/>
        <x:v>20251020</x:v>
      </x:c>
      <x:c r="B145" s="8" t="s">
        <x:v>5</x:v>
      </x:c>
      <x:c r="C145" s="8">
        <x:v>1740</x:v>
      </x:c>
      <x:c r="D145" s="7" t="s">
        <x:v>1</x:v>
      </x:c>
      <x:c r="E145" s="8">
        <x:v>1540</x:v>
      </x:c>
      <x:c r="F145" s="8" t="s">
        <x:v>40</x:v>
      </x:c>
      <x:c r="G145" s="15" t="str">
        <x:f>IF(OR(N145="",N145&gt;기본입력!$C$34),"",VLOOKUP(O145,기본입력!$A$9:$F$33,5))</x:f>
        <x:v>양현수_53778</x:v>
      </x:c>
      <x:c r="H145" s="15" t="str">
        <x:f>IF(OR(N145="",N145&gt;기본입력!$C$34),"",기본입력!$C$6)</x:f>
        <x:v>1교육실(실습겸용강의실)_243089</x:v>
      </x:c>
      <x:c r="I145" s="15" t="str">
        <x:f>IF(OR(O145="",N145&gt;기본입력!$C$34),"",VLOOKUP(O145,기본입력!$A$9:$F$33,6,FALSE))</x:f>
        <x:v>SQL 및 데이터 모델링__5</x:v>
      </x:c>
      <x:c r="J145" s="38" t="str">
        <x:f t="shared" si="14"/>
        <x:v>SQL 및 데이터 모델링</x:v>
      </x:c>
      <x:c r="K145" s="38" t="str">
        <x:f t="shared" si="15"/>
        <x:v>1교육실(실습겸용강의실)</x:v>
      </x:c>
      <x:c r="L145" s="38" t="str">
        <x:f t="shared" si="16"/>
        <x:v>양현수</x:v>
      </x:c>
      <x:c r="M145" s="63"/>
      <x:c r="N145" s="30">
        <x:f>IF(F145="2","",COUNTIF($F$3:$F145,"=1"))</x:f>
        <x:v>127</x:v>
      </x:c>
      <x:c r="O145" s="30">
        <x:f t="shared" si="12"/>
        <x:v>3</x:v>
      </x:c>
      <x:c r="P145" s="30">
        <x:f t="shared" si="17"/>
        <x:v>1</x:v>
      </x:c>
      <x:c r="Q145" s="30">
        <x:f>COUNTIF($P$3:P145,"=3")</x:f>
        <x:v>16</x:v>
      </x:c>
      <x:c r="R145" s="29">
        <x:f>WORKDAY(기본입력!$H$2,Q145-1,공휴일)</x:f>
        <x:v>45950</x:v>
      </x:c>
    </x:row>
    <x:row r="146" spans="1:18">
      <x:c r="A146" s="145" t="str">
        <x:f t="shared" si="13"/>
        <x:v>20251020</x:v>
      </x:c>
      <x:c r="B146" s="8" t="s">
        <x:v>5</x:v>
      </x:c>
      <x:c r="C146" s="8">
        <x:v>1740</x:v>
      </x:c>
      <x:c r="D146" s="7" t="s">
        <x:v>1</x:v>
      </x:c>
      <x:c r="E146" s="8">
        <x:v>1640</x:v>
      </x:c>
      <x:c r="F146" s="8" t="s">
        <x:v>40</x:v>
      </x:c>
      <x:c r="G146" s="15" t="str">
        <x:f>IF(OR(N146="",N146&gt;기본입력!$C$34),"",VLOOKUP(O146,기본입력!$A$9:$F$33,5))</x:f>
        <x:v>양현수_53778</x:v>
      </x:c>
      <x:c r="H146" s="15" t="str">
        <x:f>IF(OR(N146="",N146&gt;기본입력!$C$34),"",기본입력!$C$6)</x:f>
        <x:v>1교육실(실습겸용강의실)_243089</x:v>
      </x:c>
      <x:c r="I146" s="15" t="str">
        <x:f>IF(OR(O146="",N146&gt;기본입력!$C$34),"",VLOOKUP(O146,기본입력!$A$9:$F$33,6,FALSE))</x:f>
        <x:v>SQL 및 데이터 모델링__5</x:v>
      </x:c>
      <x:c r="J146" s="38" t="str">
        <x:f t="shared" si="14"/>
        <x:v>SQL 및 데이터 모델링</x:v>
      </x:c>
      <x:c r="K146" s="38" t="str">
        <x:f t="shared" si="15"/>
        <x:v>1교육실(실습겸용강의실)</x:v>
      </x:c>
      <x:c r="L146" s="38" t="str">
        <x:f t="shared" si="16"/>
        <x:v>양현수</x:v>
      </x:c>
      <x:c r="M146" s="63"/>
      <x:c r="N146" s="30">
        <x:f>IF(F146="2","",COUNTIF($F$3:$F146,"=1"))</x:f>
        <x:v>128</x:v>
      </x:c>
      <x:c r="O146" s="30">
        <x:f t="shared" si="12"/>
        <x:v>3</x:v>
      </x:c>
      <x:c r="P146" s="30">
        <x:f t="shared" si="17"/>
        <x:v>2</x:v>
      </x:c>
      <x:c r="Q146" s="30">
        <x:f>COUNTIF($P$3:P146,"=3")</x:f>
        <x:v>16</x:v>
      </x:c>
      <x:c r="R146" s="29">
        <x:f>WORKDAY(기본입력!$H$2,Q146-1,공휴일)</x:f>
        <x:v>45950</x:v>
      </x:c>
    </x:row>
    <x:row r="147" spans="1:18">
      <x:c r="A147" s="144" t="str">
        <x:f t="shared" si="13"/>
        <x:v>20251021</x:v>
      </x:c>
      <x:c r="B147" s="6" t="s">
        <x:v>5</x:v>
      </x:c>
      <x:c r="C147" s="6">
        <x:v>1740</x:v>
      </x:c>
      <x:c r="D147" s="5" t="s">
        <x:v>1</x:v>
      </x:c>
      <x:c r="E147" s="6" t="s">
        <x:v>5</x:v>
      </x:c>
      <x:c r="F147" s="6" t="s">
        <x:v>40</x:v>
      </x:c>
      <x:c r="G147" s="14" t="str">
        <x:f>IF(OR(N147="",N147&gt;기본입력!$C$34),"",VLOOKUP(O147,기본입력!$A$9:$F$33,5))</x:f>
        <x:v>양현수_53778</x:v>
      </x:c>
      <x:c r="H147" s="14" t="str">
        <x:f>IF(OR(N147="",N147&gt;기본입력!$C$34),"",기본입력!$C$6)</x:f>
        <x:v>1교육실(실습겸용강의실)_243089</x:v>
      </x:c>
      <x:c r="I147" s="14" t="str">
        <x:f>IF(OR(O147="",N147&gt;기본입력!$C$34),"",VLOOKUP(O147,기본입력!$A$9:$F$33,6,FALSE))</x:f>
        <x:v>SQL 및 데이터 모델링__5</x:v>
      </x:c>
      <x:c r="J147" s="38" t="str">
        <x:f t="shared" si="14"/>
        <x:v>SQL 및 데이터 모델링</x:v>
      </x:c>
      <x:c r="K147" s="38" t="str">
        <x:f t="shared" si="15"/>
        <x:v>1교육실(실습겸용강의실)</x:v>
      </x:c>
      <x:c r="L147" s="38" t="str">
        <x:f t="shared" si="16"/>
        <x:v>양현수</x:v>
      </x:c>
      <x:c r="M147" s="63"/>
      <x:c r="N147" s="30">
        <x:f>IF(F147="2","",COUNTIF($F$3:$F147,"=1"))</x:f>
        <x:v>129</x:v>
      </x:c>
      <x:c r="O147" s="30">
        <x:f t="shared" si="12"/>
        <x:v>3</x:v>
      </x:c>
      <x:c r="P147" s="30">
        <x:f t="shared" si="17"/>
        <x:v>3</x:v>
      </x:c>
      <x:c r="Q147" s="30">
        <x:f>COUNTIF($P$3:P147,"=3")</x:f>
        <x:v>17</x:v>
      </x:c>
      <x:c r="R147" s="29">
        <x:f>WORKDAY(기본입력!$H$2,Q147-1,공휴일)</x:f>
        <x:v>45951</x:v>
      </x:c>
    </x:row>
    <x:row r="148" spans="1:18">
      <x:c r="A148" s="144" t="str">
        <x:f t="shared" si="13"/>
        <x:v>20251021</x:v>
      </x:c>
      <x:c r="B148" s="6" t="s">
        <x:v>5</x:v>
      </x:c>
      <x:c r="C148" s="6">
        <x:v>1740</x:v>
      </x:c>
      <x:c r="D148" s="5" t="s">
        <x:v>1</x:v>
      </x:c>
      <x:c r="E148" s="6" t="s">
        <x:v>117</x:v>
      </x:c>
      <x:c r="F148" s="6" t="s">
        <x:v>40</x:v>
      </x:c>
      <x:c r="G148" s="14" t="str">
        <x:f>IF(OR(N148="",N148&gt;기본입력!$C$34),"",VLOOKUP(O148,기본입력!$A$9:$F$33,5))</x:f>
        <x:v>양현수_53778</x:v>
      </x:c>
      <x:c r="H148" s="14" t="str">
        <x:f>IF(OR(N148="",N148&gt;기본입력!$C$34),"",기본입력!$C$6)</x:f>
        <x:v>1교육실(실습겸용강의실)_243089</x:v>
      </x:c>
      <x:c r="I148" s="14" t="str">
        <x:f>IF(OR(O148="",N148&gt;기본입력!$C$34),"",VLOOKUP(O148,기본입력!$A$9:$F$33,6,FALSE))</x:f>
        <x:v>SQL 및 데이터 모델링__5</x:v>
      </x:c>
      <x:c r="J148" s="38" t="str">
        <x:f t="shared" si="14"/>
        <x:v>SQL 및 데이터 모델링</x:v>
      </x:c>
      <x:c r="K148" s="38" t="str">
        <x:f t="shared" si="15"/>
        <x:v>1교육실(실습겸용강의실)</x:v>
      </x:c>
      <x:c r="L148" s="38" t="str">
        <x:f t="shared" si="16"/>
        <x:v>양현수</x:v>
      </x:c>
      <x:c r="M148" s="63"/>
      <x:c r="N148" s="30">
        <x:f>IF(F148="2","",COUNTIF($F$3:$F148,"=1"))</x:f>
        <x:v>130</x:v>
      </x:c>
      <x:c r="O148" s="30">
        <x:f t="shared" si="12"/>
        <x:v>3</x:v>
      </x:c>
      <x:c r="P148" s="30">
        <x:f t="shared" si="17"/>
        <x:v>4</x:v>
      </x:c>
      <x:c r="Q148" s="30">
        <x:f>COUNTIF($P$3:P148,"=3")</x:f>
        <x:v>17</x:v>
      </x:c>
      <x:c r="R148" s="29">
        <x:f>WORKDAY(기본입력!$H$2,Q148-1,공휴일)</x:f>
        <x:v>45951</x:v>
      </x:c>
    </x:row>
    <x:row r="149" spans="1:18">
      <x:c r="A149" s="144" t="str">
        <x:f t="shared" si="13"/>
        <x:v>20251021</x:v>
      </x:c>
      <x:c r="B149" s="6" t="s">
        <x:v>5</x:v>
      </x:c>
      <x:c r="C149" s="6">
        <x:v>1740</x:v>
      </x:c>
      <x:c r="D149" s="5" t="s">
        <x:v>1</x:v>
      </x:c>
      <x:c r="E149" s="6" t="s">
        <x:v>87</x:v>
      </x:c>
      <x:c r="F149" s="6" t="s">
        <x:v>40</x:v>
      </x:c>
      <x:c r="G149" s="14" t="str">
        <x:f>IF(OR(N149="",N149&gt;기본입력!$C$34),"",VLOOKUP(O149,기본입력!$A$9:$F$33,5))</x:f>
        <x:v>양현수_53778</x:v>
      </x:c>
      <x:c r="H149" s="14" t="str">
        <x:f>IF(OR(N149="",N149&gt;기본입력!$C$34),"",기본입력!$C$6)</x:f>
        <x:v>1교육실(실습겸용강의실)_243089</x:v>
      </x:c>
      <x:c r="I149" s="14" t="str">
        <x:f>IF(OR(O149="",N149&gt;기본입력!$C$34),"",VLOOKUP(O149,기본입력!$A$9:$F$33,6,FALSE))</x:f>
        <x:v>SQL 및 데이터 모델링__5</x:v>
      </x:c>
      <x:c r="J149" s="38" t="str">
        <x:f t="shared" si="14"/>
        <x:v>SQL 및 데이터 모델링</x:v>
      </x:c>
      <x:c r="K149" s="38" t="str">
        <x:f t="shared" si="15"/>
        <x:v>1교육실(실습겸용강의실)</x:v>
      </x:c>
      <x:c r="L149" s="38" t="str">
        <x:f t="shared" si="16"/>
        <x:v>양현수</x:v>
      </x:c>
      <x:c r="M149" s="63"/>
      <x:c r="N149" s="30">
        <x:f>IF(F149="2","",COUNTIF($F$3:$F149,"=1"))</x:f>
        <x:v>131</x:v>
      </x:c>
      <x:c r="O149" s="30">
        <x:f t="shared" si="12"/>
        <x:v>3</x:v>
      </x:c>
      <x:c r="P149" s="30">
        <x:f t="shared" si="17"/>
        <x:v>5</x:v>
      </x:c>
      <x:c r="Q149" s="30">
        <x:f>COUNTIF($P$3:P149,"=3")</x:f>
        <x:v>17</x:v>
      </x:c>
      <x:c r="R149" s="29">
        <x:f>WORKDAY(기본입력!$H$2,Q149-1,공휴일)</x:f>
        <x:v>45951</x:v>
      </x:c>
    </x:row>
    <x:row r="150" spans="1:18">
      <x:c r="A150" s="144" t="str">
        <x:f t="shared" si="13"/>
        <x:v>20251021</x:v>
      </x:c>
      <x:c r="B150" s="6" t="s">
        <x:v>5</x:v>
      </x:c>
      <x:c r="C150" s="6">
        <x:v>1740</x:v>
      </x:c>
      <x:c r="D150" s="5" t="s">
        <x:v>1</x:v>
      </x:c>
      <x:c r="E150" s="6" t="s">
        <x:v>88</x:v>
      </x:c>
      <x:c r="F150" s="6" t="s">
        <x:v>40</x:v>
      </x:c>
      <x:c r="G150" s="14" t="str">
        <x:f>IF(OR(N150="",N150&gt;기본입력!$C$34),"",VLOOKUP(O150,기본입력!$A$9:$F$33,5))</x:f>
        <x:v>양현수_53778</x:v>
      </x:c>
      <x:c r="H150" s="14" t="str">
        <x:f>IF(OR(N150="",N150&gt;기본입력!$C$34),"",기본입력!$C$6)</x:f>
        <x:v>1교육실(실습겸용강의실)_243089</x:v>
      </x:c>
      <x:c r="I150" s="14" t="str">
        <x:f>IF(OR(O150="",N150&gt;기본입력!$C$34),"",VLOOKUP(O150,기본입력!$A$9:$F$33,6,FALSE))</x:f>
        <x:v>SQL 및 데이터 모델링__5</x:v>
      </x:c>
      <x:c r="J150" s="38" t="str">
        <x:f t="shared" si="14"/>
        <x:v>SQL 및 데이터 모델링</x:v>
      </x:c>
      <x:c r="K150" s="38" t="str">
        <x:f t="shared" si="15"/>
        <x:v>1교육실(실습겸용강의실)</x:v>
      </x:c>
      <x:c r="L150" s="38" t="str">
        <x:f t="shared" si="16"/>
        <x:v>양현수</x:v>
      </x:c>
      <x:c r="M150" s="63"/>
      <x:c r="N150" s="30">
        <x:f>IF(F150="2","",COUNTIF($F$3:$F150,"=1"))</x:f>
        <x:v>132</x:v>
      </x:c>
      <x:c r="O150" s="30">
        <x:f t="shared" si="12"/>
        <x:v>3</x:v>
      </x:c>
      <x:c r="P150" s="30">
        <x:f t="shared" si="17"/>
        <x:v>6</x:v>
      </x:c>
      <x:c r="Q150" s="30">
        <x:f>COUNTIF($P$3:P150,"=3")</x:f>
        <x:v>17</x:v>
      </x:c>
      <x:c r="R150" s="29">
        <x:f>WORKDAY(기본입력!$H$2,Q150-1,공휴일)</x:f>
        <x:v>45951</x:v>
      </x:c>
    </x:row>
    <x:row r="151" spans="1:18">
      <x:c r="A151" s="144" t="str">
        <x:f t="shared" si="13"/>
        <x:v>20251021</x:v>
      </x:c>
      <x:c r="B151" s="6" t="s">
        <x:v>5</x:v>
      </x:c>
      <x:c r="C151" s="6">
        <x:v>1740</x:v>
      </x:c>
      <x:c r="D151" s="5" t="s">
        <x:v>1</x:v>
      </x:c>
      <x:c r="E151" s="6" t="s">
        <x:v>0</x:v>
      </x:c>
      <x:c r="F151" s="6" t="s">
        <x:v>41</x:v>
      </x:c>
      <x:c r="G151" s="14" t="str">
        <x:f>IF(OR(N151="",N151&gt;기본입력!$C$34),"",VLOOKUP(O151,기본입력!$A$9:$F$33,5))</x:f>
        <x:v/>
      </x:c>
      <x:c r="H151" s="14" t="str">
        <x:f>IF(OR(N151="",N151&gt;기본입력!$C$34),"",기본입력!$C$6)</x:f>
        <x:v/>
      </x:c>
      <x:c r="I151" s="14" t="str">
        <x:f>IF(OR(O151="",N151&gt;기본입력!$C$34),"",VLOOKUP(O151,기본입력!$A$9:$F$33,6,FALSE))</x:f>
        <x:v/>
      </x:c>
      <x:c r="J151" s="38" t="str">
        <x:f t="shared" si="14"/>
        <x:v/>
      </x:c>
      <x:c r="K151" s="38" t="str">
        <x:f t="shared" si="15"/>
        <x:v/>
      </x:c>
      <x:c r="L151" s="38" t="str">
        <x:f t="shared" si="16"/>
        <x:v/>
      </x:c>
      <x:c r="M151" s="63"/>
      <x:c r="N151" s="30" t="str">
        <x:f>IF(F151="2","",COUNTIF($F$3:$F151,"=1"))</x:f>
        <x:v/>
      </x:c>
      <x:c r="O151" s="30" t="str">
        <x:f t="shared" si="12"/>
        <x:v/>
      </x:c>
      <x:c r="P151" s="30">
        <x:f t="shared" si="17"/>
        <x:v>7</x:v>
      </x:c>
      <x:c r="Q151" s="30">
        <x:f>COUNTIF($P$3:P151,"=3")</x:f>
        <x:v>17</x:v>
      </x:c>
      <x:c r="R151" s="29">
        <x:f>WORKDAY(기본입력!$H$2,Q151-1,공휴일)</x:f>
        <x:v>45951</x:v>
      </x:c>
    </x:row>
    <x:row r="152" spans="1:18">
      <x:c r="A152" s="144" t="str">
        <x:f t="shared" si="13"/>
        <x:v>20251021</x:v>
      </x:c>
      <x:c r="B152" s="6" t="s">
        <x:v>5</x:v>
      </x:c>
      <x:c r="C152" s="6">
        <x:v>1740</x:v>
      </x:c>
      <x:c r="D152" s="5" t="s">
        <x:v>1</x:v>
      </x:c>
      <x:c r="E152" s="6">
        <x:v>1340</x:v>
      </x:c>
      <x:c r="F152" s="6" t="s">
        <x:v>40</x:v>
      </x:c>
      <x:c r="G152" s="14" t="str">
        <x:f>IF(OR(N152="",N152&gt;기본입력!$C$34),"",VLOOKUP(O152,기본입력!$A$9:$F$33,5))</x:f>
        <x:v>양현수_53778</x:v>
      </x:c>
      <x:c r="H152" s="14" t="str">
        <x:f>IF(OR(N152="",N152&gt;기본입력!$C$34),"",기본입력!$C$6)</x:f>
        <x:v>1교육실(실습겸용강의실)_243089</x:v>
      </x:c>
      <x:c r="I152" s="14" t="str">
        <x:f>IF(OR(O152="",N152&gt;기본입력!$C$34),"",VLOOKUP(O152,기본입력!$A$9:$F$33,6,FALSE))</x:f>
        <x:v>SQL 및 데이터 모델링__5</x:v>
      </x:c>
      <x:c r="J152" s="38" t="str">
        <x:f t="shared" si="14"/>
        <x:v>SQL 및 데이터 모델링</x:v>
      </x:c>
      <x:c r="K152" s="38" t="str">
        <x:f t="shared" si="15"/>
        <x:v>1교육실(실습겸용강의실)</x:v>
      </x:c>
      <x:c r="L152" s="38" t="str">
        <x:f t="shared" si="16"/>
        <x:v>양현수</x:v>
      </x:c>
      <x:c r="M152" s="63"/>
      <x:c r="N152" s="30">
        <x:f>IF(F152="2","",COUNTIF($F$3:$F152,"=1"))</x:f>
        <x:v>133</x:v>
      </x:c>
      <x:c r="O152" s="30">
        <x:f t="shared" si="12"/>
        <x:v>3</x:v>
      </x:c>
      <x:c r="P152" s="30">
        <x:f t="shared" si="17"/>
        <x:v>8</x:v>
      </x:c>
      <x:c r="Q152" s="30">
        <x:f>COUNTIF($P$3:P152,"=3")</x:f>
        <x:v>17</x:v>
      </x:c>
      <x:c r="R152" s="29">
        <x:f>WORKDAY(기본입력!$H$2,Q152-1,공휴일)</x:f>
        <x:v>45951</x:v>
      </x:c>
    </x:row>
    <x:row r="153" spans="1:18">
      <x:c r="A153" s="144" t="str">
        <x:f t="shared" si="13"/>
        <x:v>20251021</x:v>
      </x:c>
      <x:c r="B153" s="6" t="s">
        <x:v>5</x:v>
      </x:c>
      <x:c r="C153" s="6">
        <x:v>1740</x:v>
      </x:c>
      <x:c r="D153" s="5" t="s">
        <x:v>1</x:v>
      </x:c>
      <x:c r="E153" s="6">
        <x:v>1440</x:v>
      </x:c>
      <x:c r="F153" s="6" t="s">
        <x:v>40</x:v>
      </x:c>
      <x:c r="G153" s="14" t="str">
        <x:f>IF(OR(N153="",N153&gt;기본입력!$C$34),"",VLOOKUP(O153,기본입력!$A$9:$F$33,5))</x:f>
        <x:v>양현수_53778</x:v>
      </x:c>
      <x:c r="H153" s="14" t="str">
        <x:f>IF(OR(N153="",N153&gt;기본입력!$C$34),"",기본입력!$C$6)</x:f>
        <x:v>1교육실(실습겸용강의실)_243089</x:v>
      </x:c>
      <x:c r="I153" s="14" t="str">
        <x:f>IF(OR(O153="",N153&gt;기본입력!$C$34),"",VLOOKUP(O153,기본입력!$A$9:$F$33,6,FALSE))</x:f>
        <x:v>SQL 및 데이터 모델링__5</x:v>
      </x:c>
      <x:c r="J153" s="38" t="str">
        <x:f t="shared" si="14"/>
        <x:v>SQL 및 데이터 모델링</x:v>
      </x:c>
      <x:c r="K153" s="38" t="str">
        <x:f t="shared" si="15"/>
        <x:v>1교육실(실습겸용강의실)</x:v>
      </x:c>
      <x:c r="L153" s="38" t="str">
        <x:f t="shared" si="16"/>
        <x:v>양현수</x:v>
      </x:c>
      <x:c r="M153" s="63"/>
      <x:c r="N153" s="30">
        <x:f>IF(F153="2","",COUNTIF($F$3:$F153,"=1"))</x:f>
        <x:v>134</x:v>
      </x:c>
      <x:c r="O153" s="30">
        <x:f t="shared" si="12"/>
        <x:v>3</x:v>
      </x:c>
      <x:c r="P153" s="30">
        <x:f t="shared" si="17"/>
        <x:v>0</x:v>
      </x:c>
      <x:c r="Q153" s="30">
        <x:f>COUNTIF($P$3:P153,"=3")</x:f>
        <x:v>17</x:v>
      </x:c>
      <x:c r="R153" s="29">
        <x:f>WORKDAY(기본입력!$H$2,Q153-1,공휴일)</x:f>
        <x:v>45951</x:v>
      </x:c>
    </x:row>
    <x:row r="154" spans="1:18">
      <x:c r="A154" s="144" t="str">
        <x:f t="shared" si="13"/>
        <x:v>20251021</x:v>
      </x:c>
      <x:c r="B154" s="6" t="s">
        <x:v>5</x:v>
      </x:c>
      <x:c r="C154" s="6">
        <x:v>1740</x:v>
      </x:c>
      <x:c r="D154" s="5" t="s">
        <x:v>1</x:v>
      </x:c>
      <x:c r="E154" s="6">
        <x:v>1540</x:v>
      </x:c>
      <x:c r="F154" s="6" t="s">
        <x:v>40</x:v>
      </x:c>
      <x:c r="G154" s="14" t="str">
        <x:f>IF(OR(N154="",N154&gt;기본입력!$C$34),"",VLOOKUP(O154,기본입력!$A$9:$F$33,5))</x:f>
        <x:v>양현수_53778</x:v>
      </x:c>
      <x:c r="H154" s="14" t="str">
        <x:f>IF(OR(N154="",N154&gt;기본입력!$C$34),"",기본입력!$C$6)</x:f>
        <x:v>1교육실(실습겸용강의실)_243089</x:v>
      </x:c>
      <x:c r="I154" s="14" t="str">
        <x:f>IF(OR(O154="",N154&gt;기본입력!$C$34),"",VLOOKUP(O154,기본입력!$A$9:$F$33,6,FALSE))</x:f>
        <x:v>SQL 및 데이터 모델링__5</x:v>
      </x:c>
      <x:c r="J154" s="38" t="str">
        <x:f t="shared" si="14"/>
        <x:v>SQL 및 데이터 모델링</x:v>
      </x:c>
      <x:c r="K154" s="38" t="str">
        <x:f t="shared" si="15"/>
        <x:v>1교육실(실습겸용강의실)</x:v>
      </x:c>
      <x:c r="L154" s="38" t="str">
        <x:f t="shared" si="16"/>
        <x:v>양현수</x:v>
      </x:c>
      <x:c r="M154" s="63"/>
      <x:c r="N154" s="30">
        <x:f>IF(F154="2","",COUNTIF($F$3:$F154,"=1"))</x:f>
        <x:v>135</x:v>
      </x:c>
      <x:c r="O154" s="30">
        <x:f t="shared" si="12"/>
        <x:v>3</x:v>
      </x:c>
      <x:c r="P154" s="30">
        <x:f t="shared" si="17"/>
        <x:v>1</x:v>
      </x:c>
      <x:c r="Q154" s="30">
        <x:f>COUNTIF($P$3:P154,"=3")</x:f>
        <x:v>17</x:v>
      </x:c>
      <x:c r="R154" s="29">
        <x:f>WORKDAY(기본입력!$H$2,Q154-1,공휴일)</x:f>
        <x:v>45951</x:v>
      </x:c>
    </x:row>
    <x:row r="155" spans="1:18">
      <x:c r="A155" s="144" t="str">
        <x:f t="shared" si="13"/>
        <x:v>20251021</x:v>
      </x:c>
      <x:c r="B155" s="6" t="s">
        <x:v>5</x:v>
      </x:c>
      <x:c r="C155" s="6">
        <x:v>1740</x:v>
      </x:c>
      <x:c r="D155" s="5" t="s">
        <x:v>1</x:v>
      </x:c>
      <x:c r="E155" s="6">
        <x:v>1640</x:v>
      </x:c>
      <x:c r="F155" s="6" t="s">
        <x:v>40</x:v>
      </x:c>
      <x:c r="G155" s="14" t="str">
        <x:f>IF(OR(N155="",N155&gt;기본입력!$C$34),"",VLOOKUP(O155,기본입력!$A$9:$F$33,5))</x:f>
        <x:v>양현수_53778</x:v>
      </x:c>
      <x:c r="H155" s="14" t="str">
        <x:f>IF(OR(N155="",N155&gt;기본입력!$C$34),"",기본입력!$C$6)</x:f>
        <x:v>1교육실(실습겸용강의실)_243089</x:v>
      </x:c>
      <x:c r="I155" s="14" t="str">
        <x:f>IF(OR(O155="",N155&gt;기본입력!$C$34),"",VLOOKUP(O155,기본입력!$A$9:$F$33,6,FALSE))</x:f>
        <x:v>SQL 및 데이터 모델링__5</x:v>
      </x:c>
      <x:c r="J155" s="38" t="str">
        <x:f t="shared" si="14"/>
        <x:v>SQL 및 데이터 모델링</x:v>
      </x:c>
      <x:c r="K155" s="38" t="str">
        <x:f t="shared" si="15"/>
        <x:v>1교육실(실습겸용강의실)</x:v>
      </x:c>
      <x:c r="L155" s="38" t="str">
        <x:f t="shared" si="16"/>
        <x:v>양현수</x:v>
      </x:c>
      <x:c r="M155" s="63"/>
      <x:c r="N155" s="30">
        <x:f>IF(F155="2","",COUNTIF($F$3:$F155,"=1"))</x:f>
        <x:v>136</x:v>
      </x:c>
      <x:c r="O155" s="30">
        <x:f t="shared" si="12"/>
        <x:v>3</x:v>
      </x:c>
      <x:c r="P155" s="30">
        <x:f t="shared" si="17"/>
        <x:v>2</x:v>
      </x:c>
      <x:c r="Q155" s="30">
        <x:f>COUNTIF($P$3:P155,"=3")</x:f>
        <x:v>17</x:v>
      </x:c>
      <x:c r="R155" s="29">
        <x:f>WORKDAY(기본입력!$H$2,Q155-1,공휴일)</x:f>
        <x:v>45951</x:v>
      </x:c>
    </x:row>
    <x:row r="156" spans="1:18">
      <x:c r="A156" s="145" t="str">
        <x:f t="shared" si="13"/>
        <x:v>20251022</x:v>
      </x:c>
      <x:c r="B156" s="8" t="s">
        <x:v>5</x:v>
      </x:c>
      <x:c r="C156" s="8">
        <x:v>1740</x:v>
      </x:c>
      <x:c r="D156" s="7" t="s">
        <x:v>1</x:v>
      </x:c>
      <x:c r="E156" s="8" t="s">
        <x:v>5</x:v>
      </x:c>
      <x:c r="F156" s="8" t="s">
        <x:v>40</x:v>
      </x:c>
      <x:c r="G156" s="15" t="str">
        <x:f>IF(OR(N156="",N156&gt;기본입력!$C$34),"",VLOOKUP(O156,기본입력!$A$9:$F$33,5))</x:f>
        <x:v>양현수_53778</x:v>
      </x:c>
      <x:c r="H156" s="15" t="str">
        <x:f>IF(OR(N156="",N156&gt;기본입력!$C$34),"",기본입력!$C$6)</x:f>
        <x:v>1교육실(실습겸용강의실)_243089</x:v>
      </x:c>
      <x:c r="I156" s="15" t="str">
        <x:f>IF(OR(O156="",N156&gt;기본입력!$C$34),"",VLOOKUP(O156,기본입력!$A$9:$F$33,6,FALSE))</x:f>
        <x:v>SQL 및 데이터 모델링__5</x:v>
      </x:c>
      <x:c r="J156" s="38" t="str">
        <x:f t="shared" si="14"/>
        <x:v>SQL 및 데이터 모델링</x:v>
      </x:c>
      <x:c r="K156" s="38" t="str">
        <x:f t="shared" si="15"/>
        <x:v>1교육실(실습겸용강의실)</x:v>
      </x:c>
      <x:c r="L156" s="38" t="str">
        <x:f t="shared" si="16"/>
        <x:v>양현수</x:v>
      </x:c>
      <x:c r="M156" s="63"/>
      <x:c r="N156" s="30">
        <x:f>IF(F156="2","",COUNTIF($F$3:$F156,"=1"))</x:f>
        <x:v>137</x:v>
      </x:c>
      <x:c r="O156" s="30">
        <x:f t="shared" si="12"/>
        <x:v>3</x:v>
      </x:c>
      <x:c r="P156" s="30">
        <x:f t="shared" si="17"/>
        <x:v>3</x:v>
      </x:c>
      <x:c r="Q156" s="30">
        <x:f>COUNTIF($P$3:P156,"=3")</x:f>
        <x:v>18</x:v>
      </x:c>
      <x:c r="R156" s="29">
        <x:f>WORKDAY(기본입력!$H$2,Q156-1,공휴일)</x:f>
        <x:v>45952</x:v>
      </x:c>
    </x:row>
    <x:row r="157" spans="1:18">
      <x:c r="A157" s="145" t="str">
        <x:f t="shared" si="13"/>
        <x:v>20251022</x:v>
      </x:c>
      <x:c r="B157" s="8" t="s">
        <x:v>5</x:v>
      </x:c>
      <x:c r="C157" s="8">
        <x:v>1740</x:v>
      </x:c>
      <x:c r="D157" s="7" t="s">
        <x:v>1</x:v>
      </x:c>
      <x:c r="E157" s="8" t="s">
        <x:v>117</x:v>
      </x:c>
      <x:c r="F157" s="8" t="s">
        <x:v>40</x:v>
      </x:c>
      <x:c r="G157" s="15" t="str">
        <x:f>IF(OR(N157="",N157&gt;기본입력!$C$34),"",VLOOKUP(O157,기본입력!$A$9:$F$33,5))</x:f>
        <x:v>양현수_53778</x:v>
      </x:c>
      <x:c r="H157" s="15" t="str">
        <x:f>IF(OR(N157="",N157&gt;기본입력!$C$34),"",기본입력!$C$6)</x:f>
        <x:v>1교육실(실습겸용강의실)_243089</x:v>
      </x:c>
      <x:c r="I157" s="15" t="str">
        <x:f>IF(OR(O157="",N157&gt;기본입력!$C$34),"",VLOOKUP(O157,기본입력!$A$9:$F$33,6,FALSE))</x:f>
        <x:v>SQL 및 데이터 모델링__5</x:v>
      </x:c>
      <x:c r="J157" s="38" t="str">
        <x:f t="shared" si="14"/>
        <x:v>SQL 및 데이터 모델링</x:v>
      </x:c>
      <x:c r="K157" s="38" t="str">
        <x:f t="shared" si="15"/>
        <x:v>1교육실(실습겸용강의실)</x:v>
      </x:c>
      <x:c r="L157" s="38" t="str">
        <x:f t="shared" si="16"/>
        <x:v>양현수</x:v>
      </x:c>
      <x:c r="M157" s="63"/>
      <x:c r="N157" s="30">
        <x:f>IF(F157="2","",COUNTIF($F$3:$F157,"=1"))</x:f>
        <x:v>138</x:v>
      </x:c>
      <x:c r="O157" s="30">
        <x:f t="shared" si="12"/>
        <x:v>3</x:v>
      </x:c>
      <x:c r="P157" s="30">
        <x:f t="shared" si="17"/>
        <x:v>4</x:v>
      </x:c>
      <x:c r="Q157" s="30">
        <x:f>COUNTIF($P$3:P157,"=3")</x:f>
        <x:v>18</x:v>
      </x:c>
      <x:c r="R157" s="29">
        <x:f>WORKDAY(기본입력!$H$2,Q157-1,공휴일)</x:f>
        <x:v>45952</x:v>
      </x:c>
    </x:row>
    <x:row r="158" spans="1:18">
      <x:c r="A158" s="145" t="str">
        <x:f t="shared" si="13"/>
        <x:v>20251022</x:v>
      </x:c>
      <x:c r="B158" s="8" t="s">
        <x:v>5</x:v>
      </x:c>
      <x:c r="C158" s="8">
        <x:v>1740</x:v>
      </x:c>
      <x:c r="D158" s="7" t="s">
        <x:v>1</x:v>
      </x:c>
      <x:c r="E158" s="8" t="s">
        <x:v>87</x:v>
      </x:c>
      <x:c r="F158" s="8" t="s">
        <x:v>40</x:v>
      </x:c>
      <x:c r="G158" s="15" t="str">
        <x:f>IF(OR(N158="",N158&gt;기본입력!$C$34),"",VLOOKUP(O158,기본입력!$A$9:$F$33,5))</x:f>
        <x:v>양현수_53778</x:v>
      </x:c>
      <x:c r="H158" s="15" t="str">
        <x:f>IF(OR(N158="",N158&gt;기본입력!$C$34),"",기본입력!$C$6)</x:f>
        <x:v>1교육실(실습겸용강의실)_243089</x:v>
      </x:c>
      <x:c r="I158" s="15" t="str">
        <x:f>IF(OR(O158="",N158&gt;기본입력!$C$34),"",VLOOKUP(O158,기본입력!$A$9:$F$33,6,FALSE))</x:f>
        <x:v>SQL 및 데이터 모델링__5</x:v>
      </x:c>
      <x:c r="J158" s="38" t="str">
        <x:f t="shared" si="14"/>
        <x:v>SQL 및 데이터 모델링</x:v>
      </x:c>
      <x:c r="K158" s="38" t="str">
        <x:f t="shared" si="15"/>
        <x:v>1교육실(실습겸용강의실)</x:v>
      </x:c>
      <x:c r="L158" s="38" t="str">
        <x:f t="shared" si="16"/>
        <x:v>양현수</x:v>
      </x:c>
      <x:c r="M158" s="63"/>
      <x:c r="N158" s="30">
        <x:f>IF(F158="2","",COUNTIF($F$3:$F158,"=1"))</x:f>
        <x:v>139</x:v>
      </x:c>
      <x:c r="O158" s="30">
        <x:f t="shared" si="12"/>
        <x:v>3</x:v>
      </x:c>
      <x:c r="P158" s="30">
        <x:f t="shared" si="17"/>
        <x:v>5</x:v>
      </x:c>
      <x:c r="Q158" s="30">
        <x:f>COUNTIF($P$3:P158,"=3")</x:f>
        <x:v>18</x:v>
      </x:c>
      <x:c r="R158" s="29">
        <x:f>WORKDAY(기본입력!$H$2,Q158-1,공휴일)</x:f>
        <x:v>45952</x:v>
      </x:c>
    </x:row>
    <x:row r="159" spans="1:18">
      <x:c r="A159" s="145" t="str">
        <x:f t="shared" si="13"/>
        <x:v>20251022</x:v>
      </x:c>
      <x:c r="B159" s="8" t="s">
        <x:v>5</x:v>
      </x:c>
      <x:c r="C159" s="8">
        <x:v>1740</x:v>
      </x:c>
      <x:c r="D159" s="7" t="s">
        <x:v>1</x:v>
      </x:c>
      <x:c r="E159" s="8" t="s">
        <x:v>88</x:v>
      </x:c>
      <x:c r="F159" s="8" t="s">
        <x:v>40</x:v>
      </x:c>
      <x:c r="G159" s="15" t="str">
        <x:f>IF(OR(N159="",N159&gt;기본입력!$C$34),"",VLOOKUP(O159,기본입력!$A$9:$F$33,5))</x:f>
        <x:v>양현수_53778</x:v>
      </x:c>
      <x:c r="H159" s="15" t="str">
        <x:f>IF(OR(N159="",N159&gt;기본입력!$C$34),"",기본입력!$C$6)</x:f>
        <x:v>1교육실(실습겸용강의실)_243089</x:v>
      </x:c>
      <x:c r="I159" s="15" t="str">
        <x:f>IF(OR(O159="",N159&gt;기본입력!$C$34),"",VLOOKUP(O159,기본입력!$A$9:$F$33,6,FALSE))</x:f>
        <x:v>SQL 및 데이터 모델링__5</x:v>
      </x:c>
      <x:c r="J159" s="38" t="str">
        <x:f t="shared" si="14"/>
        <x:v>SQL 및 데이터 모델링</x:v>
      </x:c>
      <x:c r="K159" s="38" t="str">
        <x:f t="shared" si="15"/>
        <x:v>1교육실(실습겸용강의실)</x:v>
      </x:c>
      <x:c r="L159" s="38" t="str">
        <x:f t="shared" si="16"/>
        <x:v>양현수</x:v>
      </x:c>
      <x:c r="M159" s="63"/>
      <x:c r="N159" s="30">
        <x:f>IF(F159="2","",COUNTIF($F$3:$F159,"=1"))</x:f>
        <x:v>140</x:v>
      </x:c>
      <x:c r="O159" s="30">
        <x:f t="shared" si="12"/>
        <x:v>3</x:v>
      </x:c>
      <x:c r="P159" s="30">
        <x:f t="shared" si="17"/>
        <x:v>6</x:v>
      </x:c>
      <x:c r="Q159" s="30">
        <x:f>COUNTIF($P$3:P159,"=3")</x:f>
        <x:v>18</x:v>
      </x:c>
      <x:c r="R159" s="29">
        <x:f>WORKDAY(기본입력!$H$2,Q159-1,공휴일)</x:f>
        <x:v>45952</x:v>
      </x:c>
    </x:row>
    <x:row r="160" spans="1:18">
      <x:c r="A160" s="145" t="str">
        <x:f t="shared" si="13"/>
        <x:v>20251022</x:v>
      </x:c>
      <x:c r="B160" s="8" t="s">
        <x:v>5</x:v>
      </x:c>
      <x:c r="C160" s="8">
        <x:v>1740</x:v>
      </x:c>
      <x:c r="D160" s="7" t="s">
        <x:v>1</x:v>
      </x:c>
      <x:c r="E160" s="8" t="s">
        <x:v>0</x:v>
      </x:c>
      <x:c r="F160" s="8" t="s">
        <x:v>41</x:v>
      </x:c>
      <x:c r="G160" s="15" t="str">
        <x:f>IF(OR(N160="",N160&gt;기본입력!$C$34),"",VLOOKUP(O160,기본입력!$A$9:$F$33,5))</x:f>
        <x:v/>
      </x:c>
      <x:c r="H160" s="15" t="str">
        <x:f>IF(OR(N160="",N160&gt;기본입력!$C$34),"",기본입력!$C$6)</x:f>
        <x:v/>
      </x:c>
      <x:c r="I160" s="15" t="str">
        <x:f>IF(OR(O160="",N160&gt;기본입력!$C$34),"",VLOOKUP(O160,기본입력!$A$9:$F$33,6,FALSE))</x:f>
        <x:v/>
      </x:c>
      <x:c r="J160" s="38" t="str">
        <x:f t="shared" si="14"/>
        <x:v/>
      </x:c>
      <x:c r="K160" s="38" t="str">
        <x:f t="shared" si="15"/>
        <x:v/>
      </x:c>
      <x:c r="L160" s="38" t="str">
        <x:f t="shared" si="16"/>
        <x:v/>
      </x:c>
      <x:c r="M160" s="63"/>
      <x:c r="N160" s="30" t="str">
        <x:f>IF(F160="2","",COUNTIF($F$3:$F160,"=1"))</x:f>
        <x:v/>
      </x:c>
      <x:c r="O160" s="30" t="str">
        <x:f t="shared" si="12"/>
        <x:v/>
      </x:c>
      <x:c r="P160" s="30">
        <x:f t="shared" si="17"/>
        <x:v>7</x:v>
      </x:c>
      <x:c r="Q160" s="30">
        <x:f>COUNTIF($P$3:P160,"=3")</x:f>
        <x:v>18</x:v>
      </x:c>
      <x:c r="R160" s="29">
        <x:f>WORKDAY(기본입력!$H$2,Q160-1,공휴일)</x:f>
        <x:v>45952</x:v>
      </x:c>
    </x:row>
    <x:row r="161" spans="1:18">
      <x:c r="A161" s="145" t="str">
        <x:f t="shared" si="13"/>
        <x:v>20251022</x:v>
      </x:c>
      <x:c r="B161" s="8" t="s">
        <x:v>5</x:v>
      </x:c>
      <x:c r="C161" s="8">
        <x:v>1740</x:v>
      </x:c>
      <x:c r="D161" s="7" t="s">
        <x:v>1</x:v>
      </x:c>
      <x:c r="E161" s="8">
        <x:v>1340</x:v>
      </x:c>
      <x:c r="F161" s="8" t="s">
        <x:v>40</x:v>
      </x:c>
      <x:c r="G161" s="15" t="str">
        <x:f>IF(OR(N161="",N161&gt;기본입력!$C$34),"",VLOOKUP(O161,기본입력!$A$9:$F$33,5))</x:f>
        <x:v>양현수_53778</x:v>
      </x:c>
      <x:c r="H161" s="15" t="str">
        <x:f>IF(OR(N161="",N161&gt;기본입력!$C$34),"",기본입력!$C$6)</x:f>
        <x:v>1교육실(실습겸용강의실)_243089</x:v>
      </x:c>
      <x:c r="I161" s="15" t="str">
        <x:f>IF(OR(O161="",N161&gt;기본입력!$C$34),"",VLOOKUP(O161,기본입력!$A$9:$F$33,6,FALSE))</x:f>
        <x:v>SQL 및 데이터 모델링__5</x:v>
      </x:c>
      <x:c r="J161" s="38" t="str">
        <x:f t="shared" si="14"/>
        <x:v>SQL 및 데이터 모델링</x:v>
      </x:c>
      <x:c r="K161" s="38" t="str">
        <x:f t="shared" si="15"/>
        <x:v>1교육실(실습겸용강의실)</x:v>
      </x:c>
      <x:c r="L161" s="38" t="str">
        <x:f t="shared" si="16"/>
        <x:v>양현수</x:v>
      </x:c>
      <x:c r="M161" s="63"/>
      <x:c r="N161" s="30">
        <x:f>IF(F161="2","",COUNTIF($F$3:$F161,"=1"))</x:f>
        <x:v>141</x:v>
      </x:c>
      <x:c r="O161" s="30">
        <x:f t="shared" si="12"/>
        <x:v>3</x:v>
      </x:c>
      <x:c r="P161" s="30">
        <x:f t="shared" si="17"/>
        <x:v>8</x:v>
      </x:c>
      <x:c r="Q161" s="30">
        <x:f>COUNTIF($P$3:P161,"=3")</x:f>
        <x:v>18</x:v>
      </x:c>
      <x:c r="R161" s="29">
        <x:f>WORKDAY(기본입력!$H$2,Q161-1,공휴일)</x:f>
        <x:v>45952</x:v>
      </x:c>
    </x:row>
    <x:row r="162" spans="1:18">
      <x:c r="A162" s="145" t="str">
        <x:f t="shared" si="13"/>
        <x:v>20251022</x:v>
      </x:c>
      <x:c r="B162" s="8" t="s">
        <x:v>5</x:v>
      </x:c>
      <x:c r="C162" s="8">
        <x:v>1740</x:v>
      </x:c>
      <x:c r="D162" s="7" t="s">
        <x:v>1</x:v>
      </x:c>
      <x:c r="E162" s="8">
        <x:v>1440</x:v>
      </x:c>
      <x:c r="F162" s="8" t="s">
        <x:v>40</x:v>
      </x:c>
      <x:c r="G162" s="15" t="str">
        <x:f>IF(OR(N162="",N162&gt;기본입력!$C$34),"",VLOOKUP(O162,기본입력!$A$9:$F$33,5))</x:f>
        <x:v>양현수_53778</x:v>
      </x:c>
      <x:c r="H162" s="15" t="str">
        <x:f>IF(OR(N162="",N162&gt;기본입력!$C$34),"",기본입력!$C$6)</x:f>
        <x:v>1교육실(실습겸용강의실)_243089</x:v>
      </x:c>
      <x:c r="I162" s="15" t="str">
        <x:f>IF(OR(O162="",N162&gt;기본입력!$C$34),"",VLOOKUP(O162,기본입력!$A$9:$F$33,6,FALSE))</x:f>
        <x:v>SQL 및 데이터 모델링__5</x:v>
      </x:c>
      <x:c r="J162" s="38" t="str">
        <x:f t="shared" si="14"/>
        <x:v>SQL 및 데이터 모델링</x:v>
      </x:c>
      <x:c r="K162" s="38" t="str">
        <x:f t="shared" si="15"/>
        <x:v>1교육실(실습겸용강의실)</x:v>
      </x:c>
      <x:c r="L162" s="38" t="str">
        <x:f t="shared" si="16"/>
        <x:v>양현수</x:v>
      </x:c>
      <x:c r="M162" s="63"/>
      <x:c r="N162" s="30">
        <x:f>IF(F162="2","",COUNTIF($F$3:$F162,"=1"))</x:f>
        <x:v>142</x:v>
      </x:c>
      <x:c r="O162" s="30">
        <x:f t="shared" si="12"/>
        <x:v>3</x:v>
      </x:c>
      <x:c r="P162" s="30">
        <x:f t="shared" si="17"/>
        <x:v>0</x:v>
      </x:c>
      <x:c r="Q162" s="30">
        <x:f>COUNTIF($P$3:P162,"=3")</x:f>
        <x:v>18</x:v>
      </x:c>
      <x:c r="R162" s="29">
        <x:f>WORKDAY(기본입력!$H$2,Q162-1,공휴일)</x:f>
        <x:v>45952</x:v>
      </x:c>
    </x:row>
    <x:row r="163" spans="1:18">
      <x:c r="A163" s="145" t="str">
        <x:f t="shared" si="13"/>
        <x:v>20251022</x:v>
      </x:c>
      <x:c r="B163" s="8" t="s">
        <x:v>5</x:v>
      </x:c>
      <x:c r="C163" s="8">
        <x:v>1740</x:v>
      </x:c>
      <x:c r="D163" s="7" t="s">
        <x:v>1</x:v>
      </x:c>
      <x:c r="E163" s="8">
        <x:v>1540</x:v>
      </x:c>
      <x:c r="F163" s="8" t="s">
        <x:v>40</x:v>
      </x:c>
      <x:c r="G163" s="15" t="str">
        <x:f>IF(OR(N163="",N163&gt;기본입력!$C$34),"",VLOOKUP(O163,기본입력!$A$9:$F$33,5))</x:f>
        <x:v>양현수_53778</x:v>
      </x:c>
      <x:c r="H163" s="15" t="str">
        <x:f>IF(OR(N163="",N163&gt;기본입력!$C$34),"",기본입력!$C$6)</x:f>
        <x:v>1교육실(실습겸용강의실)_243089</x:v>
      </x:c>
      <x:c r="I163" s="15" t="str">
        <x:f>IF(OR(O163="",N163&gt;기본입력!$C$34),"",VLOOKUP(O163,기본입력!$A$9:$F$33,6,FALSE))</x:f>
        <x:v>SQL 및 데이터 모델링__5</x:v>
      </x:c>
      <x:c r="J163" s="38" t="str">
        <x:f t="shared" si="14"/>
        <x:v>SQL 및 데이터 모델링</x:v>
      </x:c>
      <x:c r="K163" s="38" t="str">
        <x:f t="shared" si="15"/>
        <x:v>1교육실(실습겸용강의실)</x:v>
      </x:c>
      <x:c r="L163" s="38" t="str">
        <x:f t="shared" si="16"/>
        <x:v>양현수</x:v>
      </x:c>
      <x:c r="M163" s="63"/>
      <x:c r="N163" s="30">
        <x:f>IF(F163="2","",COUNTIF($F$3:$F163,"=1"))</x:f>
        <x:v>143</x:v>
      </x:c>
      <x:c r="O163" s="30">
        <x:f t="shared" si="12"/>
        <x:v>3</x:v>
      </x:c>
      <x:c r="P163" s="30">
        <x:f t="shared" si="17"/>
        <x:v>1</x:v>
      </x:c>
      <x:c r="Q163" s="30">
        <x:f>COUNTIF($P$3:P163,"=3")</x:f>
        <x:v>18</x:v>
      </x:c>
      <x:c r="R163" s="29">
        <x:f>WORKDAY(기본입력!$H$2,Q163-1,공휴일)</x:f>
        <x:v>45952</x:v>
      </x:c>
    </x:row>
    <x:row r="164" spans="1:18">
      <x:c r="A164" s="145" t="str">
        <x:f t="shared" si="13"/>
        <x:v>20251022</x:v>
      </x:c>
      <x:c r="B164" s="8" t="s">
        <x:v>5</x:v>
      </x:c>
      <x:c r="C164" s="8">
        <x:v>1740</x:v>
      </x:c>
      <x:c r="D164" s="7" t="s">
        <x:v>1</x:v>
      </x:c>
      <x:c r="E164" s="8">
        <x:v>1640</x:v>
      </x:c>
      <x:c r="F164" s="8" t="s">
        <x:v>40</x:v>
      </x:c>
      <x:c r="G164" s="15" t="str">
        <x:f>IF(OR(N164="",N164&gt;기본입력!$C$34),"",VLOOKUP(O164,기본입력!$A$9:$F$33,5))</x:f>
        <x:v>양현수_53778</x:v>
      </x:c>
      <x:c r="H164" s="15" t="str">
        <x:f>IF(OR(N164="",N164&gt;기본입력!$C$34),"",기본입력!$C$6)</x:f>
        <x:v>1교육실(실습겸용강의실)_243089</x:v>
      </x:c>
      <x:c r="I164" s="15" t="str">
        <x:f>IF(OR(O164="",N164&gt;기본입력!$C$34),"",VLOOKUP(O164,기본입력!$A$9:$F$33,6,FALSE))</x:f>
        <x:v>SQL 및 데이터 모델링__5</x:v>
      </x:c>
      <x:c r="J164" s="38" t="str">
        <x:f t="shared" si="14"/>
        <x:v>SQL 및 데이터 모델링</x:v>
      </x:c>
      <x:c r="K164" s="38" t="str">
        <x:f t="shared" si="15"/>
        <x:v>1교육실(실습겸용강의실)</x:v>
      </x:c>
      <x:c r="L164" s="38" t="str">
        <x:f t="shared" si="16"/>
        <x:v>양현수</x:v>
      </x:c>
      <x:c r="M164" s="63"/>
      <x:c r="N164" s="30">
        <x:f>IF(F164="2","",COUNTIF($F$3:$F164,"=1"))</x:f>
        <x:v>144</x:v>
      </x:c>
      <x:c r="O164" s="30">
        <x:f t="shared" si="12"/>
        <x:v>3</x:v>
      </x:c>
      <x:c r="P164" s="30">
        <x:f t="shared" si="17"/>
        <x:v>2</x:v>
      </x:c>
      <x:c r="Q164" s="30">
        <x:f>COUNTIF($P$3:P164,"=3")</x:f>
        <x:v>18</x:v>
      </x:c>
      <x:c r="R164" s="29">
        <x:f>WORKDAY(기본입력!$H$2,Q164-1,공휴일)</x:f>
        <x:v>45952</x:v>
      </x:c>
    </x:row>
    <x:row r="165" spans="1:18">
      <x:c r="A165" s="144" t="str">
        <x:f t="shared" si="13"/>
        <x:v>20251023</x:v>
      </x:c>
      <x:c r="B165" s="6" t="s">
        <x:v>5</x:v>
      </x:c>
      <x:c r="C165" s="6">
        <x:v>1740</x:v>
      </x:c>
      <x:c r="D165" s="5" t="s">
        <x:v>1</x:v>
      </x:c>
      <x:c r="E165" s="6" t="s">
        <x:v>5</x:v>
      </x:c>
      <x:c r="F165" s="6" t="s">
        <x:v>40</x:v>
      </x:c>
      <x:c r="G165" s="14" t="str">
        <x:f>IF(OR(N165="",N165&gt;기본입력!$C$34),"",VLOOKUP(O165,기본입력!$A$9:$F$33,5))</x:f>
        <x:v>양현수_53778</x:v>
      </x:c>
      <x:c r="H165" s="14" t="str">
        <x:f>IF(OR(N165="",N165&gt;기본입력!$C$34),"",기본입력!$C$6)</x:f>
        <x:v>1교육실(실습겸용강의실)_243089</x:v>
      </x:c>
      <x:c r="I165" s="14" t="str">
        <x:f>IF(OR(O165="",N165&gt;기본입력!$C$34),"",VLOOKUP(O165,기본입력!$A$9:$F$33,6,FALSE))</x:f>
        <x:v>SQL 및 데이터 모델링__5</x:v>
      </x:c>
      <x:c r="J165" s="38" t="str">
        <x:f t="shared" si="14"/>
        <x:v>SQL 및 데이터 모델링</x:v>
      </x:c>
      <x:c r="K165" s="38" t="str">
        <x:f t="shared" si="15"/>
        <x:v>1교육실(실습겸용강의실)</x:v>
      </x:c>
      <x:c r="L165" s="38" t="str">
        <x:f t="shared" si="16"/>
        <x:v>양현수</x:v>
      </x:c>
      <x:c r="M165" s="63"/>
      <x:c r="N165" s="30">
        <x:f>IF(F165="2","",COUNTIF($F$3:$F165,"=1"))</x:f>
        <x:v>145</x:v>
      </x:c>
      <x:c r="O165" s="30">
        <x:f t="shared" si="12"/>
        <x:v>3</x:v>
      </x:c>
      <x:c r="P165" s="30">
        <x:f t="shared" si="17"/>
        <x:v>3</x:v>
      </x:c>
      <x:c r="Q165" s="30">
        <x:f>COUNTIF($P$3:P165,"=3")</x:f>
        <x:v>19</x:v>
      </x:c>
      <x:c r="R165" s="29">
        <x:f>WORKDAY(기본입력!$H$2,Q165-1,공휴일)</x:f>
        <x:v>45953</x:v>
      </x:c>
    </x:row>
    <x:row r="166" spans="1:18">
      <x:c r="A166" s="144" t="str">
        <x:f t="shared" si="13"/>
        <x:v>20251023</x:v>
      </x:c>
      <x:c r="B166" s="6" t="s">
        <x:v>5</x:v>
      </x:c>
      <x:c r="C166" s="6">
        <x:v>1740</x:v>
      </x:c>
      <x:c r="D166" s="5" t="s">
        <x:v>1</x:v>
      </x:c>
      <x:c r="E166" s="6" t="s">
        <x:v>117</x:v>
      </x:c>
      <x:c r="F166" s="6" t="s">
        <x:v>40</x:v>
      </x:c>
      <x:c r="G166" s="14" t="str">
        <x:f>IF(OR(N166="",N166&gt;기본입력!$C$34),"",VLOOKUP(O166,기본입력!$A$9:$F$33,5))</x:f>
        <x:v>양현수_53778</x:v>
      </x:c>
      <x:c r="H166" s="14" t="str">
        <x:f>IF(OR(N166="",N166&gt;기본입력!$C$34),"",기본입력!$C$6)</x:f>
        <x:v>1교육실(실습겸용강의실)_243089</x:v>
      </x:c>
      <x:c r="I166" s="14" t="str">
        <x:f>IF(OR(O166="",N166&gt;기본입력!$C$34),"",VLOOKUP(O166,기본입력!$A$9:$F$33,6,FALSE))</x:f>
        <x:v>SQL 및 데이터 모델링__5</x:v>
      </x:c>
      <x:c r="J166" s="38" t="str">
        <x:f t="shared" si="14"/>
        <x:v>SQL 및 데이터 모델링</x:v>
      </x:c>
      <x:c r="K166" s="38" t="str">
        <x:f t="shared" si="15"/>
        <x:v>1교육실(실습겸용강의실)</x:v>
      </x:c>
      <x:c r="L166" s="38" t="str">
        <x:f t="shared" si="16"/>
        <x:v>양현수</x:v>
      </x:c>
      <x:c r="M166" s="63"/>
      <x:c r="N166" s="30">
        <x:f>IF(F166="2","",COUNTIF($F$3:$F166,"=1"))</x:f>
        <x:v>146</x:v>
      </x:c>
      <x:c r="O166" s="30">
        <x:f t="shared" si="12"/>
        <x:v>3</x:v>
      </x:c>
      <x:c r="P166" s="30">
        <x:f t="shared" si="17"/>
        <x:v>4</x:v>
      </x:c>
      <x:c r="Q166" s="30">
        <x:f>COUNTIF($P$3:P166,"=3")</x:f>
        <x:v>19</x:v>
      </x:c>
      <x:c r="R166" s="29">
        <x:f>WORKDAY(기본입력!$H$2,Q166-1,공휴일)</x:f>
        <x:v>45953</x:v>
      </x:c>
    </x:row>
    <x:row r="167" spans="1:18">
      <x:c r="A167" s="144" t="str">
        <x:f t="shared" si="13"/>
        <x:v>20251023</x:v>
      </x:c>
      <x:c r="B167" s="6" t="s">
        <x:v>5</x:v>
      </x:c>
      <x:c r="C167" s="6">
        <x:v>1740</x:v>
      </x:c>
      <x:c r="D167" s="5" t="s">
        <x:v>1</x:v>
      </x:c>
      <x:c r="E167" s="6" t="s">
        <x:v>87</x:v>
      </x:c>
      <x:c r="F167" s="6" t="s">
        <x:v>40</x:v>
      </x:c>
      <x:c r="G167" s="14" t="str">
        <x:f>IF(OR(N167="",N167&gt;기본입력!$C$34),"",VLOOKUP(O167,기본입력!$A$9:$F$33,5))</x:f>
        <x:v>양현수_53778</x:v>
      </x:c>
      <x:c r="H167" s="14" t="str">
        <x:f>IF(OR(N167="",N167&gt;기본입력!$C$34),"",기본입력!$C$6)</x:f>
        <x:v>1교육실(실습겸용강의실)_243089</x:v>
      </x:c>
      <x:c r="I167" s="14" t="str">
        <x:f>IF(OR(O167="",N167&gt;기본입력!$C$34),"",VLOOKUP(O167,기본입력!$A$9:$F$33,6,FALSE))</x:f>
        <x:v>SQL 및 데이터 모델링__5</x:v>
      </x:c>
      <x:c r="J167" s="38" t="str">
        <x:f t="shared" si="14"/>
        <x:v>SQL 및 데이터 모델링</x:v>
      </x:c>
      <x:c r="K167" s="38" t="str">
        <x:f t="shared" si="15"/>
        <x:v>1교육실(실습겸용강의실)</x:v>
      </x:c>
      <x:c r="L167" s="38" t="str">
        <x:f t="shared" si="16"/>
        <x:v>양현수</x:v>
      </x:c>
      <x:c r="M167" s="63"/>
      <x:c r="N167" s="30">
        <x:f>IF(F167="2","",COUNTIF($F$3:$F167,"=1"))</x:f>
        <x:v>147</x:v>
      </x:c>
      <x:c r="O167" s="30">
        <x:f t="shared" si="12"/>
        <x:v>3</x:v>
      </x:c>
      <x:c r="P167" s="30">
        <x:f t="shared" si="17"/>
        <x:v>5</x:v>
      </x:c>
      <x:c r="Q167" s="30">
        <x:f>COUNTIF($P$3:P167,"=3")</x:f>
        <x:v>19</x:v>
      </x:c>
      <x:c r="R167" s="29">
        <x:f>WORKDAY(기본입력!$H$2,Q167-1,공휴일)</x:f>
        <x:v>45953</x:v>
      </x:c>
    </x:row>
    <x:row r="168" spans="1:18">
      <x:c r="A168" s="144" t="str">
        <x:f t="shared" si="13"/>
        <x:v>20251023</x:v>
      </x:c>
      <x:c r="B168" s="6" t="s">
        <x:v>5</x:v>
      </x:c>
      <x:c r="C168" s="6">
        <x:v>1740</x:v>
      </x:c>
      <x:c r="D168" s="5" t="s">
        <x:v>1</x:v>
      </x:c>
      <x:c r="E168" s="6" t="s">
        <x:v>88</x:v>
      </x:c>
      <x:c r="F168" s="6" t="s">
        <x:v>40</x:v>
      </x:c>
      <x:c r="G168" s="14" t="str">
        <x:f>IF(OR(N168="",N168&gt;기본입력!$C$34),"",VLOOKUP(O168,기본입력!$A$9:$F$33,5))</x:f>
        <x:v>양현수_53778</x:v>
      </x:c>
      <x:c r="H168" s="14" t="str">
        <x:f>IF(OR(N168="",N168&gt;기본입력!$C$34),"",기본입력!$C$6)</x:f>
        <x:v>1교육실(실습겸용강의실)_243089</x:v>
      </x:c>
      <x:c r="I168" s="14" t="str">
        <x:f>IF(OR(O168="",N168&gt;기본입력!$C$34),"",VLOOKUP(O168,기본입력!$A$9:$F$33,6,FALSE))</x:f>
        <x:v>SQL 및 데이터 모델링__5</x:v>
      </x:c>
      <x:c r="J168" s="38" t="str">
        <x:f t="shared" si="14"/>
        <x:v>SQL 및 데이터 모델링</x:v>
      </x:c>
      <x:c r="K168" s="38" t="str">
        <x:f t="shared" si="15"/>
        <x:v>1교육실(실습겸용강의실)</x:v>
      </x:c>
      <x:c r="L168" s="38" t="str">
        <x:f t="shared" si="16"/>
        <x:v>양현수</x:v>
      </x:c>
      <x:c r="M168" s="63"/>
      <x:c r="N168" s="30">
        <x:f>IF(F168="2","",COUNTIF($F$3:$F168,"=1"))</x:f>
        <x:v>148</x:v>
      </x:c>
      <x:c r="O168" s="30">
        <x:f t="shared" si="12"/>
        <x:v>3</x:v>
      </x:c>
      <x:c r="P168" s="30">
        <x:f t="shared" si="17"/>
        <x:v>6</x:v>
      </x:c>
      <x:c r="Q168" s="30">
        <x:f>COUNTIF($P$3:P168,"=3")</x:f>
        <x:v>19</x:v>
      </x:c>
      <x:c r="R168" s="29">
        <x:f>WORKDAY(기본입력!$H$2,Q168-1,공휴일)</x:f>
        <x:v>45953</x:v>
      </x:c>
    </x:row>
    <x:row r="169" spans="1:18">
      <x:c r="A169" s="144" t="str">
        <x:f t="shared" si="13"/>
        <x:v>20251023</x:v>
      </x:c>
      <x:c r="B169" s="6" t="s">
        <x:v>5</x:v>
      </x:c>
      <x:c r="C169" s="6">
        <x:v>1740</x:v>
      </x:c>
      <x:c r="D169" s="5" t="s">
        <x:v>1</x:v>
      </x:c>
      <x:c r="E169" s="6" t="s">
        <x:v>0</x:v>
      </x:c>
      <x:c r="F169" s="6" t="s">
        <x:v>41</x:v>
      </x:c>
      <x:c r="G169" s="14" t="str">
        <x:f>IF(OR(N169="",N169&gt;기본입력!$C$34),"",VLOOKUP(O169,기본입력!$A$9:$F$33,5))</x:f>
        <x:v/>
      </x:c>
      <x:c r="H169" s="14" t="str">
        <x:f>IF(OR(N169="",N169&gt;기본입력!$C$34),"",기본입력!$C$6)</x:f>
        <x:v/>
      </x:c>
      <x:c r="I169" s="14" t="str">
        <x:f>IF(OR(O169="",N169&gt;기본입력!$C$34),"",VLOOKUP(O169,기본입력!$A$9:$F$33,6,FALSE))</x:f>
        <x:v/>
      </x:c>
      <x:c r="J169" s="38" t="str">
        <x:f t="shared" si="14"/>
        <x:v/>
      </x:c>
      <x:c r="K169" s="38" t="str">
        <x:f t="shared" si="15"/>
        <x:v/>
      </x:c>
      <x:c r="L169" s="38" t="str">
        <x:f t="shared" si="16"/>
        <x:v/>
      </x:c>
      <x:c r="M169" s="63"/>
      <x:c r="N169" s="30" t="str">
        <x:f>IF(F169="2","",COUNTIF($F$3:$F169,"=1"))</x:f>
        <x:v/>
      </x:c>
      <x:c r="O169" s="30" t="str">
        <x:f t="shared" si="12"/>
        <x:v/>
      </x:c>
      <x:c r="P169" s="30">
        <x:f t="shared" si="17"/>
        <x:v>7</x:v>
      </x:c>
      <x:c r="Q169" s="30">
        <x:f>COUNTIF($P$3:P169,"=3")</x:f>
        <x:v>19</x:v>
      </x:c>
      <x:c r="R169" s="29">
        <x:f>WORKDAY(기본입력!$H$2,Q169-1,공휴일)</x:f>
        <x:v>45953</x:v>
      </x:c>
    </x:row>
    <x:row r="170" spans="1:18">
      <x:c r="A170" s="144" t="str">
        <x:f t="shared" si="13"/>
        <x:v>20251023</x:v>
      </x:c>
      <x:c r="B170" s="6" t="s">
        <x:v>5</x:v>
      </x:c>
      <x:c r="C170" s="6">
        <x:v>1740</x:v>
      </x:c>
      <x:c r="D170" s="5" t="s">
        <x:v>1</x:v>
      </x:c>
      <x:c r="E170" s="6">
        <x:v>1340</x:v>
      </x:c>
      <x:c r="F170" s="6" t="s">
        <x:v>40</x:v>
      </x:c>
      <x:c r="G170" s="14" t="str">
        <x:f>IF(OR(N170="",N170&gt;기본입력!$C$34),"",VLOOKUP(O170,기본입력!$A$9:$F$33,5))</x:f>
        <x:v>양현수_53778</x:v>
      </x:c>
      <x:c r="H170" s="14" t="str">
        <x:f>IF(OR(N170="",N170&gt;기본입력!$C$34),"",기본입력!$C$6)</x:f>
        <x:v>1교육실(실습겸용강의실)_243089</x:v>
      </x:c>
      <x:c r="I170" s="14" t="str">
        <x:f>IF(OR(O170="",N170&gt;기본입력!$C$34),"",VLOOKUP(O170,기본입력!$A$9:$F$33,6,FALSE))</x:f>
        <x:v>SQL 및 데이터 모델링__5</x:v>
      </x:c>
      <x:c r="J170" s="38" t="str">
        <x:f t="shared" si="14"/>
        <x:v>SQL 및 데이터 모델링</x:v>
      </x:c>
      <x:c r="K170" s="38" t="str">
        <x:f t="shared" si="15"/>
        <x:v>1교육실(실습겸용강의실)</x:v>
      </x:c>
      <x:c r="L170" s="38" t="str">
        <x:f t="shared" si="16"/>
        <x:v>양현수</x:v>
      </x:c>
      <x:c r="M170" s="63"/>
      <x:c r="N170" s="30">
        <x:f>IF(F170="2","",COUNTIF($F$3:$F170,"=1"))</x:f>
        <x:v>149</x:v>
      </x:c>
      <x:c r="O170" s="30">
        <x:f t="shared" si="12"/>
        <x:v>3</x:v>
      </x:c>
      <x:c r="P170" s="30">
        <x:f t="shared" si="17"/>
        <x:v>8</x:v>
      </x:c>
      <x:c r="Q170" s="30">
        <x:f>COUNTIF($P$3:P170,"=3")</x:f>
        <x:v>19</x:v>
      </x:c>
      <x:c r="R170" s="29">
        <x:f>WORKDAY(기본입력!$H$2,Q170-1,공휴일)</x:f>
        <x:v>45953</x:v>
      </x:c>
    </x:row>
    <x:row r="171" spans="1:18">
      <x:c r="A171" s="144" t="str">
        <x:f t="shared" si="13"/>
        <x:v>20251023</x:v>
      </x:c>
      <x:c r="B171" s="6" t="s">
        <x:v>5</x:v>
      </x:c>
      <x:c r="C171" s="6">
        <x:v>1740</x:v>
      </x:c>
      <x:c r="D171" s="5" t="s">
        <x:v>1</x:v>
      </x:c>
      <x:c r="E171" s="6">
        <x:v>1440</x:v>
      </x:c>
      <x:c r="F171" s="6" t="s">
        <x:v>40</x:v>
      </x:c>
      <x:c r="G171" s="14" t="str">
        <x:f>IF(OR(N171="",N171&gt;기본입력!$C$34),"",VLOOKUP(O171,기본입력!$A$9:$F$33,5))</x:f>
        <x:v>양현수_53778</x:v>
      </x:c>
      <x:c r="H171" s="14" t="str">
        <x:f>IF(OR(N171="",N171&gt;기본입력!$C$34),"",기본입력!$C$6)</x:f>
        <x:v>1교육실(실습겸용강의실)_243089</x:v>
      </x:c>
      <x:c r="I171" s="14" t="str">
        <x:f>IF(OR(O171="",N171&gt;기본입력!$C$34),"",VLOOKUP(O171,기본입력!$A$9:$F$33,6,FALSE))</x:f>
        <x:v>SQL 및 데이터 모델링__5</x:v>
      </x:c>
      <x:c r="J171" s="38" t="str">
        <x:f t="shared" si="14"/>
        <x:v>SQL 및 데이터 모델링</x:v>
      </x:c>
      <x:c r="K171" s="38" t="str">
        <x:f t="shared" si="15"/>
        <x:v>1교육실(실습겸용강의실)</x:v>
      </x:c>
      <x:c r="L171" s="38" t="str">
        <x:f t="shared" si="16"/>
        <x:v>양현수</x:v>
      </x:c>
      <x:c r="M171" s="63"/>
      <x:c r="N171" s="30">
        <x:f>IF(F171="2","",COUNTIF($F$3:$F171,"=1"))</x:f>
        <x:v>150</x:v>
      </x:c>
      <x:c r="O171" s="30">
        <x:f t="shared" si="12"/>
        <x:v>3</x:v>
      </x:c>
      <x:c r="P171" s="30">
        <x:f t="shared" si="17"/>
        <x:v>0</x:v>
      </x:c>
      <x:c r="Q171" s="30">
        <x:f>COUNTIF($P$3:P171,"=3")</x:f>
        <x:v>19</x:v>
      </x:c>
      <x:c r="R171" s="29">
        <x:f>WORKDAY(기본입력!$H$2,Q171-1,공휴일)</x:f>
        <x:v>45953</x:v>
      </x:c>
    </x:row>
    <x:row r="172" spans="1:18">
      <x:c r="A172" s="144" t="str">
        <x:f t="shared" si="13"/>
        <x:v>20251023</x:v>
      </x:c>
      <x:c r="B172" s="6" t="s">
        <x:v>5</x:v>
      </x:c>
      <x:c r="C172" s="6">
        <x:v>1740</x:v>
      </x:c>
      <x:c r="D172" s="5" t="s">
        <x:v>1</x:v>
      </x:c>
      <x:c r="E172" s="6">
        <x:v>1540</x:v>
      </x:c>
      <x:c r="F172" s="6" t="s">
        <x:v>40</x:v>
      </x:c>
      <x:c r="G172" s="14" t="str">
        <x:f>IF(OR(N172="",N172&gt;기본입력!$C$34),"",VLOOKUP(O172,기본입력!$A$9:$F$33,5))</x:f>
        <x:v>양현수_53778</x:v>
      </x:c>
      <x:c r="H172" s="14" t="str">
        <x:f>IF(OR(N172="",N172&gt;기본입력!$C$34),"",기본입력!$C$6)</x:f>
        <x:v>1교육실(실습겸용강의실)_243089</x:v>
      </x:c>
      <x:c r="I172" s="14" t="str">
        <x:f>IF(OR(O172="",N172&gt;기본입력!$C$34),"",VLOOKUP(O172,기본입력!$A$9:$F$33,6,FALSE))</x:f>
        <x:v>SQL 및 데이터 모델링__5</x:v>
      </x:c>
      <x:c r="J172" s="38" t="str">
        <x:f t="shared" si="14"/>
        <x:v>SQL 및 데이터 모델링</x:v>
      </x:c>
      <x:c r="K172" s="38" t="str">
        <x:f t="shared" si="15"/>
        <x:v>1교육실(실습겸용강의실)</x:v>
      </x:c>
      <x:c r="L172" s="38" t="str">
        <x:f t="shared" si="16"/>
        <x:v>양현수</x:v>
      </x:c>
      <x:c r="M172" s="63"/>
      <x:c r="N172" s="30">
        <x:f>IF(F172="2","",COUNTIF($F$3:$F172,"=1"))</x:f>
        <x:v>151</x:v>
      </x:c>
      <x:c r="O172" s="30">
        <x:f t="shared" si="12"/>
        <x:v>3</x:v>
      </x:c>
      <x:c r="P172" s="30">
        <x:f t="shared" si="17"/>
        <x:v>1</x:v>
      </x:c>
      <x:c r="Q172" s="30">
        <x:f>COUNTIF($P$3:P172,"=3")</x:f>
        <x:v>19</x:v>
      </x:c>
      <x:c r="R172" s="29">
        <x:f>WORKDAY(기본입력!$H$2,Q172-1,공휴일)</x:f>
        <x:v>45953</x:v>
      </x:c>
    </x:row>
    <x:row r="173" spans="1:18">
      <x:c r="A173" s="144" t="str">
        <x:f t="shared" si="13"/>
        <x:v>20251023</x:v>
      </x:c>
      <x:c r="B173" s="6" t="s">
        <x:v>5</x:v>
      </x:c>
      <x:c r="C173" s="6">
        <x:v>1740</x:v>
      </x:c>
      <x:c r="D173" s="5" t="s">
        <x:v>1</x:v>
      </x:c>
      <x:c r="E173" s="6">
        <x:v>1640</x:v>
      </x:c>
      <x:c r="F173" s="6" t="s">
        <x:v>40</x:v>
      </x:c>
      <x:c r="G173" s="14" t="str">
        <x:f>IF(OR(N173="",N173&gt;기본입력!$C$34),"",VLOOKUP(O173,기본입력!$A$9:$F$33,5))</x:f>
        <x:v>양현수_53778</x:v>
      </x:c>
      <x:c r="H173" s="14" t="str">
        <x:f>IF(OR(N173="",N173&gt;기본입력!$C$34),"",기본입력!$C$6)</x:f>
        <x:v>1교육실(실습겸용강의실)_243089</x:v>
      </x:c>
      <x:c r="I173" s="14" t="str">
        <x:f>IF(OR(O173="",N173&gt;기본입력!$C$34),"",VLOOKUP(O173,기본입력!$A$9:$F$33,6,FALSE))</x:f>
        <x:v>SQL 및 데이터 모델링__5</x:v>
      </x:c>
      <x:c r="J173" s="38" t="str">
        <x:f t="shared" si="14"/>
        <x:v>SQL 및 데이터 모델링</x:v>
      </x:c>
      <x:c r="K173" s="38" t="str">
        <x:f t="shared" si="15"/>
        <x:v>1교육실(실습겸용강의실)</x:v>
      </x:c>
      <x:c r="L173" s="38" t="str">
        <x:f t="shared" si="16"/>
        <x:v>양현수</x:v>
      </x:c>
      <x:c r="M173" s="63"/>
      <x:c r="N173" s="30">
        <x:f>IF(F173="2","",COUNTIF($F$3:$F173,"=1"))</x:f>
        <x:v>152</x:v>
      </x:c>
      <x:c r="O173" s="30">
        <x:f t="shared" si="12"/>
        <x:v>3</x:v>
      </x:c>
      <x:c r="P173" s="30">
        <x:f t="shared" si="17"/>
        <x:v>2</x:v>
      </x:c>
      <x:c r="Q173" s="30">
        <x:f>COUNTIF($P$3:P173,"=3")</x:f>
        <x:v>19</x:v>
      </x:c>
      <x:c r="R173" s="29">
        <x:f>WORKDAY(기본입력!$H$2,Q173-1,공휴일)</x:f>
        <x:v>45953</x:v>
      </x:c>
    </x:row>
    <x:row r="174" spans="1:18">
      <x:c r="A174" s="145" t="str">
        <x:f t="shared" si="13"/>
        <x:v>20251024</x:v>
      </x:c>
      <x:c r="B174" s="8" t="s">
        <x:v>5</x:v>
      </x:c>
      <x:c r="C174" s="8">
        <x:v>1740</x:v>
      </x:c>
      <x:c r="D174" s="7" t="s">
        <x:v>1</x:v>
      </x:c>
      <x:c r="E174" s="8" t="s">
        <x:v>5</x:v>
      </x:c>
      <x:c r="F174" s="8" t="s">
        <x:v>40</x:v>
      </x:c>
      <x:c r="G174" s="15" t="str">
        <x:f>IF(OR(N174="",N174&gt;기본입력!$C$34),"",VLOOKUP(O174,기본입력!$A$9:$F$33,5))</x:f>
        <x:v>양현수_53778</x:v>
      </x:c>
      <x:c r="H174" s="15" t="str">
        <x:f>IF(OR(N174="",N174&gt;기본입력!$C$34),"",기본입력!$C$6)</x:f>
        <x:v>1교육실(실습겸용강의실)_243089</x:v>
      </x:c>
      <x:c r="I174" s="15" t="str">
        <x:f>IF(OR(O174="",N174&gt;기본입력!$C$34),"",VLOOKUP(O174,기본입력!$A$9:$F$33,6,FALSE))</x:f>
        <x:v>SQL 및 데이터 모델링__5</x:v>
      </x:c>
      <x:c r="J174" s="38" t="str">
        <x:f t="shared" si="14"/>
        <x:v>SQL 및 데이터 모델링</x:v>
      </x:c>
      <x:c r="K174" s="38" t="str">
        <x:f t="shared" si="15"/>
        <x:v>1교육실(실습겸용강의실)</x:v>
      </x:c>
      <x:c r="L174" s="38" t="str">
        <x:f t="shared" si="16"/>
        <x:v>양현수</x:v>
      </x:c>
      <x:c r="M174" s="63"/>
      <x:c r="N174" s="30">
        <x:f>IF(F174="2","",COUNTIF($F$3:$F174,"=1"))</x:f>
        <x:v>153</x:v>
      </x:c>
      <x:c r="O174" s="30">
        <x:f t="shared" si="12"/>
        <x:v>3</x:v>
      </x:c>
      <x:c r="P174" s="30">
        <x:f t="shared" si="17"/>
        <x:v>3</x:v>
      </x:c>
      <x:c r="Q174" s="30">
        <x:f>COUNTIF($P$3:P174,"=3")</x:f>
        <x:v>20</x:v>
      </x:c>
      <x:c r="R174" s="29">
        <x:f>WORKDAY(기본입력!$H$2,Q174-1,공휴일)</x:f>
        <x:v>45954</x:v>
      </x:c>
    </x:row>
    <x:row r="175" spans="1:18">
      <x:c r="A175" s="145" t="str">
        <x:f t="shared" si="13"/>
        <x:v>20251024</x:v>
      </x:c>
      <x:c r="B175" s="8" t="s">
        <x:v>5</x:v>
      </x:c>
      <x:c r="C175" s="8">
        <x:v>1740</x:v>
      </x:c>
      <x:c r="D175" s="7" t="s">
        <x:v>1</x:v>
      </x:c>
      <x:c r="E175" s="8" t="s">
        <x:v>117</x:v>
      </x:c>
      <x:c r="F175" s="8" t="s">
        <x:v>40</x:v>
      </x:c>
      <x:c r="G175" s="15" t="str">
        <x:f>IF(OR(N175="",N175&gt;기본입력!$C$34),"",VLOOKUP(O175,기본입력!$A$9:$F$33,5))</x:f>
        <x:v>양현수_53778</x:v>
      </x:c>
      <x:c r="H175" s="15" t="str">
        <x:f>IF(OR(N175="",N175&gt;기본입력!$C$34),"",기본입력!$C$6)</x:f>
        <x:v>1교육실(실습겸용강의실)_243089</x:v>
      </x:c>
      <x:c r="I175" s="15" t="str">
        <x:f>IF(OR(O175="",N175&gt;기본입력!$C$34),"",VLOOKUP(O175,기본입력!$A$9:$F$33,6,FALSE))</x:f>
        <x:v>SQL 및 데이터 모델링__5</x:v>
      </x:c>
      <x:c r="J175" s="38" t="str">
        <x:f t="shared" si="14"/>
        <x:v>SQL 및 데이터 모델링</x:v>
      </x:c>
      <x:c r="K175" s="38" t="str">
        <x:f t="shared" si="15"/>
        <x:v>1교육실(실습겸용강의실)</x:v>
      </x:c>
      <x:c r="L175" s="38" t="str">
        <x:f t="shared" si="16"/>
        <x:v>양현수</x:v>
      </x:c>
      <x:c r="M175" s="63"/>
      <x:c r="N175" s="30">
        <x:f>IF(F175="2","",COUNTIF($F$3:$F175,"=1"))</x:f>
        <x:v>154</x:v>
      </x:c>
      <x:c r="O175" s="30">
        <x:f t="shared" si="12"/>
        <x:v>3</x:v>
      </x:c>
      <x:c r="P175" s="30">
        <x:f t="shared" si="17"/>
        <x:v>4</x:v>
      </x:c>
      <x:c r="Q175" s="30">
        <x:f>COUNTIF($P$3:P175,"=3")</x:f>
        <x:v>20</x:v>
      </x:c>
      <x:c r="R175" s="29">
        <x:f>WORKDAY(기본입력!$H$2,Q175-1,공휴일)</x:f>
        <x:v>45954</x:v>
      </x:c>
    </x:row>
    <x:row r="176" spans="1:18">
      <x:c r="A176" s="145" t="str">
        <x:f t="shared" si="13"/>
        <x:v>20251024</x:v>
      </x:c>
      <x:c r="B176" s="8" t="s">
        <x:v>5</x:v>
      </x:c>
      <x:c r="C176" s="8">
        <x:v>1740</x:v>
      </x:c>
      <x:c r="D176" s="7" t="s">
        <x:v>1</x:v>
      </x:c>
      <x:c r="E176" s="8" t="s">
        <x:v>87</x:v>
      </x:c>
      <x:c r="F176" s="8" t="s">
        <x:v>40</x:v>
      </x:c>
      <x:c r="G176" s="15" t="str">
        <x:f>IF(OR(N176="",N176&gt;기본입력!$C$34),"",VLOOKUP(O176,기본입력!$A$9:$F$33,5))</x:f>
        <x:v>양현수_53778</x:v>
      </x:c>
      <x:c r="H176" s="15" t="str">
        <x:f>IF(OR(N176="",N176&gt;기본입력!$C$34),"",기본입력!$C$6)</x:f>
        <x:v>1교육실(실습겸용강의실)_243089</x:v>
      </x:c>
      <x:c r="I176" s="15" t="str">
        <x:f>IF(OR(O176="",N176&gt;기본입력!$C$34),"",VLOOKUP(O176,기본입력!$A$9:$F$33,6,FALSE))</x:f>
        <x:v>SQL 및 데이터 모델링__5</x:v>
      </x:c>
      <x:c r="J176" s="38" t="str">
        <x:f t="shared" si="14"/>
        <x:v>SQL 및 데이터 모델링</x:v>
      </x:c>
      <x:c r="K176" s="38" t="str">
        <x:f t="shared" si="15"/>
        <x:v>1교육실(실습겸용강의실)</x:v>
      </x:c>
      <x:c r="L176" s="38" t="str">
        <x:f t="shared" si="16"/>
        <x:v>양현수</x:v>
      </x:c>
      <x:c r="M176" s="63"/>
      <x:c r="N176" s="30">
        <x:f>IF(F176="2","",COUNTIF($F$3:$F176,"=1"))</x:f>
        <x:v>155</x:v>
      </x:c>
      <x:c r="O176" s="30">
        <x:f t="shared" si="12"/>
        <x:v>3</x:v>
      </x:c>
      <x:c r="P176" s="30">
        <x:f t="shared" si="17"/>
        <x:v>5</x:v>
      </x:c>
      <x:c r="Q176" s="30">
        <x:f>COUNTIF($P$3:P176,"=3")</x:f>
        <x:v>20</x:v>
      </x:c>
      <x:c r="R176" s="29">
        <x:f>WORKDAY(기본입력!$H$2,Q176-1,공휴일)</x:f>
        <x:v>45954</x:v>
      </x:c>
    </x:row>
    <x:row r="177" spans="1:18">
      <x:c r="A177" s="145" t="str">
        <x:f t="shared" si="13"/>
        <x:v>20251024</x:v>
      </x:c>
      <x:c r="B177" s="8" t="s">
        <x:v>5</x:v>
      </x:c>
      <x:c r="C177" s="8">
        <x:v>1740</x:v>
      </x:c>
      <x:c r="D177" s="7" t="s">
        <x:v>1</x:v>
      </x:c>
      <x:c r="E177" s="8" t="s">
        <x:v>88</x:v>
      </x:c>
      <x:c r="F177" s="8" t="s">
        <x:v>40</x:v>
      </x:c>
      <x:c r="G177" s="15" t="str">
        <x:f>IF(OR(N177="",N177&gt;기본입력!$C$34),"",VLOOKUP(O177,기본입력!$A$9:$F$33,5))</x:f>
        <x:v>양현수_53778</x:v>
      </x:c>
      <x:c r="H177" s="15" t="str">
        <x:f>IF(OR(N177="",N177&gt;기본입력!$C$34),"",기본입력!$C$6)</x:f>
        <x:v>1교육실(실습겸용강의실)_243089</x:v>
      </x:c>
      <x:c r="I177" s="15" t="str">
        <x:f>IF(OR(O177="",N177&gt;기본입력!$C$34),"",VLOOKUP(O177,기본입력!$A$9:$F$33,6,FALSE))</x:f>
        <x:v>SQL 및 데이터 모델링__5</x:v>
      </x:c>
      <x:c r="J177" s="38" t="str">
        <x:f t="shared" si="14"/>
        <x:v>SQL 및 데이터 모델링</x:v>
      </x:c>
      <x:c r="K177" s="38" t="str">
        <x:f t="shared" si="15"/>
        <x:v>1교육실(실습겸용강의실)</x:v>
      </x:c>
      <x:c r="L177" s="38" t="str">
        <x:f t="shared" si="16"/>
        <x:v>양현수</x:v>
      </x:c>
      <x:c r="M177" s="63"/>
      <x:c r="N177" s="30">
        <x:f>IF(F177="2","",COUNTIF($F$3:$F177,"=1"))</x:f>
        <x:v>156</x:v>
      </x:c>
      <x:c r="O177" s="30">
        <x:f t="shared" si="12"/>
        <x:v>3</x:v>
      </x:c>
      <x:c r="P177" s="30">
        <x:f t="shared" si="17"/>
        <x:v>6</x:v>
      </x:c>
      <x:c r="Q177" s="30">
        <x:f>COUNTIF($P$3:P177,"=3")</x:f>
        <x:v>20</x:v>
      </x:c>
      <x:c r="R177" s="29">
        <x:f>WORKDAY(기본입력!$H$2,Q177-1,공휴일)</x:f>
        <x:v>45954</x:v>
      </x:c>
    </x:row>
    <x:row r="178" spans="1:18">
      <x:c r="A178" s="145" t="str">
        <x:f t="shared" si="13"/>
        <x:v>20251024</x:v>
      </x:c>
      <x:c r="B178" s="8" t="s">
        <x:v>5</x:v>
      </x:c>
      <x:c r="C178" s="8">
        <x:v>1740</x:v>
      </x:c>
      <x:c r="D178" s="7" t="s">
        <x:v>1</x:v>
      </x:c>
      <x:c r="E178" s="8" t="s">
        <x:v>0</x:v>
      </x:c>
      <x:c r="F178" s="8" t="s">
        <x:v>41</x:v>
      </x:c>
      <x:c r="G178" s="15" t="str">
        <x:f>IF(OR(N178="",N178&gt;기본입력!$C$34),"",VLOOKUP(O178,기본입력!$A$9:$F$33,5))</x:f>
        <x:v/>
      </x:c>
      <x:c r="H178" s="15" t="str">
        <x:f>IF(OR(N178="",N178&gt;기본입력!$C$34),"",기본입력!$C$6)</x:f>
        <x:v/>
      </x:c>
      <x:c r="I178" s="15" t="str">
        <x:f>IF(OR(O178="",N178&gt;기본입력!$C$34),"",VLOOKUP(O178,기본입력!$A$9:$F$33,6,FALSE))</x:f>
        <x:v/>
      </x:c>
      <x:c r="J178" s="38" t="str">
        <x:f t="shared" ref="J178:J241" si="18">IF(F178="2","",LEFT(I178,FIND("_",I178,2)-1))</x:f>
        <x:v/>
      </x:c>
      <x:c r="K178" s="38" t="str">
        <x:f t="shared" ref="K178:K241" si="19">IF(F178="2","",LEFT(H178,FIND("_",H178,2)-1))</x:f>
        <x:v/>
      </x:c>
      <x:c r="L178" s="38" t="str">
        <x:f t="shared" ref="L178:L241" si="20">IF(F178="2","",LEFT(G178,FIND("_",G178,2)-1))</x:f>
        <x:v/>
      </x:c>
      <x:c r="M178" s="63"/>
      <x:c r="N178" s="30" t="str">
        <x:f>IF(F178="2","",COUNTIF($F$3:$F178,"=1"))</x:f>
        <x:v/>
      </x:c>
      <x:c r="O178" s="30" t="str">
        <x:f t="shared" si="12"/>
        <x:v/>
      </x:c>
      <x:c r="P178" s="30">
        <x:f t="shared" si="17"/>
        <x:v>7</x:v>
      </x:c>
      <x:c r="Q178" s="30">
        <x:f>COUNTIF($P$3:P178,"=3")</x:f>
        <x:v>20</x:v>
      </x:c>
      <x:c r="R178" s="29">
        <x:f>WORKDAY(기본입력!$H$2,Q178-1,공휴일)</x:f>
        <x:v>45954</x:v>
      </x:c>
    </x:row>
    <x:row r="179" spans="1:18">
      <x:c r="A179" s="145" t="str">
        <x:f t="shared" si="13"/>
        <x:v>20251024</x:v>
      </x:c>
      <x:c r="B179" s="8" t="s">
        <x:v>5</x:v>
      </x:c>
      <x:c r="C179" s="8">
        <x:v>1740</x:v>
      </x:c>
      <x:c r="D179" s="7" t="s">
        <x:v>1</x:v>
      </x:c>
      <x:c r="E179" s="8">
        <x:v>1340</x:v>
      </x:c>
      <x:c r="F179" s="8" t="s">
        <x:v>40</x:v>
      </x:c>
      <x:c r="G179" s="15" t="str">
        <x:f>IF(OR(N179="",N179&gt;기본입력!$C$34),"",VLOOKUP(O179,기본입력!$A$9:$F$33,5))</x:f>
        <x:v>양현수_53778</x:v>
      </x:c>
      <x:c r="H179" s="15" t="str">
        <x:f>IF(OR(N179="",N179&gt;기본입력!$C$34),"",기본입력!$C$6)</x:f>
        <x:v>1교육실(실습겸용강의실)_243089</x:v>
      </x:c>
      <x:c r="I179" s="15" t="str">
        <x:f>IF(OR(O179="",N179&gt;기본입력!$C$34),"",VLOOKUP(O179,기본입력!$A$9:$F$33,6,FALSE))</x:f>
        <x:v>SQL 및 데이터 모델링__5</x:v>
      </x:c>
      <x:c r="J179" s="38" t="str">
        <x:f t="shared" si="18"/>
        <x:v>SQL 및 데이터 모델링</x:v>
      </x:c>
      <x:c r="K179" s="38" t="str">
        <x:f t="shared" si="19"/>
        <x:v>1교육실(실습겸용강의실)</x:v>
      </x:c>
      <x:c r="L179" s="38" t="str">
        <x:f t="shared" si="20"/>
        <x:v>양현수</x:v>
      </x:c>
      <x:c r="M179" s="63"/>
      <x:c r="N179" s="30">
        <x:f>IF(F179="2","",COUNTIF($F$3:$F179,"=1"))</x:f>
        <x:v>157</x:v>
      </x:c>
      <x:c r="O179" s="30">
        <x:f t="shared" si="12"/>
        <x:v>3</x:v>
      </x:c>
      <x:c r="P179" s="30">
        <x:f t="shared" si="17"/>
        <x:v>8</x:v>
      </x:c>
      <x:c r="Q179" s="30">
        <x:f>COUNTIF($P$3:P179,"=3")</x:f>
        <x:v>20</x:v>
      </x:c>
      <x:c r="R179" s="29">
        <x:f>WORKDAY(기본입력!$H$2,Q179-1,공휴일)</x:f>
        <x:v>45954</x:v>
      </x:c>
    </x:row>
    <x:row r="180" spans="1:18">
      <x:c r="A180" s="145" t="str">
        <x:f t="shared" si="13"/>
        <x:v>20251024</x:v>
      </x:c>
      <x:c r="B180" s="8" t="s">
        <x:v>5</x:v>
      </x:c>
      <x:c r="C180" s="8">
        <x:v>1740</x:v>
      </x:c>
      <x:c r="D180" s="7" t="s">
        <x:v>1</x:v>
      </x:c>
      <x:c r="E180" s="8">
        <x:v>1440</x:v>
      </x:c>
      <x:c r="F180" s="8" t="s">
        <x:v>40</x:v>
      </x:c>
      <x:c r="G180" s="15" t="str">
        <x:f>IF(OR(N180="",N180&gt;기본입력!$C$34),"",VLOOKUP(O180,기본입력!$A$9:$F$33,5))</x:f>
        <x:v>양현수_53778</x:v>
      </x:c>
      <x:c r="H180" s="15" t="str">
        <x:f>IF(OR(N180="",N180&gt;기본입력!$C$34),"",기본입력!$C$6)</x:f>
        <x:v>1교육실(실습겸용강의실)_243089</x:v>
      </x:c>
      <x:c r="I180" s="15" t="str">
        <x:f>IF(OR(O180="",N180&gt;기본입력!$C$34),"",VLOOKUP(O180,기본입력!$A$9:$F$33,6,FALSE))</x:f>
        <x:v>SQL 및 데이터 모델링__5</x:v>
      </x:c>
      <x:c r="J180" s="38" t="str">
        <x:f t="shared" si="18"/>
        <x:v>SQL 및 데이터 모델링</x:v>
      </x:c>
      <x:c r="K180" s="38" t="str">
        <x:f t="shared" si="19"/>
        <x:v>1교육실(실습겸용강의실)</x:v>
      </x:c>
      <x:c r="L180" s="38" t="str">
        <x:f t="shared" si="20"/>
        <x:v>양현수</x:v>
      </x:c>
      <x:c r="M180" s="63"/>
      <x:c r="N180" s="30">
        <x:f>IF(F180="2","",COUNTIF($F$3:$F180,"=1"))</x:f>
        <x:v>158</x:v>
      </x:c>
      <x:c r="O180" s="30">
        <x:f t="shared" si="12"/>
        <x:v>3</x:v>
      </x:c>
      <x:c r="P180" s="30">
        <x:f t="shared" si="17"/>
        <x:v>0</x:v>
      </x:c>
      <x:c r="Q180" s="30">
        <x:f>COUNTIF($P$3:P180,"=3")</x:f>
        <x:v>20</x:v>
      </x:c>
      <x:c r="R180" s="29">
        <x:f>WORKDAY(기본입력!$H$2,Q180-1,공휴일)</x:f>
        <x:v>45954</x:v>
      </x:c>
    </x:row>
    <x:row r="181" spans="1:18">
      <x:c r="A181" s="145" t="str">
        <x:f t="shared" si="13"/>
        <x:v>20251024</x:v>
      </x:c>
      <x:c r="B181" s="8" t="s">
        <x:v>5</x:v>
      </x:c>
      <x:c r="C181" s="8">
        <x:v>1740</x:v>
      </x:c>
      <x:c r="D181" s="7" t="s">
        <x:v>1</x:v>
      </x:c>
      <x:c r="E181" s="8">
        <x:v>1540</x:v>
      </x:c>
      <x:c r="F181" s="8" t="s">
        <x:v>40</x:v>
      </x:c>
      <x:c r="G181" s="15" t="str">
        <x:f>IF(OR(N181="",N181&gt;기본입력!$C$34),"",VLOOKUP(O181,기본입력!$A$9:$F$33,5))</x:f>
        <x:v>양현수_53778</x:v>
      </x:c>
      <x:c r="H181" s="15" t="str">
        <x:f>IF(OR(N181="",N181&gt;기본입력!$C$34),"",기본입력!$C$6)</x:f>
        <x:v>1교육실(실습겸용강의실)_243089</x:v>
      </x:c>
      <x:c r="I181" s="15" t="str">
        <x:f>IF(OR(O181="",N181&gt;기본입력!$C$34),"",VLOOKUP(O181,기본입력!$A$9:$F$33,6,FALSE))</x:f>
        <x:v>SQL 및 데이터 모델링__5</x:v>
      </x:c>
      <x:c r="J181" s="38" t="str">
        <x:f t="shared" si="18"/>
        <x:v>SQL 및 데이터 모델링</x:v>
      </x:c>
      <x:c r="K181" s="38" t="str">
        <x:f t="shared" si="19"/>
        <x:v>1교육실(실습겸용강의실)</x:v>
      </x:c>
      <x:c r="L181" s="38" t="str">
        <x:f t="shared" si="20"/>
        <x:v>양현수</x:v>
      </x:c>
      <x:c r="M181" s="63"/>
      <x:c r="N181" s="30">
        <x:f>IF(F181="2","",COUNTIF($F$3:$F181,"=1"))</x:f>
        <x:v>159</x:v>
      </x:c>
      <x:c r="O181" s="30">
        <x:f t="shared" si="12"/>
        <x:v>3</x:v>
      </x:c>
      <x:c r="P181" s="30">
        <x:f t="shared" si="17"/>
        <x:v>1</x:v>
      </x:c>
      <x:c r="Q181" s="30">
        <x:f>COUNTIF($P$3:P181,"=3")</x:f>
        <x:v>20</x:v>
      </x:c>
      <x:c r="R181" s="29">
        <x:f>WORKDAY(기본입력!$H$2,Q181-1,공휴일)</x:f>
        <x:v>45954</x:v>
      </x:c>
    </x:row>
    <x:row r="182" spans="1:18">
      <x:c r="A182" s="145" t="str">
        <x:f t="shared" si="13"/>
        <x:v>20251024</x:v>
      </x:c>
      <x:c r="B182" s="8" t="s">
        <x:v>5</x:v>
      </x:c>
      <x:c r="C182" s="8">
        <x:v>1740</x:v>
      </x:c>
      <x:c r="D182" s="7" t="s">
        <x:v>1</x:v>
      </x:c>
      <x:c r="E182" s="8">
        <x:v>1640</x:v>
      </x:c>
      <x:c r="F182" s="8" t="s">
        <x:v>40</x:v>
      </x:c>
      <x:c r="G182" s="15" t="str">
        <x:f>IF(OR(N182="",N182&gt;기본입력!$C$34),"",VLOOKUP(O182,기본입력!$A$9:$F$33,5))</x:f>
        <x:v>양현수_53778</x:v>
      </x:c>
      <x:c r="H182" s="15" t="str">
        <x:f>IF(OR(N182="",N182&gt;기본입력!$C$34),"",기본입력!$C$6)</x:f>
        <x:v>1교육실(실습겸용강의실)_243089</x:v>
      </x:c>
      <x:c r="I182" s="15" t="str">
        <x:f>IF(OR(O182="",N182&gt;기본입력!$C$34),"",VLOOKUP(O182,기본입력!$A$9:$F$33,6,FALSE))</x:f>
        <x:v>SQL 및 데이터 모델링__5</x:v>
      </x:c>
      <x:c r="J182" s="38" t="str">
        <x:f t="shared" si="18"/>
        <x:v>SQL 및 데이터 모델링</x:v>
      </x:c>
      <x:c r="K182" s="38" t="str">
        <x:f t="shared" si="19"/>
        <x:v>1교육실(실습겸용강의실)</x:v>
      </x:c>
      <x:c r="L182" s="38" t="str">
        <x:f t="shared" si="20"/>
        <x:v>양현수</x:v>
      </x:c>
      <x:c r="M182" s="63"/>
      <x:c r="N182" s="30">
        <x:f>IF(F182="2","",COUNTIF($F$3:$F182,"=1"))</x:f>
        <x:v>160</x:v>
      </x:c>
      <x:c r="O182" s="30">
        <x:f t="shared" si="12"/>
        <x:v>3</x:v>
      </x:c>
      <x:c r="P182" s="30">
        <x:f t="shared" si="17"/>
        <x:v>2</x:v>
      </x:c>
      <x:c r="Q182" s="30">
        <x:f>COUNTIF($P$3:P182,"=3")</x:f>
        <x:v>20</x:v>
      </x:c>
      <x:c r="R182" s="29">
        <x:f>WORKDAY(기본입력!$H$2,Q182-1,공휴일)</x:f>
        <x:v>45954</x:v>
      </x:c>
    </x:row>
    <x:row r="183" spans="1:18">
      <x:c r="A183" s="144" t="str">
        <x:f t="shared" si="13"/>
        <x:v>20251027</x:v>
      </x:c>
      <x:c r="B183" s="6" t="s">
        <x:v>5</x:v>
      </x:c>
      <x:c r="C183" s="6">
        <x:v>1740</x:v>
      </x:c>
      <x:c r="D183" s="5" t="s">
        <x:v>1</x:v>
      </x:c>
      <x:c r="E183" s="6" t="s">
        <x:v>5</x:v>
      </x:c>
      <x:c r="F183" s="6" t="s">
        <x:v>40</x:v>
      </x:c>
      <x:c r="G183" s="14" t="str">
        <x:f>IF(OR(N183="",N183&gt;기본입력!$C$34),"",VLOOKUP(O183,기본입력!$A$9:$F$33,5))</x:f>
        <x:v>양현수_53778</x:v>
      </x:c>
      <x:c r="H183" s="14" t="str">
        <x:f>IF(OR(N183="",N183&gt;기본입력!$C$34),"",기본입력!$C$6)</x:f>
        <x:v>1교육실(실습겸용강의실)_243089</x:v>
      </x:c>
      <x:c r="I183" s="14" t="str">
        <x:f>IF(OR(O183="",N183&gt;기본입력!$C$34),"",VLOOKUP(O183,기본입력!$A$9:$F$33,6,FALSE))</x:f>
        <x:v>SQL 및 데이터 모델링__5</x:v>
      </x:c>
      <x:c r="J183" s="38" t="str">
        <x:f t="shared" si="18"/>
        <x:v>SQL 및 데이터 모델링</x:v>
      </x:c>
      <x:c r="K183" s="38" t="str">
        <x:f t="shared" si="19"/>
        <x:v>1교육실(실습겸용강의실)</x:v>
      </x:c>
      <x:c r="L183" s="38" t="str">
        <x:f t="shared" si="20"/>
        <x:v>양현수</x:v>
      </x:c>
      <x:c r="M183" s="63"/>
      <x:c r="N183" s="30">
        <x:f>IF(F183="2","",COUNTIF($F$3:$F183,"=1"))</x:f>
        <x:v>161</x:v>
      </x:c>
      <x:c r="O183" s="30">
        <x:f t="shared" si="12"/>
        <x:v>3</x:v>
      </x:c>
      <x:c r="P183" s="30">
        <x:f t="shared" si="17"/>
        <x:v>3</x:v>
      </x:c>
      <x:c r="Q183" s="30">
        <x:f>COUNTIF($P$3:P183,"=3")</x:f>
        <x:v>21</x:v>
      </x:c>
      <x:c r="R183" s="29">
        <x:f>WORKDAY(기본입력!$H$2,Q183-1,공휴일)</x:f>
        <x:v>45957</x:v>
      </x:c>
    </x:row>
    <x:row r="184" spans="1:18">
      <x:c r="A184" s="144" t="str">
        <x:f t="shared" si="13"/>
        <x:v>20251027</x:v>
      </x:c>
      <x:c r="B184" s="6" t="s">
        <x:v>5</x:v>
      </x:c>
      <x:c r="C184" s="6">
        <x:v>1740</x:v>
      </x:c>
      <x:c r="D184" s="5" t="s">
        <x:v>1</x:v>
      </x:c>
      <x:c r="E184" s="6" t="s">
        <x:v>117</x:v>
      </x:c>
      <x:c r="F184" s="6" t="s">
        <x:v>40</x:v>
      </x:c>
      <x:c r="G184" s="14" t="str">
        <x:f>IF(OR(N184="",N184&gt;기본입력!$C$34),"",VLOOKUP(O184,기본입력!$A$9:$F$33,5))</x:f>
        <x:v>양현수_53778</x:v>
      </x:c>
      <x:c r="H184" s="14" t="str">
        <x:f>IF(OR(N184="",N184&gt;기본입력!$C$34),"",기본입력!$C$6)</x:f>
        <x:v>1교육실(실습겸용강의실)_243089</x:v>
      </x:c>
      <x:c r="I184" s="14" t="str">
        <x:f>IF(OR(O184="",N184&gt;기본입력!$C$34),"",VLOOKUP(O184,기본입력!$A$9:$F$33,6,FALSE))</x:f>
        <x:v>SQL 및 데이터 모델링__5</x:v>
      </x:c>
      <x:c r="J184" s="38" t="str">
        <x:f t="shared" si="18"/>
        <x:v>SQL 및 데이터 모델링</x:v>
      </x:c>
      <x:c r="K184" s="38" t="str">
        <x:f t="shared" si="19"/>
        <x:v>1교육실(실습겸용강의실)</x:v>
      </x:c>
      <x:c r="L184" s="38" t="str">
        <x:f t="shared" si="20"/>
        <x:v>양현수</x:v>
      </x:c>
      <x:c r="M184" s="63"/>
      <x:c r="N184" s="30">
        <x:f>IF(F184="2","",COUNTIF($F$3:$F184,"=1"))</x:f>
        <x:v>162</x:v>
      </x:c>
      <x:c r="O184" s="30">
        <x:f t="shared" si="12"/>
        <x:v>3</x:v>
      </x:c>
      <x:c r="P184" s="30">
        <x:f t="shared" si="17"/>
        <x:v>4</x:v>
      </x:c>
      <x:c r="Q184" s="30">
        <x:f>COUNTIF($P$3:P184,"=3")</x:f>
        <x:v>21</x:v>
      </x:c>
      <x:c r="R184" s="29">
        <x:f>WORKDAY(기본입력!$H$2,Q184-1,공휴일)</x:f>
        <x:v>45957</x:v>
      </x:c>
    </x:row>
    <x:row r="185" spans="1:18">
      <x:c r="A185" s="144" t="str">
        <x:f t="shared" si="13"/>
        <x:v>20251027</x:v>
      </x:c>
      <x:c r="B185" s="6" t="s">
        <x:v>5</x:v>
      </x:c>
      <x:c r="C185" s="6">
        <x:v>1740</x:v>
      </x:c>
      <x:c r="D185" s="5" t="s">
        <x:v>1</x:v>
      </x:c>
      <x:c r="E185" s="6" t="s">
        <x:v>87</x:v>
      </x:c>
      <x:c r="F185" s="6" t="s">
        <x:v>40</x:v>
      </x:c>
      <x:c r="G185" s="14" t="str">
        <x:f>IF(OR(N185="",N185&gt;기본입력!$C$34),"",VLOOKUP(O185,기본입력!$A$9:$F$33,5))</x:f>
        <x:v>양현수_53778</x:v>
      </x:c>
      <x:c r="H185" s="14" t="str">
        <x:f>IF(OR(N185="",N185&gt;기본입력!$C$34),"",기본입력!$C$6)</x:f>
        <x:v>1교육실(실습겸용강의실)_243089</x:v>
      </x:c>
      <x:c r="I185" s="14" t="str">
        <x:f>IF(OR(O185="",N185&gt;기본입력!$C$34),"",VLOOKUP(O185,기본입력!$A$9:$F$33,6,FALSE))</x:f>
        <x:v>SQL 및 데이터 모델링__5</x:v>
      </x:c>
      <x:c r="J185" s="38" t="str">
        <x:f t="shared" si="18"/>
        <x:v>SQL 및 데이터 모델링</x:v>
      </x:c>
      <x:c r="K185" s="38" t="str">
        <x:f t="shared" si="19"/>
        <x:v>1교육실(실습겸용강의실)</x:v>
      </x:c>
      <x:c r="L185" s="38" t="str">
        <x:f t="shared" si="20"/>
        <x:v>양현수</x:v>
      </x:c>
      <x:c r="M185" s="63"/>
      <x:c r="N185" s="30">
        <x:f>IF(F185="2","",COUNTIF($F$3:$F185,"=1"))</x:f>
        <x:v>163</x:v>
      </x:c>
      <x:c r="O185" s="30">
        <x:f t="shared" si="12"/>
        <x:v>3</x:v>
      </x:c>
      <x:c r="P185" s="30">
        <x:f t="shared" si="17"/>
        <x:v>5</x:v>
      </x:c>
      <x:c r="Q185" s="30">
        <x:f>COUNTIF($P$3:P185,"=3")</x:f>
        <x:v>21</x:v>
      </x:c>
      <x:c r="R185" s="29">
        <x:f>WORKDAY(기본입력!$H$2,Q185-1,공휴일)</x:f>
        <x:v>45957</x:v>
      </x:c>
    </x:row>
    <x:row r="186" spans="1:18">
      <x:c r="A186" s="144" t="str">
        <x:f t="shared" si="13"/>
        <x:v>20251027</x:v>
      </x:c>
      <x:c r="B186" s="6" t="s">
        <x:v>5</x:v>
      </x:c>
      <x:c r="C186" s="6">
        <x:v>1740</x:v>
      </x:c>
      <x:c r="D186" s="5" t="s">
        <x:v>1</x:v>
      </x:c>
      <x:c r="E186" s="6" t="s">
        <x:v>88</x:v>
      </x:c>
      <x:c r="F186" s="6" t="s">
        <x:v>40</x:v>
      </x:c>
      <x:c r="G186" s="14" t="str">
        <x:f>IF(OR(N186="",N186&gt;기본입력!$C$34),"",VLOOKUP(O186,기본입력!$A$9:$F$33,5))</x:f>
        <x:v>양현수_53778</x:v>
      </x:c>
      <x:c r="H186" s="14" t="str">
        <x:f>IF(OR(N186="",N186&gt;기본입력!$C$34),"",기본입력!$C$6)</x:f>
        <x:v>1교육실(실습겸용강의실)_243089</x:v>
      </x:c>
      <x:c r="I186" s="14" t="str">
        <x:f>IF(OR(O186="",N186&gt;기본입력!$C$34),"",VLOOKUP(O186,기본입력!$A$9:$F$33,6,FALSE))</x:f>
        <x:v>SQL 및 데이터 모델링__5</x:v>
      </x:c>
      <x:c r="J186" s="38" t="str">
        <x:f t="shared" si="18"/>
        <x:v>SQL 및 데이터 모델링</x:v>
      </x:c>
      <x:c r="K186" s="38" t="str">
        <x:f t="shared" si="19"/>
        <x:v>1교육실(실습겸용강의실)</x:v>
      </x:c>
      <x:c r="L186" s="38" t="str">
        <x:f t="shared" si="20"/>
        <x:v>양현수</x:v>
      </x:c>
      <x:c r="M186" s="63"/>
      <x:c r="N186" s="30">
        <x:f>IF(F186="2","",COUNTIF($F$3:$F186,"=1"))</x:f>
        <x:v>164</x:v>
      </x:c>
      <x:c r="O186" s="30">
        <x:f t="shared" si="12"/>
        <x:v>3</x:v>
      </x:c>
      <x:c r="P186" s="30">
        <x:f t="shared" si="17"/>
        <x:v>6</x:v>
      </x:c>
      <x:c r="Q186" s="30">
        <x:f>COUNTIF($P$3:P186,"=3")</x:f>
        <x:v>21</x:v>
      </x:c>
      <x:c r="R186" s="29">
        <x:f>WORKDAY(기본입력!$H$2,Q186-1,공휴일)</x:f>
        <x:v>45957</x:v>
      </x:c>
    </x:row>
    <x:row r="187" spans="1:18">
      <x:c r="A187" s="144" t="str">
        <x:f t="shared" si="13"/>
        <x:v>20251027</x:v>
      </x:c>
      <x:c r="B187" s="6" t="s">
        <x:v>5</x:v>
      </x:c>
      <x:c r="C187" s="6">
        <x:v>1740</x:v>
      </x:c>
      <x:c r="D187" s="5" t="s">
        <x:v>1</x:v>
      </x:c>
      <x:c r="E187" s="6" t="s">
        <x:v>0</x:v>
      </x:c>
      <x:c r="F187" s="6" t="s">
        <x:v>41</x:v>
      </x:c>
      <x:c r="G187" s="14" t="str">
        <x:f>IF(OR(N187="",N187&gt;기본입력!$C$34),"",VLOOKUP(O187,기본입력!$A$9:$F$33,5))</x:f>
        <x:v/>
      </x:c>
      <x:c r="H187" s="14" t="str">
        <x:f>IF(OR(N187="",N187&gt;기본입력!$C$34),"",기본입력!$C$6)</x:f>
        <x:v/>
      </x:c>
      <x:c r="I187" s="14" t="str">
        <x:f>IF(OR(O187="",N187&gt;기본입력!$C$34),"",VLOOKUP(O187,기본입력!$A$9:$F$33,6,FALSE))</x:f>
        <x:v/>
      </x:c>
      <x:c r="J187" s="38" t="str">
        <x:f t="shared" si="18"/>
        <x:v/>
      </x:c>
      <x:c r="K187" s="38" t="str">
        <x:f t="shared" si="19"/>
        <x:v/>
      </x:c>
      <x:c r="L187" s="38" t="str">
        <x:f t="shared" si="20"/>
        <x:v/>
      </x:c>
      <x:c r="M187" s="63"/>
      <x:c r="N187" s="30" t="str">
        <x:f>IF(F187="2","",COUNTIF($F$3:$F187,"=1"))</x:f>
        <x:v/>
      </x:c>
      <x:c r="O187" s="30" t="str">
        <x:f t="shared" si="12"/>
        <x:v/>
      </x:c>
      <x:c r="P187" s="30">
        <x:f t="shared" si="17"/>
        <x:v>7</x:v>
      </x:c>
      <x:c r="Q187" s="30">
        <x:f>COUNTIF($P$3:P187,"=3")</x:f>
        <x:v>21</x:v>
      </x:c>
      <x:c r="R187" s="29">
        <x:f>WORKDAY(기본입력!$H$2,Q187-1,공휴일)</x:f>
        <x:v>45957</x:v>
      </x:c>
    </x:row>
    <x:row r="188" spans="1:18">
      <x:c r="A188" s="144" t="str">
        <x:f t="shared" si="13"/>
        <x:v>20251027</x:v>
      </x:c>
      <x:c r="B188" s="6" t="s">
        <x:v>5</x:v>
      </x:c>
      <x:c r="C188" s="6">
        <x:v>1740</x:v>
      </x:c>
      <x:c r="D188" s="5" t="s">
        <x:v>1</x:v>
      </x:c>
      <x:c r="E188" s="6">
        <x:v>1340</x:v>
      </x:c>
      <x:c r="F188" s="6" t="s">
        <x:v>40</x:v>
      </x:c>
      <x:c r="G188" s="14" t="str">
        <x:f>IF(OR(N188="",N188&gt;기본입력!$C$34),"",VLOOKUP(O188,기본입력!$A$9:$F$33,5))</x:f>
        <x:v>양현수_53778</x:v>
      </x:c>
      <x:c r="H188" s="14" t="str">
        <x:f>IF(OR(N188="",N188&gt;기본입력!$C$34),"",기본입력!$C$6)</x:f>
        <x:v>1교육실(실습겸용강의실)_243089</x:v>
      </x:c>
      <x:c r="I188" s="14" t="str">
        <x:f>IF(OR(O188="",N188&gt;기본입력!$C$34),"",VLOOKUP(O188,기본입력!$A$9:$F$33,6,FALSE))</x:f>
        <x:v>SQL 및 데이터 모델링__5</x:v>
      </x:c>
      <x:c r="J188" s="38" t="str">
        <x:f t="shared" si="18"/>
        <x:v>SQL 및 데이터 모델링</x:v>
      </x:c>
      <x:c r="K188" s="38" t="str">
        <x:f t="shared" si="19"/>
        <x:v>1교육실(실습겸용강의실)</x:v>
      </x:c>
      <x:c r="L188" s="38" t="str">
        <x:f t="shared" si="20"/>
        <x:v>양현수</x:v>
      </x:c>
      <x:c r="M188" s="63"/>
      <x:c r="N188" s="30">
        <x:f>IF(F188="2","",COUNTIF($F$3:$F188,"=1"))</x:f>
        <x:v>165</x:v>
      </x:c>
      <x:c r="O188" s="30">
        <x:f t="shared" si="12"/>
        <x:v>3</x:v>
      </x:c>
      <x:c r="P188" s="30">
        <x:f t="shared" si="17"/>
        <x:v>8</x:v>
      </x:c>
      <x:c r="Q188" s="30">
        <x:f>COUNTIF($P$3:P188,"=3")</x:f>
        <x:v>21</x:v>
      </x:c>
      <x:c r="R188" s="29">
        <x:f>WORKDAY(기본입력!$H$2,Q188-1,공휴일)</x:f>
        <x:v>45957</x:v>
      </x:c>
    </x:row>
    <x:row r="189" spans="1:18">
      <x:c r="A189" s="144" t="str">
        <x:f t="shared" si="13"/>
        <x:v>20251027</x:v>
      </x:c>
      <x:c r="B189" s="6" t="s">
        <x:v>5</x:v>
      </x:c>
      <x:c r="C189" s="6">
        <x:v>1740</x:v>
      </x:c>
      <x:c r="D189" s="5" t="s">
        <x:v>1</x:v>
      </x:c>
      <x:c r="E189" s="6">
        <x:v>1440</x:v>
      </x:c>
      <x:c r="F189" s="6" t="s">
        <x:v>40</x:v>
      </x:c>
      <x:c r="G189" s="14" t="str">
        <x:f>IF(OR(N189="",N189&gt;기본입력!$C$34),"",VLOOKUP(O189,기본입력!$A$9:$F$33,5))</x:f>
        <x:v>양현수_53778</x:v>
      </x:c>
      <x:c r="H189" s="14" t="str">
        <x:f>IF(OR(N189="",N189&gt;기본입력!$C$34),"",기본입력!$C$6)</x:f>
        <x:v>1교육실(실습겸용강의실)_243089</x:v>
      </x:c>
      <x:c r="I189" s="14" t="str">
        <x:f>IF(OR(O189="",N189&gt;기본입력!$C$34),"",VLOOKUP(O189,기본입력!$A$9:$F$33,6,FALSE))</x:f>
        <x:v>SQL 및 데이터 모델링__5</x:v>
      </x:c>
      <x:c r="J189" s="38" t="str">
        <x:f t="shared" si="18"/>
        <x:v>SQL 및 데이터 모델링</x:v>
      </x:c>
      <x:c r="K189" s="38" t="str">
        <x:f t="shared" si="19"/>
        <x:v>1교육실(실습겸용강의실)</x:v>
      </x:c>
      <x:c r="L189" s="38" t="str">
        <x:f t="shared" si="20"/>
        <x:v>양현수</x:v>
      </x:c>
      <x:c r="M189" s="63"/>
      <x:c r="N189" s="30">
        <x:f>IF(F189="2","",COUNTIF($F$3:$F189,"=1"))</x:f>
        <x:v>166</x:v>
      </x:c>
      <x:c r="O189" s="30">
        <x:f t="shared" si="12"/>
        <x:v>3</x:v>
      </x:c>
      <x:c r="P189" s="30">
        <x:f t="shared" si="17"/>
        <x:v>0</x:v>
      </x:c>
      <x:c r="Q189" s="30">
        <x:f>COUNTIF($P$3:P189,"=3")</x:f>
        <x:v>21</x:v>
      </x:c>
      <x:c r="R189" s="29">
        <x:f>WORKDAY(기본입력!$H$2,Q189-1,공휴일)</x:f>
        <x:v>45957</x:v>
      </x:c>
    </x:row>
    <x:row r="190" spans="1:18">
      <x:c r="A190" s="144" t="str">
        <x:f t="shared" si="13"/>
        <x:v>20251027</x:v>
      </x:c>
      <x:c r="B190" s="6" t="s">
        <x:v>5</x:v>
      </x:c>
      <x:c r="C190" s="6">
        <x:v>1740</x:v>
      </x:c>
      <x:c r="D190" s="5" t="s">
        <x:v>1</x:v>
      </x:c>
      <x:c r="E190" s="6">
        <x:v>1540</x:v>
      </x:c>
      <x:c r="F190" s="6" t="s">
        <x:v>40</x:v>
      </x:c>
      <x:c r="G190" s="14" t="str">
        <x:f>IF(OR(N190="",N190&gt;기본입력!$C$34),"",VLOOKUP(O190,기본입력!$A$9:$F$33,5))</x:f>
        <x:v>양현수_53778</x:v>
      </x:c>
      <x:c r="H190" s="14" t="str">
        <x:f>IF(OR(N190="",N190&gt;기본입력!$C$34),"",기본입력!$C$6)</x:f>
        <x:v>1교육실(실습겸용강의실)_243089</x:v>
      </x:c>
      <x:c r="I190" s="14" t="str">
        <x:f>IF(OR(O190="",N190&gt;기본입력!$C$34),"",VLOOKUP(O190,기본입력!$A$9:$F$33,6,FALSE))</x:f>
        <x:v>SQL 및 데이터 모델링__5</x:v>
      </x:c>
      <x:c r="J190" s="38" t="str">
        <x:f t="shared" si="18"/>
        <x:v>SQL 및 데이터 모델링</x:v>
      </x:c>
      <x:c r="K190" s="38" t="str">
        <x:f t="shared" si="19"/>
        <x:v>1교육실(실습겸용강의실)</x:v>
      </x:c>
      <x:c r="L190" s="38" t="str">
        <x:f t="shared" si="20"/>
        <x:v>양현수</x:v>
      </x:c>
      <x:c r="M190" s="63"/>
      <x:c r="N190" s="30">
        <x:f>IF(F190="2","",COUNTIF($F$3:$F190,"=1"))</x:f>
        <x:v>167</x:v>
      </x:c>
      <x:c r="O190" s="30">
        <x:f t="shared" si="12"/>
        <x:v>3</x:v>
      </x:c>
      <x:c r="P190" s="30">
        <x:f t="shared" si="17"/>
        <x:v>1</x:v>
      </x:c>
      <x:c r="Q190" s="30">
        <x:f>COUNTIF($P$3:P190,"=3")</x:f>
        <x:v>21</x:v>
      </x:c>
      <x:c r="R190" s="29">
        <x:f>WORKDAY(기본입력!$H$2,Q190-1,공휴일)</x:f>
        <x:v>45957</x:v>
      </x:c>
    </x:row>
    <x:row r="191" spans="1:18">
      <x:c r="A191" s="144" t="str">
        <x:f t="shared" si="13"/>
        <x:v>20251027</x:v>
      </x:c>
      <x:c r="B191" s="6" t="s">
        <x:v>5</x:v>
      </x:c>
      <x:c r="C191" s="6">
        <x:v>1740</x:v>
      </x:c>
      <x:c r="D191" s="5" t="s">
        <x:v>1</x:v>
      </x:c>
      <x:c r="E191" s="6">
        <x:v>1640</x:v>
      </x:c>
      <x:c r="F191" s="6" t="s">
        <x:v>40</x:v>
      </x:c>
      <x:c r="G191" s="14" t="str">
        <x:f>IF(OR(N191="",N191&gt;기본입력!$C$34),"",VLOOKUP(O191,기본입력!$A$9:$F$33,5))</x:f>
        <x:v>양현수_53778</x:v>
      </x:c>
      <x:c r="H191" s="14" t="str">
        <x:f>IF(OR(N191="",N191&gt;기본입력!$C$34),"",기본입력!$C$6)</x:f>
        <x:v>1교육실(실습겸용강의실)_243089</x:v>
      </x:c>
      <x:c r="I191" s="14" t="str">
        <x:f>IF(OR(O191="",N191&gt;기본입력!$C$34),"",VLOOKUP(O191,기본입력!$A$9:$F$33,6,FALSE))</x:f>
        <x:v>SQL 및 데이터 모델링__5</x:v>
      </x:c>
      <x:c r="J191" s="38" t="str">
        <x:f t="shared" si="18"/>
        <x:v>SQL 및 데이터 모델링</x:v>
      </x:c>
      <x:c r="K191" s="38" t="str">
        <x:f t="shared" si="19"/>
        <x:v>1교육실(실습겸용강의실)</x:v>
      </x:c>
      <x:c r="L191" s="38" t="str">
        <x:f t="shared" si="20"/>
        <x:v>양현수</x:v>
      </x:c>
      <x:c r="M191" s="63"/>
      <x:c r="N191" s="30">
        <x:f>IF(F191="2","",COUNTIF($F$3:$F191,"=1"))</x:f>
        <x:v>168</x:v>
      </x:c>
      <x:c r="O191" s="30">
        <x:f t="shared" si="12"/>
        <x:v>3</x:v>
      </x:c>
      <x:c r="P191" s="30">
        <x:f t="shared" si="17"/>
        <x:v>2</x:v>
      </x:c>
      <x:c r="Q191" s="30">
        <x:f>COUNTIF($P$3:P191,"=3")</x:f>
        <x:v>21</x:v>
      </x:c>
      <x:c r="R191" s="29">
        <x:f>WORKDAY(기본입력!$H$2,Q191-1,공휴일)</x:f>
        <x:v>45957</x:v>
      </x:c>
    </x:row>
    <x:row r="192" spans="1:18">
      <x:c r="A192" s="145" t="str">
        <x:f t="shared" si="13"/>
        <x:v>20251028</x:v>
      </x:c>
      <x:c r="B192" s="8" t="s">
        <x:v>5</x:v>
      </x:c>
      <x:c r="C192" s="8">
        <x:v>1740</x:v>
      </x:c>
      <x:c r="D192" s="7" t="s">
        <x:v>1</x:v>
      </x:c>
      <x:c r="E192" s="8" t="s">
        <x:v>5</x:v>
      </x:c>
      <x:c r="F192" s="8" t="s">
        <x:v>40</x:v>
      </x:c>
      <x:c r="G192" s="15" t="str">
        <x:f>IF(OR(N192="",N192&gt;기본입력!$C$34),"",VLOOKUP(O192,기본입력!$A$9:$F$33,5))</x:f>
        <x:v>양현수_53778</x:v>
      </x:c>
      <x:c r="H192" s="15" t="str">
        <x:f>IF(OR(N192="",N192&gt;기본입력!$C$34),"",기본입력!$C$6)</x:f>
        <x:v>1교육실(실습겸용강의실)_243089</x:v>
      </x:c>
      <x:c r="I192" s="15" t="str">
        <x:f>IF(OR(O192="",N192&gt;기본입력!$C$34),"",VLOOKUP(O192,기본입력!$A$9:$F$33,6,FALSE))</x:f>
        <x:v>SQL 및 데이터 모델링__5</x:v>
      </x:c>
      <x:c r="J192" s="38" t="str">
        <x:f t="shared" si="18"/>
        <x:v>SQL 및 데이터 모델링</x:v>
      </x:c>
      <x:c r="K192" s="38" t="str">
        <x:f t="shared" si="19"/>
        <x:v>1교육실(실습겸용강의실)</x:v>
      </x:c>
      <x:c r="L192" s="38" t="str">
        <x:f t="shared" si="20"/>
        <x:v>양현수</x:v>
      </x:c>
      <x:c r="M192" s="63"/>
      <x:c r="N192" s="30">
        <x:f>IF(F192="2","",COUNTIF($F$3:$F192,"=1"))</x:f>
        <x:v>169</x:v>
      </x:c>
      <x:c r="O192" s="30">
        <x:f t="shared" si="12"/>
        <x:v>3</x:v>
      </x:c>
      <x:c r="P192" s="30">
        <x:f t="shared" si="17"/>
        <x:v>3</x:v>
      </x:c>
      <x:c r="Q192" s="30">
        <x:f>COUNTIF($P$3:P192,"=3")</x:f>
        <x:v>22</x:v>
      </x:c>
      <x:c r="R192" s="29">
        <x:f>WORKDAY(기본입력!$H$2,Q192-1,공휴일)</x:f>
        <x:v>45958</x:v>
      </x:c>
    </x:row>
    <x:row r="193" spans="1:18">
      <x:c r="A193" s="145" t="str">
        <x:f t="shared" si="13"/>
        <x:v>20251028</x:v>
      </x:c>
      <x:c r="B193" s="8" t="s">
        <x:v>5</x:v>
      </x:c>
      <x:c r="C193" s="8">
        <x:v>1740</x:v>
      </x:c>
      <x:c r="D193" s="7" t="s">
        <x:v>1</x:v>
      </x:c>
      <x:c r="E193" s="8" t="s">
        <x:v>117</x:v>
      </x:c>
      <x:c r="F193" s="8" t="s">
        <x:v>40</x:v>
      </x:c>
      <x:c r="G193" s="15" t="str">
        <x:f>IF(OR(N193="",N193&gt;기본입력!$C$34),"",VLOOKUP(O193,기본입력!$A$9:$F$33,5))</x:f>
        <x:v>양현수_53778</x:v>
      </x:c>
      <x:c r="H193" s="15" t="str">
        <x:f>IF(OR(N193="",N193&gt;기본입력!$C$34),"",기본입력!$C$6)</x:f>
        <x:v>1교육실(실습겸용강의실)_243089</x:v>
      </x:c>
      <x:c r="I193" s="15" t="str">
        <x:f>IF(OR(O193="",N193&gt;기본입력!$C$34),"",VLOOKUP(O193,기본입력!$A$9:$F$33,6,FALSE))</x:f>
        <x:v>SQL 및 데이터 모델링__5</x:v>
      </x:c>
      <x:c r="J193" s="38" t="str">
        <x:f t="shared" si="18"/>
        <x:v>SQL 및 데이터 모델링</x:v>
      </x:c>
      <x:c r="K193" s="38" t="str">
        <x:f t="shared" si="19"/>
        <x:v>1교육실(실습겸용강의실)</x:v>
      </x:c>
      <x:c r="L193" s="38" t="str">
        <x:f t="shared" si="20"/>
        <x:v>양현수</x:v>
      </x:c>
      <x:c r="M193" s="63"/>
      <x:c r="N193" s="30">
        <x:f>IF(F193="2","",COUNTIF($F$3:$F193,"=1"))</x:f>
        <x:v>170</x:v>
      </x:c>
      <x:c r="O193" s="30">
        <x:f t="shared" si="12"/>
        <x:v>3</x:v>
      </x:c>
      <x:c r="P193" s="30">
        <x:f t="shared" si="17"/>
        <x:v>4</x:v>
      </x:c>
      <x:c r="Q193" s="30">
        <x:f>COUNTIF($P$3:P193,"=3")</x:f>
        <x:v>22</x:v>
      </x:c>
      <x:c r="R193" s="29">
        <x:f>WORKDAY(기본입력!$H$2,Q193-1,공휴일)</x:f>
        <x:v>45958</x:v>
      </x:c>
    </x:row>
    <x:row r="194" spans="1:18">
      <x:c r="A194" s="145" t="str">
        <x:f t="shared" si="13"/>
        <x:v>20251028</x:v>
      </x:c>
      <x:c r="B194" s="8" t="s">
        <x:v>5</x:v>
      </x:c>
      <x:c r="C194" s="8">
        <x:v>1740</x:v>
      </x:c>
      <x:c r="D194" s="7" t="s">
        <x:v>1</x:v>
      </x:c>
      <x:c r="E194" s="8" t="s">
        <x:v>87</x:v>
      </x:c>
      <x:c r="F194" s="8" t="s">
        <x:v>40</x:v>
      </x:c>
      <x:c r="G194" s="15" t="str">
        <x:f>IF(OR(N194="",N194&gt;기본입력!$C$34),"",VLOOKUP(O194,기본입력!$A$9:$F$33,5))</x:f>
        <x:v>양현수_53778</x:v>
      </x:c>
      <x:c r="H194" s="15" t="str">
        <x:f>IF(OR(N194="",N194&gt;기본입력!$C$34),"",기본입력!$C$6)</x:f>
        <x:v>1교육실(실습겸용강의실)_243089</x:v>
      </x:c>
      <x:c r="I194" s="15" t="str">
        <x:f>IF(OR(O194="",N194&gt;기본입력!$C$34),"",VLOOKUP(O194,기본입력!$A$9:$F$33,6,FALSE))</x:f>
        <x:v>SQL 및 데이터 모델링__5</x:v>
      </x:c>
      <x:c r="J194" s="38" t="str">
        <x:f t="shared" si="18"/>
        <x:v>SQL 및 데이터 모델링</x:v>
      </x:c>
      <x:c r="K194" s="38" t="str">
        <x:f t="shared" si="19"/>
        <x:v>1교육실(실습겸용강의실)</x:v>
      </x:c>
      <x:c r="L194" s="38" t="str">
        <x:f t="shared" si="20"/>
        <x:v>양현수</x:v>
      </x:c>
      <x:c r="M194" s="63"/>
      <x:c r="N194" s="30">
        <x:f>IF(F194="2","",COUNTIF($F$3:$F194,"=1"))</x:f>
        <x:v>171</x:v>
      </x:c>
      <x:c r="O194" s="30">
        <x:f t="shared" si="12"/>
        <x:v>3</x:v>
      </x:c>
      <x:c r="P194" s="30">
        <x:f t="shared" si="17"/>
        <x:v>5</x:v>
      </x:c>
      <x:c r="Q194" s="30">
        <x:f>COUNTIF($P$3:P194,"=3")</x:f>
        <x:v>22</x:v>
      </x:c>
      <x:c r="R194" s="29">
        <x:f>WORKDAY(기본입력!$H$2,Q194-1,공휴일)</x:f>
        <x:v>45958</x:v>
      </x:c>
    </x:row>
    <x:row r="195" spans="1:18">
      <x:c r="A195" s="145" t="str">
        <x:f t="shared" si="13"/>
        <x:v>20251028</x:v>
      </x:c>
      <x:c r="B195" s="8" t="s">
        <x:v>5</x:v>
      </x:c>
      <x:c r="C195" s="8">
        <x:v>1740</x:v>
      </x:c>
      <x:c r="D195" s="7" t="s">
        <x:v>1</x:v>
      </x:c>
      <x:c r="E195" s="8" t="s">
        <x:v>88</x:v>
      </x:c>
      <x:c r="F195" s="8" t="s">
        <x:v>40</x:v>
      </x:c>
      <x:c r="G195" s="15" t="str">
        <x:f>IF(OR(N195="",N195&gt;기본입력!$C$34),"",VLOOKUP(O195,기본입력!$A$9:$F$33,5))</x:f>
        <x:v>양현수_53778</x:v>
      </x:c>
      <x:c r="H195" s="15" t="str">
        <x:f>IF(OR(N195="",N195&gt;기본입력!$C$34),"",기본입력!$C$6)</x:f>
        <x:v>1교육실(실습겸용강의실)_243089</x:v>
      </x:c>
      <x:c r="I195" s="15" t="str">
        <x:f>IF(OR(O195="",N195&gt;기본입력!$C$34),"",VLOOKUP(O195,기본입력!$A$9:$F$33,6,FALSE))</x:f>
        <x:v>SQL 및 데이터 모델링__5</x:v>
      </x:c>
      <x:c r="J195" s="38" t="str">
        <x:f t="shared" si="18"/>
        <x:v>SQL 및 데이터 모델링</x:v>
      </x:c>
      <x:c r="K195" s="38" t="str">
        <x:f t="shared" si="19"/>
        <x:v>1교육실(실습겸용강의실)</x:v>
      </x:c>
      <x:c r="L195" s="38" t="str">
        <x:f t="shared" si="20"/>
        <x:v>양현수</x:v>
      </x:c>
      <x:c r="M195" s="63"/>
      <x:c r="N195" s="30">
        <x:f>IF(F195="2","",COUNTIF($F$3:$F195,"=1"))</x:f>
        <x:v>172</x:v>
      </x:c>
      <x:c r="O195" s="30">
        <x:f t="shared" ref="O195:O258" si="21">IF(F195="2","",IF(N195&lt;=누적시수1,1,IF(N195&lt;=누적시수2,2,IF(N195&lt;=누적시수3,3,IF(N195&lt;=누적시수4,4,IF(N195&lt;=누적시수5,5,IF(N195&lt;=누적시수6,6,IF(N195&lt;=누적시수7,7,IF(N195&lt;=누적시수8,8,IF(N195&lt;=누적시수9,9,IF(N195&lt;=누적시수10,10,IF(N195&lt;=누적시수11,11,IF(N195&lt;=누적시수12,12,IF(N195&lt;=누적시수13,13,IF(N195&lt;=누적시수14,14,IF(N195&lt;=누적시수15,15,IF(N195&lt;=누적시수16,16,IF(N195&lt;=누적시수17,17,IF(N195&lt;=누적시수18,18,IF(N195&lt;=누적시수19,19,IF(N195&lt;=누적시수20,20,IF(N195&lt;=누적시수21,21,IF(N195&lt;=누적시수22,22,IF(N195&lt;=누적시수23,23,IF(N195&lt;=누적시수24,24,IF(N195&lt;=누적시수25,25,0))))))))))))))))))))))))))</x:f>
        <x:v>3</x:v>
      </x:c>
      <x:c r="P195" s="30">
        <x:f t="shared" si="17"/>
        <x:v>6</x:v>
      </x:c>
      <x:c r="Q195" s="30">
        <x:f>COUNTIF($P$3:P195,"=3")</x:f>
        <x:v>22</x:v>
      </x:c>
      <x:c r="R195" s="29">
        <x:f>WORKDAY(기본입력!$H$2,Q195-1,공휴일)</x:f>
        <x:v>45958</x:v>
      </x:c>
    </x:row>
    <x:row r="196" spans="1:18">
      <x:c r="A196" s="145" t="str">
        <x:f t="shared" ref="A196:A259" si="22">TEXT(R196,"yyyymmdd")</x:f>
        <x:v>20251028</x:v>
      </x:c>
      <x:c r="B196" s="8" t="s">
        <x:v>5</x:v>
      </x:c>
      <x:c r="C196" s="8">
        <x:v>1740</x:v>
      </x:c>
      <x:c r="D196" s="7" t="s">
        <x:v>1</x:v>
      </x:c>
      <x:c r="E196" s="8" t="s">
        <x:v>0</x:v>
      </x:c>
      <x:c r="F196" s="8" t="s">
        <x:v>41</x:v>
      </x:c>
      <x:c r="G196" s="15" t="str">
        <x:f>IF(OR(N196="",N196&gt;기본입력!$C$34),"",VLOOKUP(O196,기본입력!$A$9:$F$33,5))</x:f>
        <x:v/>
      </x:c>
      <x:c r="H196" s="15" t="str">
        <x:f>IF(OR(N196="",N196&gt;기본입력!$C$34),"",기본입력!$C$6)</x:f>
        <x:v/>
      </x:c>
      <x:c r="I196" s="15" t="str">
        <x:f>IF(OR(O196="",N196&gt;기본입력!$C$34),"",VLOOKUP(O196,기본입력!$A$9:$F$33,6,FALSE))</x:f>
        <x:v/>
      </x:c>
      <x:c r="J196" s="38" t="str">
        <x:f t="shared" si="18"/>
        <x:v/>
      </x:c>
      <x:c r="K196" s="38" t="str">
        <x:f t="shared" si="19"/>
        <x:v/>
      </x:c>
      <x:c r="L196" s="38" t="str">
        <x:f t="shared" si="20"/>
        <x:v/>
      </x:c>
      <x:c r="M196" s="63"/>
      <x:c r="N196" s="30" t="str">
        <x:f>IF(F196="2","",COUNTIF($F$3:$F196,"=1"))</x:f>
        <x:v/>
      </x:c>
      <x:c r="O196" s="30" t="str">
        <x:f t="shared" si="21"/>
        <x:v/>
      </x:c>
      <x:c r="P196" s="30">
        <x:f t="shared" ref="P196:P259" si="23">MOD(ROW(),9)</x:f>
        <x:v>7</x:v>
      </x:c>
      <x:c r="Q196" s="30">
        <x:f>COUNTIF($P$3:P196,"=3")</x:f>
        <x:v>22</x:v>
      </x:c>
      <x:c r="R196" s="29">
        <x:f>WORKDAY(기본입력!$H$2,Q196-1,공휴일)</x:f>
        <x:v>45958</x:v>
      </x:c>
    </x:row>
    <x:row r="197" spans="1:18">
      <x:c r="A197" s="145" t="str">
        <x:f t="shared" si="22"/>
        <x:v>20251028</x:v>
      </x:c>
      <x:c r="B197" s="8" t="s">
        <x:v>5</x:v>
      </x:c>
      <x:c r="C197" s="8">
        <x:v>1740</x:v>
      </x:c>
      <x:c r="D197" s="7" t="s">
        <x:v>1</x:v>
      </x:c>
      <x:c r="E197" s="8">
        <x:v>1340</x:v>
      </x:c>
      <x:c r="F197" s="8" t="s">
        <x:v>40</x:v>
      </x:c>
      <x:c r="G197" s="15" t="str">
        <x:f>IF(OR(N197="",N197&gt;기본입력!$C$34),"",VLOOKUP(O197,기본입력!$A$9:$F$33,5))</x:f>
        <x:v>양현수_53778</x:v>
      </x:c>
      <x:c r="H197" s="15" t="str">
        <x:f>IF(OR(N197="",N197&gt;기본입력!$C$34),"",기본입력!$C$6)</x:f>
        <x:v>1교육실(실습겸용강의실)_243089</x:v>
      </x:c>
      <x:c r="I197" s="15" t="str">
        <x:f>IF(OR(O197="",N197&gt;기본입력!$C$34),"",VLOOKUP(O197,기본입력!$A$9:$F$33,6,FALSE))</x:f>
        <x:v>SQL 및 데이터 모델링__5</x:v>
      </x:c>
      <x:c r="J197" s="38" t="str">
        <x:f t="shared" si="18"/>
        <x:v>SQL 및 데이터 모델링</x:v>
      </x:c>
      <x:c r="K197" s="38" t="str">
        <x:f t="shared" si="19"/>
        <x:v>1교육실(실습겸용강의실)</x:v>
      </x:c>
      <x:c r="L197" s="38" t="str">
        <x:f t="shared" si="20"/>
        <x:v>양현수</x:v>
      </x:c>
      <x:c r="M197" s="63"/>
      <x:c r="N197" s="30">
        <x:f>IF(F197="2","",COUNTIF($F$3:$F197,"=1"))</x:f>
        <x:v>173</x:v>
      </x:c>
      <x:c r="O197" s="30">
        <x:f t="shared" si="21"/>
        <x:v>3</x:v>
      </x:c>
      <x:c r="P197" s="30">
        <x:f t="shared" si="23"/>
        <x:v>8</x:v>
      </x:c>
      <x:c r="Q197" s="30">
        <x:f>COUNTIF($P$3:P197,"=3")</x:f>
        <x:v>22</x:v>
      </x:c>
      <x:c r="R197" s="29">
        <x:f>WORKDAY(기본입력!$H$2,Q197-1,공휴일)</x:f>
        <x:v>45958</x:v>
      </x:c>
    </x:row>
    <x:row r="198" spans="1:18">
      <x:c r="A198" s="145" t="str">
        <x:f t="shared" si="22"/>
        <x:v>20251028</x:v>
      </x:c>
      <x:c r="B198" s="8" t="s">
        <x:v>5</x:v>
      </x:c>
      <x:c r="C198" s="8">
        <x:v>1740</x:v>
      </x:c>
      <x:c r="D198" s="7" t="s">
        <x:v>1</x:v>
      </x:c>
      <x:c r="E198" s="8">
        <x:v>1440</x:v>
      </x:c>
      <x:c r="F198" s="8" t="s">
        <x:v>40</x:v>
      </x:c>
      <x:c r="G198" s="15" t="str">
        <x:f>IF(OR(N198="",N198&gt;기본입력!$C$34),"",VLOOKUP(O198,기본입력!$A$9:$F$33,5))</x:f>
        <x:v>양현수_53778</x:v>
      </x:c>
      <x:c r="H198" s="15" t="str">
        <x:f>IF(OR(N198="",N198&gt;기본입력!$C$34),"",기본입력!$C$6)</x:f>
        <x:v>1교육실(실습겸용강의실)_243089</x:v>
      </x:c>
      <x:c r="I198" s="15" t="str">
        <x:f>IF(OR(O198="",N198&gt;기본입력!$C$34),"",VLOOKUP(O198,기본입력!$A$9:$F$33,6,FALSE))</x:f>
        <x:v>SQL 및 데이터 모델링__5</x:v>
      </x:c>
      <x:c r="J198" s="38" t="str">
        <x:f t="shared" si="18"/>
        <x:v>SQL 및 데이터 모델링</x:v>
      </x:c>
      <x:c r="K198" s="38" t="str">
        <x:f t="shared" si="19"/>
        <x:v>1교육실(실습겸용강의실)</x:v>
      </x:c>
      <x:c r="L198" s="38" t="str">
        <x:f t="shared" si="20"/>
        <x:v>양현수</x:v>
      </x:c>
      <x:c r="M198" s="63"/>
      <x:c r="N198" s="30">
        <x:f>IF(F198="2","",COUNTIF($F$3:$F198,"=1"))</x:f>
        <x:v>174</x:v>
      </x:c>
      <x:c r="O198" s="30">
        <x:f t="shared" si="21"/>
        <x:v>3</x:v>
      </x:c>
      <x:c r="P198" s="30">
        <x:f t="shared" si="23"/>
        <x:v>0</x:v>
      </x:c>
      <x:c r="Q198" s="30">
        <x:f>COUNTIF($P$3:P198,"=3")</x:f>
        <x:v>22</x:v>
      </x:c>
      <x:c r="R198" s="29">
        <x:f>WORKDAY(기본입력!$H$2,Q198-1,공휴일)</x:f>
        <x:v>45958</x:v>
      </x:c>
    </x:row>
    <x:row r="199" spans="1:18">
      <x:c r="A199" s="145" t="str">
        <x:f t="shared" si="22"/>
        <x:v>20251028</x:v>
      </x:c>
      <x:c r="B199" s="8" t="s">
        <x:v>5</x:v>
      </x:c>
      <x:c r="C199" s="8">
        <x:v>1740</x:v>
      </x:c>
      <x:c r="D199" s="7" t="s">
        <x:v>1</x:v>
      </x:c>
      <x:c r="E199" s="8">
        <x:v>1540</x:v>
      </x:c>
      <x:c r="F199" s="8" t="s">
        <x:v>40</x:v>
      </x:c>
      <x:c r="G199" s="15" t="str">
        <x:f>IF(OR(N199="",N199&gt;기본입력!$C$34),"",VLOOKUP(O199,기본입력!$A$9:$F$33,5))</x:f>
        <x:v>양현수_53778</x:v>
      </x:c>
      <x:c r="H199" s="15" t="str">
        <x:f>IF(OR(N199="",N199&gt;기본입력!$C$34),"",기본입력!$C$6)</x:f>
        <x:v>1교육실(실습겸용강의실)_243089</x:v>
      </x:c>
      <x:c r="I199" s="15" t="str">
        <x:f>IF(OR(O199="",N199&gt;기본입력!$C$34),"",VLOOKUP(O199,기본입력!$A$9:$F$33,6,FALSE))</x:f>
        <x:v>SQL 및 데이터 모델링__5</x:v>
      </x:c>
      <x:c r="J199" s="38" t="str">
        <x:f t="shared" si="18"/>
        <x:v>SQL 및 데이터 모델링</x:v>
      </x:c>
      <x:c r="K199" s="38" t="str">
        <x:f t="shared" si="19"/>
        <x:v>1교육실(실습겸용강의실)</x:v>
      </x:c>
      <x:c r="L199" s="38" t="str">
        <x:f t="shared" si="20"/>
        <x:v>양현수</x:v>
      </x:c>
      <x:c r="M199" s="63"/>
      <x:c r="N199" s="30">
        <x:f>IF(F199="2","",COUNTIF($F$3:$F199,"=1"))</x:f>
        <x:v>175</x:v>
      </x:c>
      <x:c r="O199" s="30">
        <x:f t="shared" si="21"/>
        <x:v>3</x:v>
      </x:c>
      <x:c r="P199" s="30">
        <x:f t="shared" si="23"/>
        <x:v>1</x:v>
      </x:c>
      <x:c r="Q199" s="30">
        <x:f>COUNTIF($P$3:P199,"=3")</x:f>
        <x:v>22</x:v>
      </x:c>
      <x:c r="R199" s="29">
        <x:f>WORKDAY(기본입력!$H$2,Q199-1,공휴일)</x:f>
        <x:v>45958</x:v>
      </x:c>
    </x:row>
    <x:row r="200" spans="1:18">
      <x:c r="A200" s="145" t="str">
        <x:f t="shared" si="22"/>
        <x:v>20251028</x:v>
      </x:c>
      <x:c r="B200" s="8" t="s">
        <x:v>5</x:v>
      </x:c>
      <x:c r="C200" s="8">
        <x:v>1740</x:v>
      </x:c>
      <x:c r="D200" s="7" t="s">
        <x:v>1</x:v>
      </x:c>
      <x:c r="E200" s="8">
        <x:v>1640</x:v>
      </x:c>
      <x:c r="F200" s="8" t="s">
        <x:v>40</x:v>
      </x:c>
      <x:c r="G200" s="15" t="str">
        <x:f>IF(OR(N200="",N200&gt;기본입력!$C$34),"",VLOOKUP(O200,기본입력!$A$9:$F$33,5))</x:f>
        <x:v>양현수_53778</x:v>
      </x:c>
      <x:c r="H200" s="15" t="str">
        <x:f>IF(OR(N200="",N200&gt;기본입력!$C$34),"",기본입력!$C$6)</x:f>
        <x:v>1교육실(실습겸용강의실)_243089</x:v>
      </x:c>
      <x:c r="I200" s="15" t="str">
        <x:f>IF(OR(O200="",N200&gt;기본입력!$C$34),"",VLOOKUP(O200,기본입력!$A$9:$F$33,6,FALSE))</x:f>
        <x:v>SQL 및 데이터 모델링__5</x:v>
      </x:c>
      <x:c r="J200" s="38" t="str">
        <x:f t="shared" si="18"/>
        <x:v>SQL 및 데이터 모델링</x:v>
      </x:c>
      <x:c r="K200" s="38" t="str">
        <x:f t="shared" si="19"/>
        <x:v>1교육실(실습겸용강의실)</x:v>
      </x:c>
      <x:c r="L200" s="38" t="str">
        <x:f t="shared" si="20"/>
        <x:v>양현수</x:v>
      </x:c>
      <x:c r="M200" s="63"/>
      <x:c r="N200" s="30">
        <x:f>IF(F200="2","",COUNTIF($F$3:$F200,"=1"))</x:f>
        <x:v>176</x:v>
      </x:c>
      <x:c r="O200" s="30">
        <x:f t="shared" si="21"/>
        <x:v>3</x:v>
      </x:c>
      <x:c r="P200" s="30">
        <x:f t="shared" si="23"/>
        <x:v>2</x:v>
      </x:c>
      <x:c r="Q200" s="30">
        <x:f>COUNTIF($P$3:P200,"=3")</x:f>
        <x:v>22</x:v>
      </x:c>
      <x:c r="R200" s="29">
        <x:f>WORKDAY(기본입력!$H$2,Q200-1,공휴일)</x:f>
        <x:v>45958</x:v>
      </x:c>
    </x:row>
    <x:row r="201" spans="1:18">
      <x:c r="A201" s="144" t="str">
        <x:f t="shared" si="22"/>
        <x:v>20251029</x:v>
      </x:c>
      <x:c r="B201" s="6" t="s">
        <x:v>5</x:v>
      </x:c>
      <x:c r="C201" s="6">
        <x:v>1740</x:v>
      </x:c>
      <x:c r="D201" s="5" t="s">
        <x:v>1</x:v>
      </x:c>
      <x:c r="E201" s="6" t="s">
        <x:v>5</x:v>
      </x:c>
      <x:c r="F201" s="6" t="s">
        <x:v>40</x:v>
      </x:c>
      <x:c r="G201" s="14" t="str">
        <x:f>IF(OR(N201="",N201&gt;기본입력!$C$34),"",VLOOKUP(O201,기본입력!$A$9:$F$33,5))</x:f>
        <x:v>양현수_53778</x:v>
      </x:c>
      <x:c r="H201" s="14" t="str">
        <x:f>IF(OR(N201="",N201&gt;기본입력!$C$34),"",기본입력!$C$6)</x:f>
        <x:v>1교육실(실습겸용강의실)_243089</x:v>
      </x:c>
      <x:c r="I201" s="14" t="str">
        <x:f>IF(OR(O201="",N201&gt;기본입력!$C$34),"",VLOOKUP(O201,기본입력!$A$9:$F$33,6,FALSE))</x:f>
        <x:v>SQL 및 데이터 모델링__5</x:v>
      </x:c>
      <x:c r="J201" s="38" t="str">
        <x:f t="shared" si="18"/>
        <x:v>SQL 및 데이터 모델링</x:v>
      </x:c>
      <x:c r="K201" s="38" t="str">
        <x:f t="shared" si="19"/>
        <x:v>1교육실(실습겸용강의실)</x:v>
      </x:c>
      <x:c r="L201" s="38" t="str">
        <x:f t="shared" si="20"/>
        <x:v>양현수</x:v>
      </x:c>
      <x:c r="M201" s="63"/>
      <x:c r="N201" s="30">
        <x:f>IF(F201="2","",COUNTIF($F$3:$F201,"=1"))</x:f>
        <x:v>177</x:v>
      </x:c>
      <x:c r="O201" s="30">
        <x:f t="shared" si="21"/>
        <x:v>3</x:v>
      </x:c>
      <x:c r="P201" s="30">
        <x:f t="shared" si="23"/>
        <x:v>3</x:v>
      </x:c>
      <x:c r="Q201" s="30">
        <x:f>COUNTIF($P$3:P201,"=3")</x:f>
        <x:v>23</x:v>
      </x:c>
      <x:c r="R201" s="29">
        <x:f>WORKDAY(기본입력!$H$2,Q201-1,공휴일)</x:f>
        <x:v>45959</x:v>
      </x:c>
    </x:row>
    <x:row r="202" spans="1:18">
      <x:c r="A202" s="144" t="str">
        <x:f t="shared" si="22"/>
        <x:v>20251029</x:v>
      </x:c>
      <x:c r="B202" s="6" t="s">
        <x:v>5</x:v>
      </x:c>
      <x:c r="C202" s="6">
        <x:v>1740</x:v>
      </x:c>
      <x:c r="D202" s="5" t="s">
        <x:v>1</x:v>
      </x:c>
      <x:c r="E202" s="6" t="s">
        <x:v>117</x:v>
      </x:c>
      <x:c r="F202" s="6" t="s">
        <x:v>40</x:v>
      </x:c>
      <x:c r="G202" s="14" t="str">
        <x:f>IF(OR(N202="",N202&gt;기본입력!$C$34),"",VLOOKUP(O202,기본입력!$A$9:$F$33,5))</x:f>
        <x:v>양현수_53778</x:v>
      </x:c>
      <x:c r="H202" s="14" t="str">
        <x:f>IF(OR(N202="",N202&gt;기본입력!$C$34),"",기본입력!$C$6)</x:f>
        <x:v>1교육실(실습겸용강의실)_243089</x:v>
      </x:c>
      <x:c r="I202" s="14" t="str">
        <x:f>IF(OR(O202="",N202&gt;기본입력!$C$34),"",VLOOKUP(O202,기본입력!$A$9:$F$33,6,FALSE))</x:f>
        <x:v>SQL 및 데이터 모델링__5</x:v>
      </x:c>
      <x:c r="J202" s="38" t="str">
        <x:f t="shared" si="18"/>
        <x:v>SQL 및 데이터 모델링</x:v>
      </x:c>
      <x:c r="K202" s="38" t="str">
        <x:f t="shared" si="19"/>
        <x:v>1교육실(실습겸용강의실)</x:v>
      </x:c>
      <x:c r="L202" s="38" t="str">
        <x:f t="shared" si="20"/>
        <x:v>양현수</x:v>
      </x:c>
      <x:c r="M202" s="63"/>
      <x:c r="N202" s="30">
        <x:f>IF(F202="2","",COUNTIF($F$3:$F202,"=1"))</x:f>
        <x:v>178</x:v>
      </x:c>
      <x:c r="O202" s="30">
        <x:f t="shared" si="21"/>
        <x:v>3</x:v>
      </x:c>
      <x:c r="P202" s="30">
        <x:f t="shared" si="23"/>
        <x:v>4</x:v>
      </x:c>
      <x:c r="Q202" s="30">
        <x:f>COUNTIF($P$3:P202,"=3")</x:f>
        <x:v>23</x:v>
      </x:c>
      <x:c r="R202" s="29">
        <x:f>WORKDAY(기본입력!$H$2,Q202-1,공휴일)</x:f>
        <x:v>45959</x:v>
      </x:c>
    </x:row>
    <x:row r="203" spans="1:18">
      <x:c r="A203" s="144" t="str">
        <x:f t="shared" si="22"/>
        <x:v>20251029</x:v>
      </x:c>
      <x:c r="B203" s="6" t="s">
        <x:v>5</x:v>
      </x:c>
      <x:c r="C203" s="6">
        <x:v>1740</x:v>
      </x:c>
      <x:c r="D203" s="5" t="s">
        <x:v>1</x:v>
      </x:c>
      <x:c r="E203" s="6" t="s">
        <x:v>87</x:v>
      </x:c>
      <x:c r="F203" s="6" t="s">
        <x:v>40</x:v>
      </x:c>
      <x:c r="G203" s="14" t="str">
        <x:f>IF(OR(N203="",N203&gt;기본입력!$C$34),"",VLOOKUP(O203,기본입력!$A$9:$F$33,5))</x:f>
        <x:v>양현수_53778</x:v>
      </x:c>
      <x:c r="H203" s="14" t="str">
        <x:f>IF(OR(N203="",N203&gt;기본입력!$C$34),"",기본입력!$C$6)</x:f>
        <x:v>1교육실(실습겸용강의실)_243089</x:v>
      </x:c>
      <x:c r="I203" s="14" t="str">
        <x:f>IF(OR(O203="",N203&gt;기본입력!$C$34),"",VLOOKUP(O203,기본입력!$A$9:$F$33,6,FALSE))</x:f>
        <x:v>SQL 및 데이터 모델링__5</x:v>
      </x:c>
      <x:c r="J203" s="38" t="str">
        <x:f t="shared" si="18"/>
        <x:v>SQL 및 데이터 모델링</x:v>
      </x:c>
      <x:c r="K203" s="38" t="str">
        <x:f t="shared" si="19"/>
        <x:v>1교육실(실습겸용강의실)</x:v>
      </x:c>
      <x:c r="L203" s="38" t="str">
        <x:f t="shared" si="20"/>
        <x:v>양현수</x:v>
      </x:c>
      <x:c r="M203" s="63"/>
      <x:c r="N203" s="30">
        <x:f>IF(F203="2","",COUNTIF($F$3:$F203,"=1"))</x:f>
        <x:v>179</x:v>
      </x:c>
      <x:c r="O203" s="30">
        <x:f t="shared" si="21"/>
        <x:v>3</x:v>
      </x:c>
      <x:c r="P203" s="30">
        <x:f t="shared" si="23"/>
        <x:v>5</x:v>
      </x:c>
      <x:c r="Q203" s="30">
        <x:f>COUNTIF($P$3:P203,"=3")</x:f>
        <x:v>23</x:v>
      </x:c>
      <x:c r="R203" s="29">
        <x:f>WORKDAY(기본입력!$H$2,Q203-1,공휴일)</x:f>
        <x:v>45959</x:v>
      </x:c>
    </x:row>
    <x:row r="204" spans="1:18">
      <x:c r="A204" s="144" t="str">
        <x:f t="shared" si="22"/>
        <x:v>20251029</x:v>
      </x:c>
      <x:c r="B204" s="6" t="s">
        <x:v>5</x:v>
      </x:c>
      <x:c r="C204" s="6">
        <x:v>1740</x:v>
      </x:c>
      <x:c r="D204" s="5" t="s">
        <x:v>1</x:v>
      </x:c>
      <x:c r="E204" s="6" t="s">
        <x:v>88</x:v>
      </x:c>
      <x:c r="F204" s="6" t="s">
        <x:v>40</x:v>
      </x:c>
      <x:c r="G204" s="14" t="str">
        <x:f>IF(OR(N204="",N204&gt;기본입력!$C$34),"",VLOOKUP(O204,기본입력!$A$9:$F$33,5))</x:f>
        <x:v>양현수_53778</x:v>
      </x:c>
      <x:c r="H204" s="14" t="str">
        <x:f>IF(OR(N204="",N204&gt;기본입력!$C$34),"",기본입력!$C$6)</x:f>
        <x:v>1교육실(실습겸용강의실)_243089</x:v>
      </x:c>
      <x:c r="I204" s="14" t="str">
        <x:f>IF(OR(O204="",N204&gt;기본입력!$C$34),"",VLOOKUP(O204,기본입력!$A$9:$F$33,6,FALSE))</x:f>
        <x:v>SQL 및 데이터 모델링__5</x:v>
      </x:c>
      <x:c r="J204" s="38" t="str">
        <x:f t="shared" si="18"/>
        <x:v>SQL 및 데이터 모델링</x:v>
      </x:c>
      <x:c r="K204" s="38" t="str">
        <x:f t="shared" si="19"/>
        <x:v>1교육실(실습겸용강의실)</x:v>
      </x:c>
      <x:c r="L204" s="38" t="str">
        <x:f t="shared" si="20"/>
        <x:v>양현수</x:v>
      </x:c>
      <x:c r="M204" s="63"/>
      <x:c r="N204" s="30">
        <x:f>IF(F204="2","",COUNTIF($F$3:$F204,"=1"))</x:f>
        <x:v>180</x:v>
      </x:c>
      <x:c r="O204" s="30">
        <x:f t="shared" si="21"/>
        <x:v>3</x:v>
      </x:c>
      <x:c r="P204" s="30">
        <x:f t="shared" si="23"/>
        <x:v>6</x:v>
      </x:c>
      <x:c r="Q204" s="30">
        <x:f>COUNTIF($P$3:P204,"=3")</x:f>
        <x:v>23</x:v>
      </x:c>
      <x:c r="R204" s="29">
        <x:f>WORKDAY(기본입력!$H$2,Q204-1,공휴일)</x:f>
        <x:v>45959</x:v>
      </x:c>
    </x:row>
    <x:row r="205" spans="1:18">
      <x:c r="A205" s="144" t="str">
        <x:f t="shared" si="22"/>
        <x:v>20251029</x:v>
      </x:c>
      <x:c r="B205" s="6" t="s">
        <x:v>5</x:v>
      </x:c>
      <x:c r="C205" s="6">
        <x:v>1740</x:v>
      </x:c>
      <x:c r="D205" s="5" t="s">
        <x:v>1</x:v>
      </x:c>
      <x:c r="E205" s="6" t="s">
        <x:v>0</x:v>
      </x:c>
      <x:c r="F205" s="6" t="s">
        <x:v>41</x:v>
      </x:c>
      <x:c r="G205" s="14" t="str">
        <x:f>IF(OR(N205="",N205&gt;기본입력!$C$34),"",VLOOKUP(O205,기본입력!$A$9:$F$33,5))</x:f>
        <x:v/>
      </x:c>
      <x:c r="H205" s="14" t="str">
        <x:f>IF(OR(N205="",N205&gt;기본입력!$C$34),"",기본입력!$C$6)</x:f>
        <x:v/>
      </x:c>
      <x:c r="I205" s="14" t="str">
        <x:f>IF(OR(O205="",N205&gt;기본입력!$C$34),"",VLOOKUP(O205,기본입력!$A$9:$F$33,6,FALSE))</x:f>
        <x:v/>
      </x:c>
      <x:c r="J205" s="38" t="str">
        <x:f t="shared" si="18"/>
        <x:v/>
      </x:c>
      <x:c r="K205" s="38" t="str">
        <x:f t="shared" si="19"/>
        <x:v/>
      </x:c>
      <x:c r="L205" s="38" t="str">
        <x:f t="shared" si="20"/>
        <x:v/>
      </x:c>
      <x:c r="M205" s="63"/>
      <x:c r="N205" s="30" t="str">
        <x:f>IF(F205="2","",COUNTIF($F$3:$F205,"=1"))</x:f>
        <x:v/>
      </x:c>
      <x:c r="O205" s="30" t="str">
        <x:f t="shared" si="21"/>
        <x:v/>
      </x:c>
      <x:c r="P205" s="30">
        <x:f t="shared" si="23"/>
        <x:v>7</x:v>
      </x:c>
      <x:c r="Q205" s="30">
        <x:f>COUNTIF($P$3:P205,"=3")</x:f>
        <x:v>23</x:v>
      </x:c>
      <x:c r="R205" s="29">
        <x:f>WORKDAY(기본입력!$H$2,Q205-1,공휴일)</x:f>
        <x:v>45959</x:v>
      </x:c>
    </x:row>
    <x:row r="206" spans="1:18">
      <x:c r="A206" s="144" t="str">
        <x:f t="shared" si="22"/>
        <x:v>20251029</x:v>
      </x:c>
      <x:c r="B206" s="6" t="s">
        <x:v>5</x:v>
      </x:c>
      <x:c r="C206" s="6">
        <x:v>1740</x:v>
      </x:c>
      <x:c r="D206" s="5" t="s">
        <x:v>1</x:v>
      </x:c>
      <x:c r="E206" s="6">
        <x:v>1340</x:v>
      </x:c>
      <x:c r="F206" s="6" t="s">
        <x:v>40</x:v>
      </x:c>
      <x:c r="G206" s="14" t="str">
        <x:f>IF(OR(N206="",N206&gt;기본입력!$C$34),"",VLOOKUP(O206,기본입력!$A$9:$F$33,5))</x:f>
        <x:v>양현수_53778</x:v>
      </x:c>
      <x:c r="H206" s="14" t="str">
        <x:f>IF(OR(N206="",N206&gt;기본입력!$C$34),"",기본입력!$C$6)</x:f>
        <x:v>1교육실(실습겸용강의실)_243089</x:v>
      </x:c>
      <x:c r="I206" s="14" t="str">
        <x:f>IF(OR(O206="",N206&gt;기본입력!$C$34),"",VLOOKUP(O206,기본입력!$A$9:$F$33,6,FALSE))</x:f>
        <x:v>SQL 및 데이터 모델링__5</x:v>
      </x:c>
      <x:c r="J206" s="38" t="str">
        <x:f t="shared" si="18"/>
        <x:v>SQL 및 데이터 모델링</x:v>
      </x:c>
      <x:c r="K206" s="38" t="str">
        <x:f t="shared" si="19"/>
        <x:v>1교육실(실습겸용강의실)</x:v>
      </x:c>
      <x:c r="L206" s="38" t="str">
        <x:f t="shared" si="20"/>
        <x:v>양현수</x:v>
      </x:c>
      <x:c r="M206" s="63"/>
      <x:c r="N206" s="30">
        <x:f>IF(F206="2","",COUNTIF($F$3:$F206,"=1"))</x:f>
        <x:v>181</x:v>
      </x:c>
      <x:c r="O206" s="30">
        <x:f t="shared" si="21"/>
        <x:v>3</x:v>
      </x:c>
      <x:c r="P206" s="30">
        <x:f t="shared" si="23"/>
        <x:v>8</x:v>
      </x:c>
      <x:c r="Q206" s="30">
        <x:f>COUNTIF($P$3:P206,"=3")</x:f>
        <x:v>23</x:v>
      </x:c>
      <x:c r="R206" s="29">
        <x:f>WORKDAY(기본입력!$H$2,Q206-1,공휴일)</x:f>
        <x:v>45959</x:v>
      </x:c>
    </x:row>
    <x:row r="207" spans="1:18">
      <x:c r="A207" s="144" t="str">
        <x:f t="shared" si="22"/>
        <x:v>20251029</x:v>
      </x:c>
      <x:c r="B207" s="6" t="s">
        <x:v>5</x:v>
      </x:c>
      <x:c r="C207" s="6">
        <x:v>1740</x:v>
      </x:c>
      <x:c r="D207" s="5" t="s">
        <x:v>1</x:v>
      </x:c>
      <x:c r="E207" s="6">
        <x:v>1440</x:v>
      </x:c>
      <x:c r="F207" s="6" t="s">
        <x:v>40</x:v>
      </x:c>
      <x:c r="G207" s="14" t="str">
        <x:f>IF(OR(N207="",N207&gt;기본입력!$C$34),"",VLOOKUP(O207,기본입력!$A$9:$F$33,5))</x:f>
        <x:v>양현수_53778</x:v>
      </x:c>
      <x:c r="H207" s="14" t="str">
        <x:f>IF(OR(N207="",N207&gt;기본입력!$C$34),"",기본입력!$C$6)</x:f>
        <x:v>1교육실(실습겸용강의실)_243089</x:v>
      </x:c>
      <x:c r="I207" s="14" t="str">
        <x:f>IF(OR(O207="",N207&gt;기본입력!$C$34),"",VLOOKUP(O207,기본입력!$A$9:$F$33,6,FALSE))</x:f>
        <x:v>SQL 및 데이터 모델링__5</x:v>
      </x:c>
      <x:c r="J207" s="38" t="str">
        <x:f t="shared" si="18"/>
        <x:v>SQL 및 데이터 모델링</x:v>
      </x:c>
      <x:c r="K207" s="38" t="str">
        <x:f t="shared" si="19"/>
        <x:v>1교육실(실습겸용강의실)</x:v>
      </x:c>
      <x:c r="L207" s="38" t="str">
        <x:f t="shared" si="20"/>
        <x:v>양현수</x:v>
      </x:c>
      <x:c r="M207" s="63"/>
      <x:c r="N207" s="30">
        <x:f>IF(F207="2","",COUNTIF($F$3:$F207,"=1"))</x:f>
        <x:v>182</x:v>
      </x:c>
      <x:c r="O207" s="30">
        <x:f t="shared" si="21"/>
        <x:v>3</x:v>
      </x:c>
      <x:c r="P207" s="30">
        <x:f t="shared" si="23"/>
        <x:v>0</x:v>
      </x:c>
      <x:c r="Q207" s="30">
        <x:f>COUNTIF($P$3:P207,"=3")</x:f>
        <x:v>23</x:v>
      </x:c>
      <x:c r="R207" s="29">
        <x:f>WORKDAY(기본입력!$H$2,Q207-1,공휴일)</x:f>
        <x:v>45959</x:v>
      </x:c>
    </x:row>
    <x:row r="208" spans="1:18">
      <x:c r="A208" s="144" t="str">
        <x:f t="shared" si="22"/>
        <x:v>20251029</x:v>
      </x:c>
      <x:c r="B208" s="6" t="s">
        <x:v>5</x:v>
      </x:c>
      <x:c r="C208" s="6">
        <x:v>1740</x:v>
      </x:c>
      <x:c r="D208" s="5" t="s">
        <x:v>1</x:v>
      </x:c>
      <x:c r="E208" s="6">
        <x:v>1540</x:v>
      </x:c>
      <x:c r="F208" s="6" t="s">
        <x:v>40</x:v>
      </x:c>
      <x:c r="G208" s="14" t="str">
        <x:f>IF(OR(N208="",N208&gt;기본입력!$C$34),"",VLOOKUP(O208,기본입력!$A$9:$F$33,5))</x:f>
        <x:v>양현수_53778</x:v>
      </x:c>
      <x:c r="H208" s="14" t="str">
        <x:f>IF(OR(N208="",N208&gt;기본입력!$C$34),"",기본입력!$C$6)</x:f>
        <x:v>1교육실(실습겸용강의실)_243089</x:v>
      </x:c>
      <x:c r="I208" s="14" t="str">
        <x:f>IF(OR(O208="",N208&gt;기본입력!$C$34),"",VLOOKUP(O208,기본입력!$A$9:$F$33,6,FALSE))</x:f>
        <x:v>SQL 및 데이터 모델링__5</x:v>
      </x:c>
      <x:c r="J208" s="38" t="str">
        <x:f t="shared" si="18"/>
        <x:v>SQL 및 데이터 모델링</x:v>
      </x:c>
      <x:c r="K208" s="38" t="str">
        <x:f t="shared" si="19"/>
        <x:v>1교육실(실습겸용강의실)</x:v>
      </x:c>
      <x:c r="L208" s="38" t="str">
        <x:f t="shared" si="20"/>
        <x:v>양현수</x:v>
      </x:c>
      <x:c r="M208" s="63"/>
      <x:c r="N208" s="30">
        <x:f>IF(F208="2","",COUNTIF($F$3:$F208,"=1"))</x:f>
        <x:v>183</x:v>
      </x:c>
      <x:c r="O208" s="30">
        <x:f t="shared" si="21"/>
        <x:v>3</x:v>
      </x:c>
      <x:c r="P208" s="30">
        <x:f t="shared" si="23"/>
        <x:v>1</x:v>
      </x:c>
      <x:c r="Q208" s="30">
        <x:f>COUNTIF($P$3:P208,"=3")</x:f>
        <x:v>23</x:v>
      </x:c>
      <x:c r="R208" s="29">
        <x:f>WORKDAY(기본입력!$H$2,Q208-1,공휴일)</x:f>
        <x:v>45959</x:v>
      </x:c>
    </x:row>
    <x:row r="209" spans="1:18">
      <x:c r="A209" s="144" t="str">
        <x:f t="shared" si="22"/>
        <x:v>20251029</x:v>
      </x:c>
      <x:c r="B209" s="6" t="s">
        <x:v>5</x:v>
      </x:c>
      <x:c r="C209" s="6">
        <x:v>1740</x:v>
      </x:c>
      <x:c r="D209" s="5" t="s">
        <x:v>1</x:v>
      </x:c>
      <x:c r="E209" s="6">
        <x:v>1640</x:v>
      </x:c>
      <x:c r="F209" s="6" t="s">
        <x:v>40</x:v>
      </x:c>
      <x:c r="G209" s="14" t="str">
        <x:f>IF(OR(N209="",N209&gt;기본입력!$C$34),"",VLOOKUP(O209,기본입력!$A$9:$F$33,5))</x:f>
        <x:v>양현수_53778</x:v>
      </x:c>
      <x:c r="H209" s="14" t="str">
        <x:f>IF(OR(N209="",N209&gt;기본입력!$C$34),"",기본입력!$C$6)</x:f>
        <x:v>1교육실(실습겸용강의실)_243089</x:v>
      </x:c>
      <x:c r="I209" s="14" t="str">
        <x:f>IF(OR(O209="",N209&gt;기본입력!$C$34),"",VLOOKUP(O209,기본입력!$A$9:$F$33,6,FALSE))</x:f>
        <x:v>SQL 및 데이터 모델링__5</x:v>
      </x:c>
      <x:c r="J209" s="38" t="str">
        <x:f t="shared" si="18"/>
        <x:v>SQL 및 데이터 모델링</x:v>
      </x:c>
      <x:c r="K209" s="38" t="str">
        <x:f t="shared" si="19"/>
        <x:v>1교육실(실습겸용강의실)</x:v>
      </x:c>
      <x:c r="L209" s="38" t="str">
        <x:f t="shared" si="20"/>
        <x:v>양현수</x:v>
      </x:c>
      <x:c r="M209" s="63"/>
      <x:c r="N209" s="30">
        <x:f>IF(F209="2","",COUNTIF($F$3:$F209,"=1"))</x:f>
        <x:v>184</x:v>
      </x:c>
      <x:c r="O209" s="30">
        <x:f t="shared" si="21"/>
        <x:v>3</x:v>
      </x:c>
      <x:c r="P209" s="30">
        <x:f t="shared" si="23"/>
        <x:v>2</x:v>
      </x:c>
      <x:c r="Q209" s="30">
        <x:f>COUNTIF($P$3:P209,"=3")</x:f>
        <x:v>23</x:v>
      </x:c>
      <x:c r="R209" s="29">
        <x:f>WORKDAY(기본입력!$H$2,Q209-1,공휴일)</x:f>
        <x:v>45959</x:v>
      </x:c>
    </x:row>
    <x:row r="210" spans="1:18">
      <x:c r="A210" s="145" t="str">
        <x:f t="shared" si="22"/>
        <x:v>20251030</x:v>
      </x:c>
      <x:c r="B210" s="8" t="s">
        <x:v>5</x:v>
      </x:c>
      <x:c r="C210" s="8">
        <x:v>1740</x:v>
      </x:c>
      <x:c r="D210" s="7" t="s">
        <x:v>1</x:v>
      </x:c>
      <x:c r="E210" s="8" t="s">
        <x:v>5</x:v>
      </x:c>
      <x:c r="F210" s="8" t="s">
        <x:v>40</x:v>
      </x:c>
      <x:c r="G210" s="15" t="str">
        <x:f>IF(OR(N210="",N210&gt;기본입력!$C$34),"",VLOOKUP(O210,기본입력!$A$9:$F$33,5))</x:f>
        <x:v>양현수_53778</x:v>
      </x:c>
      <x:c r="H210" s="15" t="str">
        <x:f>IF(OR(N210="",N210&gt;기본입력!$C$34),"",기본입력!$C$6)</x:f>
        <x:v>1교육실(실습겸용강의실)_243089</x:v>
      </x:c>
      <x:c r="I210" s="15" t="str">
        <x:f>IF(OR(O210="",N210&gt;기본입력!$C$34),"",VLOOKUP(O210,기본입력!$A$9:$F$33,6,FALSE))</x:f>
        <x:v>SQL 및 데이터 모델링__5</x:v>
      </x:c>
      <x:c r="J210" s="38" t="str">
        <x:f t="shared" si="18"/>
        <x:v>SQL 및 데이터 모델링</x:v>
      </x:c>
      <x:c r="K210" s="38" t="str">
        <x:f t="shared" si="19"/>
        <x:v>1교육실(실습겸용강의실)</x:v>
      </x:c>
      <x:c r="L210" s="38" t="str">
        <x:f t="shared" si="20"/>
        <x:v>양현수</x:v>
      </x:c>
      <x:c r="M210" s="63"/>
      <x:c r="N210" s="30">
        <x:f>IF(F210="2","",COUNTIF($F$3:$F210,"=1"))</x:f>
        <x:v>185</x:v>
      </x:c>
      <x:c r="O210" s="30">
        <x:f t="shared" si="21"/>
        <x:v>3</x:v>
      </x:c>
      <x:c r="P210" s="30">
        <x:f t="shared" si="23"/>
        <x:v>3</x:v>
      </x:c>
      <x:c r="Q210" s="30">
        <x:f>COUNTIF($P$3:P210,"=3")</x:f>
        <x:v>24</x:v>
      </x:c>
      <x:c r="R210" s="29">
        <x:f>WORKDAY(기본입력!$H$2,Q210-1,공휴일)</x:f>
        <x:v>45960</x:v>
      </x:c>
    </x:row>
    <x:row r="211" spans="1:18">
      <x:c r="A211" s="145" t="str">
        <x:f t="shared" si="22"/>
        <x:v>20251030</x:v>
      </x:c>
      <x:c r="B211" s="8" t="s">
        <x:v>5</x:v>
      </x:c>
      <x:c r="C211" s="8">
        <x:v>1740</x:v>
      </x:c>
      <x:c r="D211" s="7" t="s">
        <x:v>1</x:v>
      </x:c>
      <x:c r="E211" s="8" t="s">
        <x:v>117</x:v>
      </x:c>
      <x:c r="F211" s="8" t="s">
        <x:v>40</x:v>
      </x:c>
      <x:c r="G211" s="15" t="str">
        <x:f>IF(OR(N211="",N211&gt;기본입력!$C$34),"",VLOOKUP(O211,기본입력!$A$9:$F$33,5))</x:f>
        <x:v>양현수_53778</x:v>
      </x:c>
      <x:c r="H211" s="15" t="str">
        <x:f>IF(OR(N211="",N211&gt;기본입력!$C$34),"",기본입력!$C$6)</x:f>
        <x:v>1교육실(실습겸용강의실)_243089</x:v>
      </x:c>
      <x:c r="I211" s="15" t="str">
        <x:f>IF(OR(O211="",N211&gt;기본입력!$C$34),"",VLOOKUP(O211,기본입력!$A$9:$F$33,6,FALSE))</x:f>
        <x:v>SQL 및 데이터 모델링__5</x:v>
      </x:c>
      <x:c r="J211" s="38" t="str">
        <x:f t="shared" si="18"/>
        <x:v>SQL 및 데이터 모델링</x:v>
      </x:c>
      <x:c r="K211" s="38" t="str">
        <x:f t="shared" si="19"/>
        <x:v>1교육실(실습겸용강의실)</x:v>
      </x:c>
      <x:c r="L211" s="38" t="str">
        <x:f t="shared" si="20"/>
        <x:v>양현수</x:v>
      </x:c>
      <x:c r="M211" s="63"/>
      <x:c r="N211" s="30">
        <x:f>IF(F211="2","",COUNTIF($F$3:$F211,"=1"))</x:f>
        <x:v>186</x:v>
      </x:c>
      <x:c r="O211" s="30">
        <x:f t="shared" si="21"/>
        <x:v>3</x:v>
      </x:c>
      <x:c r="P211" s="30">
        <x:f t="shared" si="23"/>
        <x:v>4</x:v>
      </x:c>
      <x:c r="Q211" s="30">
        <x:f>COUNTIF($P$3:P211,"=3")</x:f>
        <x:v>24</x:v>
      </x:c>
      <x:c r="R211" s="29">
        <x:f>WORKDAY(기본입력!$H$2,Q211-1,공휴일)</x:f>
        <x:v>45960</x:v>
      </x:c>
    </x:row>
    <x:row r="212" spans="1:18">
      <x:c r="A212" s="145" t="str">
        <x:f t="shared" si="22"/>
        <x:v>20251030</x:v>
      </x:c>
      <x:c r="B212" s="8" t="s">
        <x:v>5</x:v>
      </x:c>
      <x:c r="C212" s="8">
        <x:v>1740</x:v>
      </x:c>
      <x:c r="D212" s="7" t="s">
        <x:v>1</x:v>
      </x:c>
      <x:c r="E212" s="8" t="s">
        <x:v>87</x:v>
      </x:c>
      <x:c r="F212" s="8" t="s">
        <x:v>40</x:v>
      </x:c>
      <x:c r="G212" s="15" t="str">
        <x:f>IF(OR(N212="",N212&gt;기본입력!$C$34),"",VLOOKUP(O212,기본입력!$A$9:$F$33,5))</x:f>
        <x:v>양현수_53778</x:v>
      </x:c>
      <x:c r="H212" s="15" t="str">
        <x:f>IF(OR(N212="",N212&gt;기본입력!$C$34),"",기본입력!$C$6)</x:f>
        <x:v>1교육실(실습겸용강의실)_243089</x:v>
      </x:c>
      <x:c r="I212" s="15" t="str">
        <x:f>IF(OR(O212="",N212&gt;기본입력!$C$34),"",VLOOKUP(O212,기본입력!$A$9:$F$33,6,FALSE))</x:f>
        <x:v>SQL 및 데이터 모델링__5</x:v>
      </x:c>
      <x:c r="J212" s="38" t="str">
        <x:f t="shared" si="18"/>
        <x:v>SQL 및 데이터 모델링</x:v>
      </x:c>
      <x:c r="K212" s="38" t="str">
        <x:f t="shared" si="19"/>
        <x:v>1교육실(실습겸용강의실)</x:v>
      </x:c>
      <x:c r="L212" s="38" t="str">
        <x:f t="shared" si="20"/>
        <x:v>양현수</x:v>
      </x:c>
      <x:c r="M212" s="63"/>
      <x:c r="N212" s="30">
        <x:f>IF(F212="2","",COUNTIF($F$3:$F212,"=1"))</x:f>
        <x:v>187</x:v>
      </x:c>
      <x:c r="O212" s="30">
        <x:f t="shared" si="21"/>
        <x:v>3</x:v>
      </x:c>
      <x:c r="P212" s="30">
        <x:f t="shared" si="23"/>
        <x:v>5</x:v>
      </x:c>
      <x:c r="Q212" s="30">
        <x:f>COUNTIF($P$3:P212,"=3")</x:f>
        <x:v>24</x:v>
      </x:c>
      <x:c r="R212" s="29">
        <x:f>WORKDAY(기본입력!$H$2,Q212-1,공휴일)</x:f>
        <x:v>45960</x:v>
      </x:c>
    </x:row>
    <x:row r="213" spans="1:18">
      <x:c r="A213" s="145" t="str">
        <x:f t="shared" si="22"/>
        <x:v>20251030</x:v>
      </x:c>
      <x:c r="B213" s="8" t="s">
        <x:v>5</x:v>
      </x:c>
      <x:c r="C213" s="8">
        <x:v>1740</x:v>
      </x:c>
      <x:c r="D213" s="7" t="s">
        <x:v>1</x:v>
      </x:c>
      <x:c r="E213" s="8" t="s">
        <x:v>88</x:v>
      </x:c>
      <x:c r="F213" s="8" t="s">
        <x:v>40</x:v>
      </x:c>
      <x:c r="G213" s="15" t="str">
        <x:f>IF(OR(N213="",N213&gt;기본입력!$C$34),"",VLOOKUP(O213,기본입력!$A$9:$F$33,5))</x:f>
        <x:v>양현수_53778</x:v>
      </x:c>
      <x:c r="H213" s="15" t="str">
        <x:f>IF(OR(N213="",N213&gt;기본입력!$C$34),"",기본입력!$C$6)</x:f>
        <x:v>1교육실(실습겸용강의실)_243089</x:v>
      </x:c>
      <x:c r="I213" s="15" t="str">
        <x:f>IF(OR(O213="",N213&gt;기본입력!$C$34),"",VLOOKUP(O213,기본입력!$A$9:$F$33,6,FALSE))</x:f>
        <x:v>SQL 및 데이터 모델링__5</x:v>
      </x:c>
      <x:c r="J213" s="38" t="str">
        <x:f t="shared" si="18"/>
        <x:v>SQL 및 데이터 모델링</x:v>
      </x:c>
      <x:c r="K213" s="38" t="str">
        <x:f t="shared" si="19"/>
        <x:v>1교육실(실습겸용강의실)</x:v>
      </x:c>
      <x:c r="L213" s="38" t="str">
        <x:f t="shared" si="20"/>
        <x:v>양현수</x:v>
      </x:c>
      <x:c r="M213" s="63"/>
      <x:c r="N213" s="30">
        <x:f>IF(F213="2","",COUNTIF($F$3:$F213,"=1"))</x:f>
        <x:v>188</x:v>
      </x:c>
      <x:c r="O213" s="30">
        <x:f t="shared" si="21"/>
        <x:v>3</x:v>
      </x:c>
      <x:c r="P213" s="30">
        <x:f t="shared" si="23"/>
        <x:v>6</x:v>
      </x:c>
      <x:c r="Q213" s="30">
        <x:f>COUNTIF($P$3:P213,"=3")</x:f>
        <x:v>24</x:v>
      </x:c>
      <x:c r="R213" s="29">
        <x:f>WORKDAY(기본입력!$H$2,Q213-1,공휴일)</x:f>
        <x:v>45960</x:v>
      </x:c>
    </x:row>
    <x:row r="214" spans="1:18">
      <x:c r="A214" s="145" t="str">
        <x:f t="shared" si="22"/>
        <x:v>20251030</x:v>
      </x:c>
      <x:c r="B214" s="8" t="s">
        <x:v>5</x:v>
      </x:c>
      <x:c r="C214" s="8">
        <x:v>1740</x:v>
      </x:c>
      <x:c r="D214" s="7" t="s">
        <x:v>1</x:v>
      </x:c>
      <x:c r="E214" s="8" t="s">
        <x:v>0</x:v>
      </x:c>
      <x:c r="F214" s="8" t="s">
        <x:v>41</x:v>
      </x:c>
      <x:c r="G214" s="15" t="str">
        <x:f>IF(OR(N214="",N214&gt;기본입력!$C$34),"",VLOOKUP(O214,기본입력!$A$9:$F$33,5))</x:f>
        <x:v/>
      </x:c>
      <x:c r="H214" s="15" t="str">
        <x:f>IF(OR(N214="",N214&gt;기본입력!$C$34),"",기본입력!$C$6)</x:f>
        <x:v/>
      </x:c>
      <x:c r="I214" s="15" t="str">
        <x:f>IF(OR(O214="",N214&gt;기본입력!$C$34),"",VLOOKUP(O214,기본입력!$A$9:$F$33,6,FALSE))</x:f>
        <x:v/>
      </x:c>
      <x:c r="J214" s="38" t="str">
        <x:f t="shared" si="18"/>
        <x:v/>
      </x:c>
      <x:c r="K214" s="38" t="str">
        <x:f t="shared" si="19"/>
        <x:v/>
      </x:c>
      <x:c r="L214" s="38" t="str">
        <x:f t="shared" si="20"/>
        <x:v/>
      </x:c>
      <x:c r="M214" s="63"/>
      <x:c r="N214" s="30" t="str">
        <x:f>IF(F214="2","",COUNTIF($F$3:$F214,"=1"))</x:f>
        <x:v/>
      </x:c>
      <x:c r="O214" s="30" t="str">
        <x:f t="shared" si="21"/>
        <x:v/>
      </x:c>
      <x:c r="P214" s="30">
        <x:f t="shared" si="23"/>
        <x:v>7</x:v>
      </x:c>
      <x:c r="Q214" s="30">
        <x:f>COUNTIF($P$3:P214,"=3")</x:f>
        <x:v>24</x:v>
      </x:c>
      <x:c r="R214" s="29">
        <x:f>WORKDAY(기본입력!$H$2,Q214-1,공휴일)</x:f>
        <x:v>45960</x:v>
      </x:c>
    </x:row>
    <x:row r="215" spans="1:18">
      <x:c r="A215" s="145" t="str">
        <x:f t="shared" si="22"/>
        <x:v>20251030</x:v>
      </x:c>
      <x:c r="B215" s="8" t="s">
        <x:v>5</x:v>
      </x:c>
      <x:c r="C215" s="8">
        <x:v>1740</x:v>
      </x:c>
      <x:c r="D215" s="7" t="s">
        <x:v>1</x:v>
      </x:c>
      <x:c r="E215" s="8">
        <x:v>1340</x:v>
      </x:c>
      <x:c r="F215" s="8" t="s">
        <x:v>40</x:v>
      </x:c>
      <x:c r="G215" s="15" t="str">
        <x:f>IF(OR(N215="",N215&gt;기본입력!$C$34),"",VLOOKUP(O215,기본입력!$A$9:$F$33,5))</x:f>
        <x:v>양현수_53778</x:v>
      </x:c>
      <x:c r="H215" s="15" t="str">
        <x:f>IF(OR(N215="",N215&gt;기본입력!$C$34),"",기본입력!$C$6)</x:f>
        <x:v>1교육실(실습겸용강의실)_243089</x:v>
      </x:c>
      <x:c r="I215" s="15" t="str">
        <x:f>IF(OR(O215="",N215&gt;기본입력!$C$34),"",VLOOKUP(O215,기본입력!$A$9:$F$33,6,FALSE))</x:f>
        <x:v>SQL 및 데이터 모델링__5</x:v>
      </x:c>
      <x:c r="J215" s="38" t="str">
        <x:f t="shared" si="18"/>
        <x:v>SQL 및 데이터 모델링</x:v>
      </x:c>
      <x:c r="K215" s="38" t="str">
        <x:f t="shared" si="19"/>
        <x:v>1교육실(실습겸용강의실)</x:v>
      </x:c>
      <x:c r="L215" s="38" t="str">
        <x:f t="shared" si="20"/>
        <x:v>양현수</x:v>
      </x:c>
      <x:c r="M215" s="63"/>
      <x:c r="N215" s="30">
        <x:f>IF(F215="2","",COUNTIF($F$3:$F215,"=1"))</x:f>
        <x:v>189</x:v>
      </x:c>
      <x:c r="O215" s="30">
        <x:f t="shared" si="21"/>
        <x:v>3</x:v>
      </x:c>
      <x:c r="P215" s="30">
        <x:f t="shared" si="23"/>
        <x:v>8</x:v>
      </x:c>
      <x:c r="Q215" s="30">
        <x:f>COUNTIF($P$3:P215,"=3")</x:f>
        <x:v>24</x:v>
      </x:c>
      <x:c r="R215" s="29">
        <x:f>WORKDAY(기본입력!$H$2,Q215-1,공휴일)</x:f>
        <x:v>45960</x:v>
      </x:c>
    </x:row>
    <x:row r="216" spans="1:18">
      <x:c r="A216" s="145" t="str">
        <x:f t="shared" si="22"/>
        <x:v>20251030</x:v>
      </x:c>
      <x:c r="B216" s="8" t="s">
        <x:v>5</x:v>
      </x:c>
      <x:c r="C216" s="8">
        <x:v>1740</x:v>
      </x:c>
      <x:c r="D216" s="7" t="s">
        <x:v>1</x:v>
      </x:c>
      <x:c r="E216" s="8">
        <x:v>1440</x:v>
      </x:c>
      <x:c r="F216" s="8" t="s">
        <x:v>40</x:v>
      </x:c>
      <x:c r="G216" s="15" t="str">
        <x:f>IF(OR(N216="",N216&gt;기본입력!$C$34),"",VLOOKUP(O216,기본입력!$A$9:$F$33,5))</x:f>
        <x:v>양현수_53778</x:v>
      </x:c>
      <x:c r="H216" s="15" t="str">
        <x:f>IF(OR(N216="",N216&gt;기본입력!$C$34),"",기본입력!$C$6)</x:f>
        <x:v>1교육실(실습겸용강의실)_243089</x:v>
      </x:c>
      <x:c r="I216" s="15" t="str">
        <x:f>IF(OR(O216="",N216&gt;기본입력!$C$34),"",VLOOKUP(O216,기본입력!$A$9:$F$33,6,FALSE))</x:f>
        <x:v>SQL 및 데이터 모델링__5</x:v>
      </x:c>
      <x:c r="J216" s="38" t="str">
        <x:f t="shared" si="18"/>
        <x:v>SQL 및 데이터 모델링</x:v>
      </x:c>
      <x:c r="K216" s="38" t="str">
        <x:f t="shared" si="19"/>
        <x:v>1교육실(실습겸용강의실)</x:v>
      </x:c>
      <x:c r="L216" s="38" t="str">
        <x:f t="shared" si="20"/>
        <x:v>양현수</x:v>
      </x:c>
      <x:c r="M216" s="63"/>
      <x:c r="N216" s="30">
        <x:f>IF(F216="2","",COUNTIF($F$3:$F216,"=1"))</x:f>
        <x:v>190</x:v>
      </x:c>
      <x:c r="O216" s="30">
        <x:f t="shared" si="21"/>
        <x:v>3</x:v>
      </x:c>
      <x:c r="P216" s="30">
        <x:f t="shared" si="23"/>
        <x:v>0</x:v>
      </x:c>
      <x:c r="Q216" s="30">
        <x:f>COUNTIF($P$3:P216,"=3")</x:f>
        <x:v>24</x:v>
      </x:c>
      <x:c r="R216" s="29">
        <x:f>WORKDAY(기본입력!$H$2,Q216-1,공휴일)</x:f>
        <x:v>45960</x:v>
      </x:c>
    </x:row>
    <x:row r="217" spans="1:18">
      <x:c r="A217" s="145" t="str">
        <x:f t="shared" si="22"/>
        <x:v>20251030</x:v>
      </x:c>
      <x:c r="B217" s="8" t="s">
        <x:v>5</x:v>
      </x:c>
      <x:c r="C217" s="8">
        <x:v>1740</x:v>
      </x:c>
      <x:c r="D217" s="7" t="s">
        <x:v>1</x:v>
      </x:c>
      <x:c r="E217" s="8">
        <x:v>1540</x:v>
      </x:c>
      <x:c r="F217" s="8" t="s">
        <x:v>40</x:v>
      </x:c>
      <x:c r="G217" s="15" t="str">
        <x:f>IF(OR(N217="",N217&gt;기본입력!$C$34),"",VLOOKUP(O217,기본입력!$A$9:$F$33,5))</x:f>
        <x:v>양현수_53778</x:v>
      </x:c>
      <x:c r="H217" s="15" t="str">
        <x:f>IF(OR(N217="",N217&gt;기본입력!$C$34),"",기본입력!$C$6)</x:f>
        <x:v>1교육실(실습겸용강의실)_243089</x:v>
      </x:c>
      <x:c r="I217" s="15" t="str">
        <x:f>IF(OR(O217="",N217&gt;기본입력!$C$34),"",VLOOKUP(O217,기본입력!$A$9:$F$33,6,FALSE))</x:f>
        <x:v>SQL 및 데이터 모델링__5</x:v>
      </x:c>
      <x:c r="J217" s="38" t="str">
        <x:f t="shared" si="18"/>
        <x:v>SQL 및 데이터 모델링</x:v>
      </x:c>
      <x:c r="K217" s="38" t="str">
        <x:f t="shared" si="19"/>
        <x:v>1교육실(실습겸용강의실)</x:v>
      </x:c>
      <x:c r="L217" s="38" t="str">
        <x:f t="shared" si="20"/>
        <x:v>양현수</x:v>
      </x:c>
      <x:c r="M217" s="63"/>
      <x:c r="N217" s="30">
        <x:f>IF(F217="2","",COUNTIF($F$3:$F217,"=1"))</x:f>
        <x:v>191</x:v>
      </x:c>
      <x:c r="O217" s="30">
        <x:f t="shared" si="21"/>
        <x:v>3</x:v>
      </x:c>
      <x:c r="P217" s="30">
        <x:f t="shared" si="23"/>
        <x:v>1</x:v>
      </x:c>
      <x:c r="Q217" s="30">
        <x:f>COUNTIF($P$3:P217,"=3")</x:f>
        <x:v>24</x:v>
      </x:c>
      <x:c r="R217" s="29">
        <x:f>WORKDAY(기본입력!$H$2,Q217-1,공휴일)</x:f>
        <x:v>45960</x:v>
      </x:c>
    </x:row>
    <x:row r="218" spans="1:18">
      <x:c r="A218" s="145" t="str">
        <x:f t="shared" si="22"/>
        <x:v>20251030</x:v>
      </x:c>
      <x:c r="B218" s="8" t="s">
        <x:v>5</x:v>
      </x:c>
      <x:c r="C218" s="8">
        <x:v>1740</x:v>
      </x:c>
      <x:c r="D218" s="7" t="s">
        <x:v>1</x:v>
      </x:c>
      <x:c r="E218" s="8">
        <x:v>1640</x:v>
      </x:c>
      <x:c r="F218" s="8" t="s">
        <x:v>40</x:v>
      </x:c>
      <x:c r="G218" s="15" t="str">
        <x:f>IF(OR(N218="",N218&gt;기본입력!$C$34),"",VLOOKUP(O218,기본입력!$A$9:$F$33,5))</x:f>
        <x:v>양현수_53778</x:v>
      </x:c>
      <x:c r="H218" s="15" t="str">
        <x:f>IF(OR(N218="",N218&gt;기본입력!$C$34),"",기본입력!$C$6)</x:f>
        <x:v>1교육실(실습겸용강의실)_243089</x:v>
      </x:c>
      <x:c r="I218" s="15" t="str">
        <x:f>IF(OR(O218="",N218&gt;기본입력!$C$34),"",VLOOKUP(O218,기본입력!$A$9:$F$33,6,FALSE))</x:f>
        <x:v>SQL 및 데이터 모델링__5</x:v>
      </x:c>
      <x:c r="J218" s="38" t="str">
        <x:f t="shared" si="18"/>
        <x:v>SQL 및 데이터 모델링</x:v>
      </x:c>
      <x:c r="K218" s="38" t="str">
        <x:f t="shared" si="19"/>
        <x:v>1교육실(실습겸용강의실)</x:v>
      </x:c>
      <x:c r="L218" s="38" t="str">
        <x:f t="shared" si="20"/>
        <x:v>양현수</x:v>
      </x:c>
      <x:c r="M218" s="63"/>
      <x:c r="N218" s="30">
        <x:f>IF(F218="2","",COUNTIF($F$3:$F218,"=1"))</x:f>
        <x:v>192</x:v>
      </x:c>
      <x:c r="O218" s="30">
        <x:f t="shared" si="21"/>
        <x:v>3</x:v>
      </x:c>
      <x:c r="P218" s="30">
        <x:f t="shared" si="23"/>
        <x:v>2</x:v>
      </x:c>
      <x:c r="Q218" s="30">
        <x:f>COUNTIF($P$3:P218,"=3")</x:f>
        <x:v>24</x:v>
      </x:c>
      <x:c r="R218" s="29">
        <x:f>WORKDAY(기본입력!$H$2,Q218-1,공휴일)</x:f>
        <x:v>45960</x:v>
      </x:c>
    </x:row>
    <x:row r="219" spans="1:18">
      <x:c r="A219" s="144" t="str">
        <x:f t="shared" si="22"/>
        <x:v>20251031</x:v>
      </x:c>
      <x:c r="B219" s="6" t="s">
        <x:v>5</x:v>
      </x:c>
      <x:c r="C219" s="6">
        <x:v>1740</x:v>
      </x:c>
      <x:c r="D219" s="5" t="s">
        <x:v>1</x:v>
      </x:c>
      <x:c r="E219" s="6" t="s">
        <x:v>5</x:v>
      </x:c>
      <x:c r="F219" s="6" t="s">
        <x:v>40</x:v>
      </x:c>
      <x:c r="G219" s="14" t="str">
        <x:f>IF(OR(N219="",N219&gt;기본입력!$C$34),"",VLOOKUP(O219,기본입력!$A$9:$F$33,5))</x:f>
        <x:v>양현수_53778</x:v>
      </x:c>
      <x:c r="H219" s="14" t="str">
        <x:f>IF(OR(N219="",N219&gt;기본입력!$C$34),"",기본입력!$C$6)</x:f>
        <x:v>1교육실(실습겸용강의실)_243089</x:v>
      </x:c>
      <x:c r="I219" s="14" t="str">
        <x:f>IF(OR(O219="",N219&gt;기본입력!$C$34),"",VLOOKUP(O219,기본입력!$A$9:$F$33,6,FALSE))</x:f>
        <x:v>AI개발 기초__1</x:v>
      </x:c>
      <x:c r="J219" s="38" t="str">
        <x:f t="shared" si="18"/>
        <x:v>AI개발 기초</x:v>
      </x:c>
      <x:c r="K219" s="38" t="str">
        <x:f t="shared" si="19"/>
        <x:v>1교육실(실습겸용강의실)</x:v>
      </x:c>
      <x:c r="L219" s="38" t="str">
        <x:f t="shared" si="20"/>
        <x:v>양현수</x:v>
      </x:c>
      <x:c r="M219" s="63"/>
      <x:c r="N219" s="30">
        <x:f>IF(F219="2","",COUNTIF($F$3:$F219,"=1"))</x:f>
        <x:v>193</x:v>
      </x:c>
      <x:c r="O219" s="30">
        <x:f t="shared" si="21"/>
        <x:v>4</x:v>
      </x:c>
      <x:c r="P219" s="30">
        <x:f t="shared" si="23"/>
        <x:v>3</x:v>
      </x:c>
      <x:c r="Q219" s="30">
        <x:f>COUNTIF($P$3:P219,"=3")</x:f>
        <x:v>25</x:v>
      </x:c>
      <x:c r="R219" s="29">
        <x:f>WORKDAY(기본입력!$H$2,Q219-1,공휴일)</x:f>
        <x:v>45961</x:v>
      </x:c>
    </x:row>
    <x:row r="220" spans="1:18">
      <x:c r="A220" s="144" t="str">
        <x:f t="shared" si="22"/>
        <x:v>20251031</x:v>
      </x:c>
      <x:c r="B220" s="6" t="s">
        <x:v>5</x:v>
      </x:c>
      <x:c r="C220" s="6">
        <x:v>1740</x:v>
      </x:c>
      <x:c r="D220" s="5" t="s">
        <x:v>1</x:v>
      </x:c>
      <x:c r="E220" s="6" t="s">
        <x:v>117</x:v>
      </x:c>
      <x:c r="F220" s="6" t="s">
        <x:v>40</x:v>
      </x:c>
      <x:c r="G220" s="14" t="str">
        <x:f>IF(OR(N220="",N220&gt;기본입력!$C$34),"",VLOOKUP(O220,기본입력!$A$9:$F$33,5))</x:f>
        <x:v>양현수_53778</x:v>
      </x:c>
      <x:c r="H220" s="14" t="str">
        <x:f>IF(OR(N220="",N220&gt;기본입력!$C$34),"",기본입력!$C$6)</x:f>
        <x:v>1교육실(실습겸용강의실)_243089</x:v>
      </x:c>
      <x:c r="I220" s="14" t="str">
        <x:f>IF(OR(O220="",N220&gt;기본입력!$C$34),"",VLOOKUP(O220,기본입력!$A$9:$F$33,6,FALSE))</x:f>
        <x:v>AI개발 기초__1</x:v>
      </x:c>
      <x:c r="J220" s="38" t="str">
        <x:f t="shared" si="18"/>
        <x:v>AI개발 기초</x:v>
      </x:c>
      <x:c r="K220" s="38" t="str">
        <x:f t="shared" si="19"/>
        <x:v>1교육실(실습겸용강의실)</x:v>
      </x:c>
      <x:c r="L220" s="38" t="str">
        <x:f t="shared" si="20"/>
        <x:v>양현수</x:v>
      </x:c>
      <x:c r="M220" s="63"/>
      <x:c r="N220" s="30">
        <x:f>IF(F220="2","",COUNTIF($F$3:$F220,"=1"))</x:f>
        <x:v>194</x:v>
      </x:c>
      <x:c r="O220" s="30">
        <x:f t="shared" si="21"/>
        <x:v>4</x:v>
      </x:c>
      <x:c r="P220" s="30">
        <x:f t="shared" si="23"/>
        <x:v>4</x:v>
      </x:c>
      <x:c r="Q220" s="30">
        <x:f>COUNTIF($P$3:P220,"=3")</x:f>
        <x:v>25</x:v>
      </x:c>
      <x:c r="R220" s="29">
        <x:f>WORKDAY(기본입력!$H$2,Q220-1,공휴일)</x:f>
        <x:v>45961</x:v>
      </x:c>
    </x:row>
    <x:row r="221" spans="1:18">
      <x:c r="A221" s="144" t="str">
        <x:f t="shared" si="22"/>
        <x:v>20251031</x:v>
      </x:c>
      <x:c r="B221" s="6" t="s">
        <x:v>5</x:v>
      </x:c>
      <x:c r="C221" s="6">
        <x:v>1740</x:v>
      </x:c>
      <x:c r="D221" s="5" t="s">
        <x:v>1</x:v>
      </x:c>
      <x:c r="E221" s="6" t="s">
        <x:v>87</x:v>
      </x:c>
      <x:c r="F221" s="6" t="s">
        <x:v>40</x:v>
      </x:c>
      <x:c r="G221" s="14" t="str">
        <x:f>IF(OR(N221="",N221&gt;기본입력!$C$34),"",VLOOKUP(O221,기본입력!$A$9:$F$33,5))</x:f>
        <x:v>양현수_53778</x:v>
      </x:c>
      <x:c r="H221" s="14" t="str">
        <x:f>IF(OR(N221="",N221&gt;기본입력!$C$34),"",기본입력!$C$6)</x:f>
        <x:v>1교육실(실습겸용강의실)_243089</x:v>
      </x:c>
      <x:c r="I221" s="14" t="str">
        <x:f>IF(OR(O221="",N221&gt;기본입력!$C$34),"",VLOOKUP(O221,기본입력!$A$9:$F$33,6,FALSE))</x:f>
        <x:v>AI개발 기초__1</x:v>
      </x:c>
      <x:c r="J221" s="38" t="str">
        <x:f t="shared" si="18"/>
        <x:v>AI개발 기초</x:v>
      </x:c>
      <x:c r="K221" s="38" t="str">
        <x:f t="shared" si="19"/>
        <x:v>1교육실(실습겸용강의실)</x:v>
      </x:c>
      <x:c r="L221" s="38" t="str">
        <x:f t="shared" si="20"/>
        <x:v>양현수</x:v>
      </x:c>
      <x:c r="M221" s="63"/>
      <x:c r="N221" s="30">
        <x:f>IF(F221="2","",COUNTIF($F$3:$F221,"=1"))</x:f>
        <x:v>195</x:v>
      </x:c>
      <x:c r="O221" s="30">
        <x:f t="shared" si="21"/>
        <x:v>4</x:v>
      </x:c>
      <x:c r="P221" s="30">
        <x:f t="shared" si="23"/>
        <x:v>5</x:v>
      </x:c>
      <x:c r="Q221" s="30">
        <x:f>COUNTIF($P$3:P221,"=3")</x:f>
        <x:v>25</x:v>
      </x:c>
      <x:c r="R221" s="29">
        <x:f>WORKDAY(기본입력!$H$2,Q221-1,공휴일)</x:f>
        <x:v>45961</x:v>
      </x:c>
    </x:row>
    <x:row r="222" spans="1:18">
      <x:c r="A222" s="144" t="str">
        <x:f t="shared" si="22"/>
        <x:v>20251031</x:v>
      </x:c>
      <x:c r="B222" s="6" t="s">
        <x:v>5</x:v>
      </x:c>
      <x:c r="C222" s="6">
        <x:v>1740</x:v>
      </x:c>
      <x:c r="D222" s="5" t="s">
        <x:v>1</x:v>
      </x:c>
      <x:c r="E222" s="6" t="s">
        <x:v>88</x:v>
      </x:c>
      <x:c r="F222" s="6" t="s">
        <x:v>40</x:v>
      </x:c>
      <x:c r="G222" s="14" t="str">
        <x:f>IF(OR(N222="",N222&gt;기본입력!$C$34),"",VLOOKUP(O222,기본입력!$A$9:$F$33,5))</x:f>
        <x:v>양현수_53778</x:v>
      </x:c>
      <x:c r="H222" s="14" t="str">
        <x:f>IF(OR(N222="",N222&gt;기본입력!$C$34),"",기본입력!$C$6)</x:f>
        <x:v>1교육실(실습겸용강의실)_243089</x:v>
      </x:c>
      <x:c r="I222" s="14" t="str">
        <x:f>IF(OR(O222="",N222&gt;기본입력!$C$34),"",VLOOKUP(O222,기본입력!$A$9:$F$33,6,FALSE))</x:f>
        <x:v>AI개발 기초__1</x:v>
      </x:c>
      <x:c r="J222" s="38" t="str">
        <x:f t="shared" si="18"/>
        <x:v>AI개발 기초</x:v>
      </x:c>
      <x:c r="K222" s="38" t="str">
        <x:f t="shared" si="19"/>
        <x:v>1교육실(실습겸용강의실)</x:v>
      </x:c>
      <x:c r="L222" s="38" t="str">
        <x:f t="shared" si="20"/>
        <x:v>양현수</x:v>
      </x:c>
      <x:c r="M222" s="63"/>
      <x:c r="N222" s="30">
        <x:f>IF(F222="2","",COUNTIF($F$3:$F222,"=1"))</x:f>
        <x:v>196</x:v>
      </x:c>
      <x:c r="O222" s="30">
        <x:f t="shared" si="21"/>
        <x:v>4</x:v>
      </x:c>
      <x:c r="P222" s="30">
        <x:f t="shared" si="23"/>
        <x:v>6</x:v>
      </x:c>
      <x:c r="Q222" s="30">
        <x:f>COUNTIF($P$3:P222,"=3")</x:f>
        <x:v>25</x:v>
      </x:c>
      <x:c r="R222" s="29">
        <x:f>WORKDAY(기본입력!$H$2,Q222-1,공휴일)</x:f>
        <x:v>45961</x:v>
      </x:c>
    </x:row>
    <x:row r="223" spans="1:18">
      <x:c r="A223" s="144" t="str">
        <x:f t="shared" si="22"/>
        <x:v>20251031</x:v>
      </x:c>
      <x:c r="B223" s="6" t="s">
        <x:v>5</x:v>
      </x:c>
      <x:c r="C223" s="6">
        <x:v>1740</x:v>
      </x:c>
      <x:c r="D223" s="5" t="s">
        <x:v>1</x:v>
      </x:c>
      <x:c r="E223" s="6" t="s">
        <x:v>0</x:v>
      </x:c>
      <x:c r="F223" s="6" t="s">
        <x:v>41</x:v>
      </x:c>
      <x:c r="G223" s="14" t="str">
        <x:f>IF(OR(N223="",N223&gt;기본입력!$C$34),"",VLOOKUP(O223,기본입력!$A$9:$F$33,5))</x:f>
        <x:v/>
      </x:c>
      <x:c r="H223" s="14" t="str">
        <x:f>IF(OR(N223="",N223&gt;기본입력!$C$34),"",기본입력!$C$6)</x:f>
        <x:v/>
      </x:c>
      <x:c r="I223" s="14" t="str">
        <x:f>IF(OR(O223="",N223&gt;기본입력!$C$34),"",VLOOKUP(O223,기본입력!$A$9:$F$33,6,FALSE))</x:f>
        <x:v/>
      </x:c>
      <x:c r="J223" s="38" t="str">
        <x:f t="shared" si="18"/>
        <x:v/>
      </x:c>
      <x:c r="K223" s="38" t="str">
        <x:f t="shared" si="19"/>
        <x:v/>
      </x:c>
      <x:c r="L223" s="38" t="str">
        <x:f t="shared" si="20"/>
        <x:v/>
      </x:c>
      <x:c r="M223" s="63"/>
      <x:c r="N223" s="30" t="str">
        <x:f>IF(F223="2","",COUNTIF($F$3:$F223,"=1"))</x:f>
        <x:v/>
      </x:c>
      <x:c r="O223" s="30" t="str">
        <x:f t="shared" si="21"/>
        <x:v/>
      </x:c>
      <x:c r="P223" s="30">
        <x:f t="shared" si="23"/>
        <x:v>7</x:v>
      </x:c>
      <x:c r="Q223" s="30">
        <x:f>COUNTIF($P$3:P223,"=3")</x:f>
        <x:v>25</x:v>
      </x:c>
      <x:c r="R223" s="29">
        <x:f>WORKDAY(기본입력!$H$2,Q223-1,공휴일)</x:f>
        <x:v>45961</x:v>
      </x:c>
    </x:row>
    <x:row r="224" spans="1:18">
      <x:c r="A224" s="144" t="str">
        <x:f t="shared" si="22"/>
        <x:v>20251031</x:v>
      </x:c>
      <x:c r="B224" s="6" t="s">
        <x:v>5</x:v>
      </x:c>
      <x:c r="C224" s="6">
        <x:v>1740</x:v>
      </x:c>
      <x:c r="D224" s="5" t="s">
        <x:v>1</x:v>
      </x:c>
      <x:c r="E224" s="6">
        <x:v>1340</x:v>
      </x:c>
      <x:c r="F224" s="6" t="s">
        <x:v>40</x:v>
      </x:c>
      <x:c r="G224" s="14" t="str">
        <x:f>IF(OR(N224="",N224&gt;기본입력!$C$34),"",VLOOKUP(O224,기본입력!$A$9:$F$33,5))</x:f>
        <x:v>양현수_53778</x:v>
      </x:c>
      <x:c r="H224" s="14" t="str">
        <x:f>IF(OR(N224="",N224&gt;기본입력!$C$34),"",기본입력!$C$6)</x:f>
        <x:v>1교육실(실습겸용강의실)_243089</x:v>
      </x:c>
      <x:c r="I224" s="14" t="str">
        <x:f>IF(OR(O224="",N224&gt;기본입력!$C$34),"",VLOOKUP(O224,기본입력!$A$9:$F$33,6,FALSE))</x:f>
        <x:v>AI개발 기초__1</x:v>
      </x:c>
      <x:c r="J224" s="38" t="str">
        <x:f t="shared" si="18"/>
        <x:v>AI개발 기초</x:v>
      </x:c>
      <x:c r="K224" s="38" t="str">
        <x:f t="shared" si="19"/>
        <x:v>1교육실(실습겸용강의실)</x:v>
      </x:c>
      <x:c r="L224" s="38" t="str">
        <x:f t="shared" si="20"/>
        <x:v>양현수</x:v>
      </x:c>
      <x:c r="M224" s="63"/>
      <x:c r="N224" s="30">
        <x:f>IF(F224="2","",COUNTIF($F$3:$F224,"=1"))</x:f>
        <x:v>197</x:v>
      </x:c>
      <x:c r="O224" s="30">
        <x:f t="shared" si="21"/>
        <x:v>4</x:v>
      </x:c>
      <x:c r="P224" s="30">
        <x:f t="shared" si="23"/>
        <x:v>8</x:v>
      </x:c>
      <x:c r="Q224" s="30">
        <x:f>COUNTIF($P$3:P224,"=3")</x:f>
        <x:v>25</x:v>
      </x:c>
      <x:c r="R224" s="29">
        <x:f>WORKDAY(기본입력!$H$2,Q224-1,공휴일)</x:f>
        <x:v>45961</x:v>
      </x:c>
    </x:row>
    <x:row r="225" spans="1:18">
      <x:c r="A225" s="144" t="str">
        <x:f t="shared" si="22"/>
        <x:v>20251031</x:v>
      </x:c>
      <x:c r="B225" s="6" t="s">
        <x:v>5</x:v>
      </x:c>
      <x:c r="C225" s="6">
        <x:v>1740</x:v>
      </x:c>
      <x:c r="D225" s="5" t="s">
        <x:v>1</x:v>
      </x:c>
      <x:c r="E225" s="6">
        <x:v>1440</x:v>
      </x:c>
      <x:c r="F225" s="6" t="s">
        <x:v>40</x:v>
      </x:c>
      <x:c r="G225" s="14" t="str">
        <x:f>IF(OR(N225="",N225&gt;기본입력!$C$34),"",VLOOKUP(O225,기본입력!$A$9:$F$33,5))</x:f>
        <x:v>양현수_53778</x:v>
      </x:c>
      <x:c r="H225" s="14" t="str">
        <x:f>IF(OR(N225="",N225&gt;기본입력!$C$34),"",기본입력!$C$6)</x:f>
        <x:v>1교육실(실습겸용강의실)_243089</x:v>
      </x:c>
      <x:c r="I225" s="14" t="str">
        <x:f>IF(OR(O225="",N225&gt;기본입력!$C$34),"",VLOOKUP(O225,기본입력!$A$9:$F$33,6,FALSE))</x:f>
        <x:v>AI개발 기초__1</x:v>
      </x:c>
      <x:c r="J225" s="38" t="str">
        <x:f t="shared" si="18"/>
        <x:v>AI개발 기초</x:v>
      </x:c>
      <x:c r="K225" s="38" t="str">
        <x:f t="shared" si="19"/>
        <x:v>1교육실(실습겸용강의실)</x:v>
      </x:c>
      <x:c r="L225" s="38" t="str">
        <x:f t="shared" si="20"/>
        <x:v>양현수</x:v>
      </x:c>
      <x:c r="M225" s="63"/>
      <x:c r="N225" s="30">
        <x:f>IF(F225="2","",COUNTIF($F$3:$F225,"=1"))</x:f>
        <x:v>198</x:v>
      </x:c>
      <x:c r="O225" s="30">
        <x:f t="shared" si="21"/>
        <x:v>4</x:v>
      </x:c>
      <x:c r="P225" s="30">
        <x:f t="shared" si="23"/>
        <x:v>0</x:v>
      </x:c>
      <x:c r="Q225" s="30">
        <x:f>COUNTIF($P$3:P225,"=3")</x:f>
        <x:v>25</x:v>
      </x:c>
      <x:c r="R225" s="29">
        <x:f>WORKDAY(기본입력!$H$2,Q225-1,공휴일)</x:f>
        <x:v>45961</x:v>
      </x:c>
    </x:row>
    <x:row r="226" spans="1:18">
      <x:c r="A226" s="144" t="str">
        <x:f t="shared" si="22"/>
        <x:v>20251031</x:v>
      </x:c>
      <x:c r="B226" s="6" t="s">
        <x:v>5</x:v>
      </x:c>
      <x:c r="C226" s="6">
        <x:v>1740</x:v>
      </x:c>
      <x:c r="D226" s="5" t="s">
        <x:v>1</x:v>
      </x:c>
      <x:c r="E226" s="6">
        <x:v>1540</x:v>
      </x:c>
      <x:c r="F226" s="6" t="s">
        <x:v>40</x:v>
      </x:c>
      <x:c r="G226" s="14" t="str">
        <x:f>IF(OR(N226="",N226&gt;기본입력!$C$34),"",VLOOKUP(O226,기본입력!$A$9:$F$33,5))</x:f>
        <x:v>양현수_53778</x:v>
      </x:c>
      <x:c r="H226" s="14" t="str">
        <x:f>IF(OR(N226="",N226&gt;기본입력!$C$34),"",기본입력!$C$6)</x:f>
        <x:v>1교육실(실습겸용강의실)_243089</x:v>
      </x:c>
      <x:c r="I226" s="14" t="str">
        <x:f>IF(OR(O226="",N226&gt;기본입력!$C$34),"",VLOOKUP(O226,기본입력!$A$9:$F$33,6,FALSE))</x:f>
        <x:v>AI개발 기초__1</x:v>
      </x:c>
      <x:c r="J226" s="38" t="str">
        <x:f t="shared" si="18"/>
        <x:v>AI개발 기초</x:v>
      </x:c>
      <x:c r="K226" s="38" t="str">
        <x:f t="shared" si="19"/>
        <x:v>1교육실(실습겸용강의실)</x:v>
      </x:c>
      <x:c r="L226" s="38" t="str">
        <x:f t="shared" si="20"/>
        <x:v>양현수</x:v>
      </x:c>
      <x:c r="M226" s="63"/>
      <x:c r="N226" s="30">
        <x:f>IF(F226="2","",COUNTIF($F$3:$F226,"=1"))</x:f>
        <x:v>199</x:v>
      </x:c>
      <x:c r="O226" s="30">
        <x:f t="shared" si="21"/>
        <x:v>4</x:v>
      </x:c>
      <x:c r="P226" s="30">
        <x:f t="shared" si="23"/>
        <x:v>1</x:v>
      </x:c>
      <x:c r="Q226" s="30">
        <x:f>COUNTIF($P$3:P226,"=3")</x:f>
        <x:v>25</x:v>
      </x:c>
      <x:c r="R226" s="29">
        <x:f>WORKDAY(기본입력!$H$2,Q226-1,공휴일)</x:f>
        <x:v>45961</x:v>
      </x:c>
    </x:row>
    <x:row r="227" spans="1:18">
      <x:c r="A227" s="144" t="str">
        <x:f t="shared" si="22"/>
        <x:v>20251031</x:v>
      </x:c>
      <x:c r="B227" s="6" t="s">
        <x:v>5</x:v>
      </x:c>
      <x:c r="C227" s="6">
        <x:v>1740</x:v>
      </x:c>
      <x:c r="D227" s="5" t="s">
        <x:v>1</x:v>
      </x:c>
      <x:c r="E227" s="6">
        <x:v>1640</x:v>
      </x:c>
      <x:c r="F227" s="6" t="s">
        <x:v>40</x:v>
      </x:c>
      <x:c r="G227" s="14" t="str">
        <x:f>IF(OR(N227="",N227&gt;기본입력!$C$34),"",VLOOKUP(O227,기본입력!$A$9:$F$33,5))</x:f>
        <x:v>양현수_53778</x:v>
      </x:c>
      <x:c r="H227" s="14" t="str">
        <x:f>IF(OR(N227="",N227&gt;기본입력!$C$34),"",기본입력!$C$6)</x:f>
        <x:v>1교육실(실습겸용강의실)_243089</x:v>
      </x:c>
      <x:c r="I227" s="14" t="str">
        <x:f>IF(OR(O227="",N227&gt;기본입력!$C$34),"",VLOOKUP(O227,기본입력!$A$9:$F$33,6,FALSE))</x:f>
        <x:v>AI개발 기초__1</x:v>
      </x:c>
      <x:c r="J227" s="38" t="str">
        <x:f t="shared" si="18"/>
        <x:v>AI개발 기초</x:v>
      </x:c>
      <x:c r="K227" s="38" t="str">
        <x:f t="shared" si="19"/>
        <x:v>1교육실(실습겸용강의실)</x:v>
      </x:c>
      <x:c r="L227" s="38" t="str">
        <x:f t="shared" si="20"/>
        <x:v>양현수</x:v>
      </x:c>
      <x:c r="M227" s="63"/>
      <x:c r="N227" s="30">
        <x:f>IF(F227="2","",COUNTIF($F$3:$F227,"=1"))</x:f>
        <x:v>200</x:v>
      </x:c>
      <x:c r="O227" s="30">
        <x:f t="shared" si="21"/>
        <x:v>4</x:v>
      </x:c>
      <x:c r="P227" s="30">
        <x:f t="shared" si="23"/>
        <x:v>2</x:v>
      </x:c>
      <x:c r="Q227" s="30">
        <x:f>COUNTIF($P$3:P227,"=3")</x:f>
        <x:v>25</x:v>
      </x:c>
      <x:c r="R227" s="29">
        <x:f>WORKDAY(기본입력!$H$2,Q227-1,공휴일)</x:f>
        <x:v>45961</x:v>
      </x:c>
    </x:row>
    <x:row r="228" spans="1:18">
      <x:c r="A228" s="145" t="str">
        <x:f t="shared" si="22"/>
        <x:v>20251103</x:v>
      </x:c>
      <x:c r="B228" s="8" t="s">
        <x:v>5</x:v>
      </x:c>
      <x:c r="C228" s="8">
        <x:v>1740</x:v>
      </x:c>
      <x:c r="D228" s="7" t="s">
        <x:v>1</x:v>
      </x:c>
      <x:c r="E228" s="8" t="s">
        <x:v>5</x:v>
      </x:c>
      <x:c r="F228" s="8" t="s">
        <x:v>40</x:v>
      </x:c>
      <x:c r="G228" s="15" t="str">
        <x:f>IF(OR(N228="",N228&gt;기본입력!$C$34),"",VLOOKUP(O228,기본입력!$A$9:$F$33,5))</x:f>
        <x:v>양현수_53778</x:v>
      </x:c>
      <x:c r="H228" s="15" t="str">
        <x:f>IF(OR(N228="",N228&gt;기본입력!$C$34),"",기본입력!$C$6)</x:f>
        <x:v>1교육실(실습겸용강의실)_243089</x:v>
      </x:c>
      <x:c r="I228" s="15" t="str">
        <x:f>IF(OR(O228="",N228&gt;기본입력!$C$34),"",VLOOKUP(O228,기본입력!$A$9:$F$33,6,FALSE))</x:f>
        <x:v>AI개발 기초__1</x:v>
      </x:c>
      <x:c r="J228" s="38" t="str">
        <x:f t="shared" si="18"/>
        <x:v>AI개발 기초</x:v>
      </x:c>
      <x:c r="K228" s="38" t="str">
        <x:f t="shared" si="19"/>
        <x:v>1교육실(실습겸용강의실)</x:v>
      </x:c>
      <x:c r="L228" s="38" t="str">
        <x:f t="shared" si="20"/>
        <x:v>양현수</x:v>
      </x:c>
      <x:c r="M228" s="63"/>
      <x:c r="N228" s="30">
        <x:f>IF(F228="2","",COUNTIF($F$3:$F228,"=1"))</x:f>
        <x:v>201</x:v>
      </x:c>
      <x:c r="O228" s="30">
        <x:f t="shared" si="21"/>
        <x:v>4</x:v>
      </x:c>
      <x:c r="P228" s="30">
        <x:f t="shared" si="23"/>
        <x:v>3</x:v>
      </x:c>
      <x:c r="Q228" s="30">
        <x:f>COUNTIF($P$3:P228,"=3")</x:f>
        <x:v>26</x:v>
      </x:c>
      <x:c r="R228" s="29">
        <x:f>WORKDAY(기본입력!$H$2,Q228-1,공휴일)</x:f>
        <x:v>45964</x:v>
      </x:c>
    </x:row>
    <x:row r="229" spans="1:18">
      <x:c r="A229" s="145" t="str">
        <x:f t="shared" si="22"/>
        <x:v>20251103</x:v>
      </x:c>
      <x:c r="B229" s="8" t="s">
        <x:v>5</x:v>
      </x:c>
      <x:c r="C229" s="8">
        <x:v>1740</x:v>
      </x:c>
      <x:c r="D229" s="7" t="s">
        <x:v>1</x:v>
      </x:c>
      <x:c r="E229" s="8" t="s">
        <x:v>117</x:v>
      </x:c>
      <x:c r="F229" s="8" t="s">
        <x:v>40</x:v>
      </x:c>
      <x:c r="G229" s="15" t="str">
        <x:f>IF(OR(N229="",N229&gt;기본입력!$C$34),"",VLOOKUP(O229,기본입력!$A$9:$F$33,5))</x:f>
        <x:v>양현수_53778</x:v>
      </x:c>
      <x:c r="H229" s="15" t="str">
        <x:f>IF(OR(N229="",N229&gt;기본입력!$C$34),"",기본입력!$C$6)</x:f>
        <x:v>1교육실(실습겸용강의실)_243089</x:v>
      </x:c>
      <x:c r="I229" s="15" t="str">
        <x:f>IF(OR(O229="",N229&gt;기본입력!$C$34),"",VLOOKUP(O229,기본입력!$A$9:$F$33,6,FALSE))</x:f>
        <x:v>AI개발 기초__1</x:v>
      </x:c>
      <x:c r="J229" s="38" t="str">
        <x:f t="shared" si="18"/>
        <x:v>AI개발 기초</x:v>
      </x:c>
      <x:c r="K229" s="38" t="str">
        <x:f t="shared" si="19"/>
        <x:v>1교육실(실습겸용강의실)</x:v>
      </x:c>
      <x:c r="L229" s="38" t="str">
        <x:f t="shared" si="20"/>
        <x:v>양현수</x:v>
      </x:c>
      <x:c r="M229" s="63"/>
      <x:c r="N229" s="30">
        <x:f>IF(F229="2","",COUNTIF($F$3:$F229,"=1"))</x:f>
        <x:v>202</x:v>
      </x:c>
      <x:c r="O229" s="30">
        <x:f t="shared" si="21"/>
        <x:v>4</x:v>
      </x:c>
      <x:c r="P229" s="30">
        <x:f t="shared" si="23"/>
        <x:v>4</x:v>
      </x:c>
      <x:c r="Q229" s="30">
        <x:f>COUNTIF($P$3:P229,"=3")</x:f>
        <x:v>26</x:v>
      </x:c>
      <x:c r="R229" s="29">
        <x:f>WORKDAY(기본입력!$H$2,Q229-1,공휴일)</x:f>
        <x:v>45964</x:v>
      </x:c>
    </x:row>
    <x:row r="230" spans="1:18">
      <x:c r="A230" s="145" t="str">
        <x:f t="shared" si="22"/>
        <x:v>20251103</x:v>
      </x:c>
      <x:c r="B230" s="8" t="s">
        <x:v>5</x:v>
      </x:c>
      <x:c r="C230" s="8">
        <x:v>1740</x:v>
      </x:c>
      <x:c r="D230" s="7" t="s">
        <x:v>1</x:v>
      </x:c>
      <x:c r="E230" s="8" t="s">
        <x:v>87</x:v>
      </x:c>
      <x:c r="F230" s="8" t="s">
        <x:v>40</x:v>
      </x:c>
      <x:c r="G230" s="15" t="str">
        <x:f>IF(OR(N230="",N230&gt;기본입력!$C$34),"",VLOOKUP(O230,기본입력!$A$9:$F$33,5))</x:f>
        <x:v>양현수_53778</x:v>
      </x:c>
      <x:c r="H230" s="15" t="str">
        <x:f>IF(OR(N230="",N230&gt;기본입력!$C$34),"",기본입력!$C$6)</x:f>
        <x:v>1교육실(실습겸용강의실)_243089</x:v>
      </x:c>
      <x:c r="I230" s="15" t="str">
        <x:f>IF(OR(O230="",N230&gt;기본입력!$C$34),"",VLOOKUP(O230,기본입력!$A$9:$F$33,6,FALSE))</x:f>
        <x:v>AI개발 기초__1</x:v>
      </x:c>
      <x:c r="J230" s="38" t="str">
        <x:f t="shared" si="18"/>
        <x:v>AI개발 기초</x:v>
      </x:c>
      <x:c r="K230" s="38" t="str">
        <x:f t="shared" si="19"/>
        <x:v>1교육실(실습겸용강의실)</x:v>
      </x:c>
      <x:c r="L230" s="38" t="str">
        <x:f t="shared" si="20"/>
        <x:v>양현수</x:v>
      </x:c>
      <x:c r="M230" s="63"/>
      <x:c r="N230" s="30">
        <x:f>IF(F230="2","",COUNTIF($F$3:$F230,"=1"))</x:f>
        <x:v>203</x:v>
      </x:c>
      <x:c r="O230" s="30">
        <x:f t="shared" si="21"/>
        <x:v>4</x:v>
      </x:c>
      <x:c r="P230" s="30">
        <x:f t="shared" si="23"/>
        <x:v>5</x:v>
      </x:c>
      <x:c r="Q230" s="30">
        <x:f>COUNTIF($P$3:P230,"=3")</x:f>
        <x:v>26</x:v>
      </x:c>
      <x:c r="R230" s="29">
        <x:f>WORKDAY(기본입력!$H$2,Q230-1,공휴일)</x:f>
        <x:v>45964</x:v>
      </x:c>
    </x:row>
    <x:row r="231" spans="1:18">
      <x:c r="A231" s="145" t="str">
        <x:f t="shared" si="22"/>
        <x:v>20251103</x:v>
      </x:c>
      <x:c r="B231" s="8" t="s">
        <x:v>5</x:v>
      </x:c>
      <x:c r="C231" s="8">
        <x:v>1740</x:v>
      </x:c>
      <x:c r="D231" s="7" t="s">
        <x:v>1</x:v>
      </x:c>
      <x:c r="E231" s="8" t="s">
        <x:v>88</x:v>
      </x:c>
      <x:c r="F231" s="8" t="s">
        <x:v>40</x:v>
      </x:c>
      <x:c r="G231" s="15" t="str">
        <x:f>IF(OR(N231="",N231&gt;기본입력!$C$34),"",VLOOKUP(O231,기본입력!$A$9:$F$33,5))</x:f>
        <x:v>양현수_53778</x:v>
      </x:c>
      <x:c r="H231" s="15" t="str">
        <x:f>IF(OR(N231="",N231&gt;기본입력!$C$34),"",기본입력!$C$6)</x:f>
        <x:v>1교육실(실습겸용강의실)_243089</x:v>
      </x:c>
      <x:c r="I231" s="15" t="str">
        <x:f>IF(OR(O231="",N231&gt;기본입력!$C$34),"",VLOOKUP(O231,기본입력!$A$9:$F$33,6,FALSE))</x:f>
        <x:v>AI개발 기초__1</x:v>
      </x:c>
      <x:c r="J231" s="38" t="str">
        <x:f t="shared" si="18"/>
        <x:v>AI개발 기초</x:v>
      </x:c>
      <x:c r="K231" s="38" t="str">
        <x:f t="shared" si="19"/>
        <x:v>1교육실(실습겸용강의실)</x:v>
      </x:c>
      <x:c r="L231" s="38" t="str">
        <x:f t="shared" si="20"/>
        <x:v>양현수</x:v>
      </x:c>
      <x:c r="M231" s="63"/>
      <x:c r="N231" s="30">
        <x:f>IF(F231="2","",COUNTIF($F$3:$F231,"=1"))</x:f>
        <x:v>204</x:v>
      </x:c>
      <x:c r="O231" s="30">
        <x:f t="shared" si="21"/>
        <x:v>4</x:v>
      </x:c>
      <x:c r="P231" s="30">
        <x:f t="shared" si="23"/>
        <x:v>6</x:v>
      </x:c>
      <x:c r="Q231" s="30">
        <x:f>COUNTIF($P$3:P231,"=3")</x:f>
        <x:v>26</x:v>
      </x:c>
      <x:c r="R231" s="29">
        <x:f>WORKDAY(기본입력!$H$2,Q231-1,공휴일)</x:f>
        <x:v>45964</x:v>
      </x:c>
    </x:row>
    <x:row r="232" spans="1:18">
      <x:c r="A232" s="145" t="str">
        <x:f t="shared" si="22"/>
        <x:v>20251103</x:v>
      </x:c>
      <x:c r="B232" s="8" t="s">
        <x:v>5</x:v>
      </x:c>
      <x:c r="C232" s="8">
        <x:v>1740</x:v>
      </x:c>
      <x:c r="D232" s="7" t="s">
        <x:v>1</x:v>
      </x:c>
      <x:c r="E232" s="8" t="s">
        <x:v>0</x:v>
      </x:c>
      <x:c r="F232" s="8" t="s">
        <x:v>41</x:v>
      </x:c>
      <x:c r="G232" s="15" t="str">
        <x:f>IF(OR(N232="",N232&gt;기본입력!$C$34),"",VLOOKUP(O232,기본입력!$A$9:$F$33,5))</x:f>
        <x:v/>
      </x:c>
      <x:c r="H232" s="15" t="str">
        <x:f>IF(OR(N232="",N232&gt;기본입력!$C$34),"",기본입력!$C$6)</x:f>
        <x:v/>
      </x:c>
      <x:c r="I232" s="15" t="str">
        <x:f>IF(OR(O232="",N232&gt;기본입력!$C$34),"",VLOOKUP(O232,기본입력!$A$9:$F$33,6,FALSE))</x:f>
        <x:v/>
      </x:c>
      <x:c r="J232" s="38" t="str">
        <x:f t="shared" si="18"/>
        <x:v/>
      </x:c>
      <x:c r="K232" s="38" t="str">
        <x:f t="shared" si="19"/>
        <x:v/>
      </x:c>
      <x:c r="L232" s="38" t="str">
        <x:f t="shared" si="20"/>
        <x:v/>
      </x:c>
      <x:c r="M232" s="63"/>
      <x:c r="N232" s="30" t="str">
        <x:f>IF(F232="2","",COUNTIF($F$3:$F232,"=1"))</x:f>
        <x:v/>
      </x:c>
      <x:c r="O232" s="30" t="str">
        <x:f t="shared" si="21"/>
        <x:v/>
      </x:c>
      <x:c r="P232" s="30">
        <x:f t="shared" si="23"/>
        <x:v>7</x:v>
      </x:c>
      <x:c r="Q232" s="30">
        <x:f>COUNTIF($P$3:P232,"=3")</x:f>
        <x:v>26</x:v>
      </x:c>
      <x:c r="R232" s="29">
        <x:f>WORKDAY(기본입력!$H$2,Q232-1,공휴일)</x:f>
        <x:v>45964</x:v>
      </x:c>
    </x:row>
    <x:row r="233" spans="1:18">
      <x:c r="A233" s="145" t="str">
        <x:f t="shared" si="22"/>
        <x:v>20251103</x:v>
      </x:c>
      <x:c r="B233" s="8" t="s">
        <x:v>5</x:v>
      </x:c>
      <x:c r="C233" s="8">
        <x:v>1740</x:v>
      </x:c>
      <x:c r="D233" s="7" t="s">
        <x:v>1</x:v>
      </x:c>
      <x:c r="E233" s="8">
        <x:v>1340</x:v>
      </x:c>
      <x:c r="F233" s="8" t="s">
        <x:v>40</x:v>
      </x:c>
      <x:c r="G233" s="15" t="str">
        <x:f>IF(OR(N233="",N233&gt;기본입력!$C$34),"",VLOOKUP(O233,기본입력!$A$9:$F$33,5))</x:f>
        <x:v>양현수_53778</x:v>
      </x:c>
      <x:c r="H233" s="15" t="str">
        <x:f>IF(OR(N233="",N233&gt;기본입력!$C$34),"",기본입력!$C$6)</x:f>
        <x:v>1교육실(실습겸용강의실)_243089</x:v>
      </x:c>
      <x:c r="I233" s="15" t="str">
        <x:f>IF(OR(O233="",N233&gt;기본입력!$C$34),"",VLOOKUP(O233,기본입력!$A$9:$F$33,6,FALSE))</x:f>
        <x:v>AI개발 기초__1</x:v>
      </x:c>
      <x:c r="J233" s="38" t="str">
        <x:f t="shared" si="18"/>
        <x:v>AI개발 기초</x:v>
      </x:c>
      <x:c r="K233" s="38" t="str">
        <x:f t="shared" si="19"/>
        <x:v>1교육실(실습겸용강의실)</x:v>
      </x:c>
      <x:c r="L233" s="38" t="str">
        <x:f t="shared" si="20"/>
        <x:v>양현수</x:v>
      </x:c>
      <x:c r="M233" s="63"/>
      <x:c r="N233" s="30">
        <x:f>IF(F233="2","",COUNTIF($F$3:$F233,"=1"))</x:f>
        <x:v>205</x:v>
      </x:c>
      <x:c r="O233" s="30">
        <x:f t="shared" si="21"/>
        <x:v>4</x:v>
      </x:c>
      <x:c r="P233" s="30">
        <x:f t="shared" si="23"/>
        <x:v>8</x:v>
      </x:c>
      <x:c r="Q233" s="30">
        <x:f>COUNTIF($P$3:P233,"=3")</x:f>
        <x:v>26</x:v>
      </x:c>
      <x:c r="R233" s="29">
        <x:f>WORKDAY(기본입력!$H$2,Q233-1,공휴일)</x:f>
        <x:v>45964</x:v>
      </x:c>
    </x:row>
    <x:row r="234" spans="1:18">
      <x:c r="A234" s="145" t="str">
        <x:f t="shared" si="22"/>
        <x:v>20251103</x:v>
      </x:c>
      <x:c r="B234" s="8" t="s">
        <x:v>5</x:v>
      </x:c>
      <x:c r="C234" s="8">
        <x:v>1740</x:v>
      </x:c>
      <x:c r="D234" s="7" t="s">
        <x:v>1</x:v>
      </x:c>
      <x:c r="E234" s="8">
        <x:v>1440</x:v>
      </x:c>
      <x:c r="F234" s="8" t="s">
        <x:v>40</x:v>
      </x:c>
      <x:c r="G234" s="15" t="str">
        <x:f>IF(OR(N234="",N234&gt;기본입력!$C$34),"",VLOOKUP(O234,기본입력!$A$9:$F$33,5))</x:f>
        <x:v>양현수_53778</x:v>
      </x:c>
      <x:c r="H234" s="15" t="str">
        <x:f>IF(OR(N234="",N234&gt;기본입력!$C$34),"",기본입력!$C$6)</x:f>
        <x:v>1교육실(실습겸용강의실)_243089</x:v>
      </x:c>
      <x:c r="I234" s="15" t="str">
        <x:f>IF(OR(O234="",N234&gt;기본입력!$C$34),"",VLOOKUP(O234,기본입력!$A$9:$F$33,6,FALSE))</x:f>
        <x:v>AI개발 기초__1</x:v>
      </x:c>
      <x:c r="J234" s="38" t="str">
        <x:f t="shared" si="18"/>
        <x:v>AI개발 기초</x:v>
      </x:c>
      <x:c r="K234" s="38" t="str">
        <x:f t="shared" si="19"/>
        <x:v>1교육실(실습겸용강의실)</x:v>
      </x:c>
      <x:c r="L234" s="38" t="str">
        <x:f t="shared" si="20"/>
        <x:v>양현수</x:v>
      </x:c>
      <x:c r="M234" s="63"/>
      <x:c r="N234" s="30">
        <x:f>IF(F234="2","",COUNTIF($F$3:$F234,"=1"))</x:f>
        <x:v>206</x:v>
      </x:c>
      <x:c r="O234" s="30">
        <x:f t="shared" si="21"/>
        <x:v>4</x:v>
      </x:c>
      <x:c r="P234" s="30">
        <x:f t="shared" si="23"/>
        <x:v>0</x:v>
      </x:c>
      <x:c r="Q234" s="30">
        <x:f>COUNTIF($P$3:P234,"=3")</x:f>
        <x:v>26</x:v>
      </x:c>
      <x:c r="R234" s="29">
        <x:f>WORKDAY(기본입력!$H$2,Q234-1,공휴일)</x:f>
        <x:v>45964</x:v>
      </x:c>
    </x:row>
    <x:row r="235" spans="1:18">
      <x:c r="A235" s="145" t="str">
        <x:f t="shared" si="22"/>
        <x:v>20251103</x:v>
      </x:c>
      <x:c r="B235" s="8" t="s">
        <x:v>5</x:v>
      </x:c>
      <x:c r="C235" s="8">
        <x:v>1740</x:v>
      </x:c>
      <x:c r="D235" s="7" t="s">
        <x:v>1</x:v>
      </x:c>
      <x:c r="E235" s="8">
        <x:v>1540</x:v>
      </x:c>
      <x:c r="F235" s="8" t="s">
        <x:v>40</x:v>
      </x:c>
      <x:c r="G235" s="15" t="str">
        <x:f>IF(OR(N235="",N235&gt;기본입력!$C$34),"",VLOOKUP(O235,기본입력!$A$9:$F$33,5))</x:f>
        <x:v>양현수_53778</x:v>
      </x:c>
      <x:c r="H235" s="15" t="str">
        <x:f>IF(OR(N235="",N235&gt;기본입력!$C$34),"",기본입력!$C$6)</x:f>
        <x:v>1교육실(실습겸용강의실)_243089</x:v>
      </x:c>
      <x:c r="I235" s="15" t="str">
        <x:f>IF(OR(O235="",N235&gt;기본입력!$C$34),"",VLOOKUP(O235,기본입력!$A$9:$F$33,6,FALSE))</x:f>
        <x:v>AI개발 기초__1</x:v>
      </x:c>
      <x:c r="J235" s="38" t="str">
        <x:f t="shared" si="18"/>
        <x:v>AI개발 기초</x:v>
      </x:c>
      <x:c r="K235" s="38" t="str">
        <x:f t="shared" si="19"/>
        <x:v>1교육실(실습겸용강의실)</x:v>
      </x:c>
      <x:c r="L235" s="38" t="str">
        <x:f t="shared" si="20"/>
        <x:v>양현수</x:v>
      </x:c>
      <x:c r="M235" s="63"/>
      <x:c r="N235" s="30">
        <x:f>IF(F235="2","",COUNTIF($F$3:$F235,"=1"))</x:f>
        <x:v>207</x:v>
      </x:c>
      <x:c r="O235" s="30">
        <x:f t="shared" si="21"/>
        <x:v>4</x:v>
      </x:c>
      <x:c r="P235" s="30">
        <x:f t="shared" si="23"/>
        <x:v>1</x:v>
      </x:c>
      <x:c r="Q235" s="30">
        <x:f>COUNTIF($P$3:P235,"=3")</x:f>
        <x:v>26</x:v>
      </x:c>
      <x:c r="R235" s="29">
        <x:f>WORKDAY(기본입력!$H$2,Q235-1,공휴일)</x:f>
        <x:v>45964</x:v>
      </x:c>
    </x:row>
    <x:row r="236" spans="1:18">
      <x:c r="A236" s="145" t="str">
        <x:f t="shared" si="22"/>
        <x:v>20251103</x:v>
      </x:c>
      <x:c r="B236" s="8" t="s">
        <x:v>5</x:v>
      </x:c>
      <x:c r="C236" s="8">
        <x:v>1740</x:v>
      </x:c>
      <x:c r="D236" s="7" t="s">
        <x:v>1</x:v>
      </x:c>
      <x:c r="E236" s="8">
        <x:v>1640</x:v>
      </x:c>
      <x:c r="F236" s="8" t="s">
        <x:v>40</x:v>
      </x:c>
      <x:c r="G236" s="15" t="str">
        <x:f>IF(OR(N236="",N236&gt;기본입력!$C$34),"",VLOOKUP(O236,기본입력!$A$9:$F$33,5))</x:f>
        <x:v>양현수_53778</x:v>
      </x:c>
      <x:c r="H236" s="15" t="str">
        <x:f>IF(OR(N236="",N236&gt;기본입력!$C$34),"",기본입력!$C$6)</x:f>
        <x:v>1교육실(실습겸용강의실)_243089</x:v>
      </x:c>
      <x:c r="I236" s="15" t="str">
        <x:f>IF(OR(O236="",N236&gt;기본입력!$C$34),"",VLOOKUP(O236,기본입력!$A$9:$F$33,6,FALSE))</x:f>
        <x:v>AI개발 기초__1</x:v>
      </x:c>
      <x:c r="J236" s="38" t="str">
        <x:f t="shared" si="18"/>
        <x:v>AI개발 기초</x:v>
      </x:c>
      <x:c r="K236" s="38" t="str">
        <x:f t="shared" si="19"/>
        <x:v>1교육실(실습겸용강의실)</x:v>
      </x:c>
      <x:c r="L236" s="38" t="str">
        <x:f t="shared" si="20"/>
        <x:v>양현수</x:v>
      </x:c>
      <x:c r="M236" s="63"/>
      <x:c r="N236" s="30">
        <x:f>IF(F236="2","",COUNTIF($F$3:$F236,"=1"))</x:f>
        <x:v>208</x:v>
      </x:c>
      <x:c r="O236" s="30">
        <x:f t="shared" si="21"/>
        <x:v>4</x:v>
      </x:c>
      <x:c r="P236" s="30">
        <x:f t="shared" si="23"/>
        <x:v>2</x:v>
      </x:c>
      <x:c r="Q236" s="30">
        <x:f>COUNTIF($P$3:P236,"=3")</x:f>
        <x:v>26</x:v>
      </x:c>
      <x:c r="R236" s="29">
        <x:f>WORKDAY(기본입력!$H$2,Q236-1,공휴일)</x:f>
        <x:v>45964</x:v>
      </x:c>
    </x:row>
    <x:row r="237" spans="1:18">
      <x:c r="A237" s="144" t="str">
        <x:f t="shared" si="22"/>
        <x:v>20251104</x:v>
      </x:c>
      <x:c r="B237" s="6" t="s">
        <x:v>5</x:v>
      </x:c>
      <x:c r="C237" s="6">
        <x:v>1740</x:v>
      </x:c>
      <x:c r="D237" s="5" t="s">
        <x:v>1</x:v>
      </x:c>
      <x:c r="E237" s="6" t="s">
        <x:v>5</x:v>
      </x:c>
      <x:c r="F237" s="6" t="s">
        <x:v>40</x:v>
      </x:c>
      <x:c r="G237" s="14" t="str">
        <x:f>IF(OR(N237="",N237&gt;기본입력!$C$34),"",VLOOKUP(O237,기본입력!$A$9:$F$33,5))</x:f>
        <x:v>양현수_53778</x:v>
      </x:c>
      <x:c r="H237" s="14" t="str">
        <x:f>IF(OR(N237="",N237&gt;기본입력!$C$34),"",기본입력!$C$6)</x:f>
        <x:v>1교육실(실습겸용강의실)_243089</x:v>
      </x:c>
      <x:c r="I237" s="14" t="str">
        <x:f>IF(OR(O237="",N237&gt;기본입력!$C$34),"",VLOOKUP(O237,기본입력!$A$9:$F$33,6,FALSE))</x:f>
        <x:v>AI개발 기초__1</x:v>
      </x:c>
      <x:c r="J237" s="38" t="str">
        <x:f t="shared" si="18"/>
        <x:v>AI개발 기초</x:v>
      </x:c>
      <x:c r="K237" s="38" t="str">
        <x:f t="shared" si="19"/>
        <x:v>1교육실(실습겸용강의실)</x:v>
      </x:c>
      <x:c r="L237" s="38" t="str">
        <x:f t="shared" si="20"/>
        <x:v>양현수</x:v>
      </x:c>
      <x:c r="M237" s="63"/>
      <x:c r="N237" s="30">
        <x:f>IF(F237="2","",COUNTIF($F$3:$F237,"=1"))</x:f>
        <x:v>209</x:v>
      </x:c>
      <x:c r="O237" s="30">
        <x:f t="shared" si="21"/>
        <x:v>4</x:v>
      </x:c>
      <x:c r="P237" s="30">
        <x:f t="shared" si="23"/>
        <x:v>3</x:v>
      </x:c>
      <x:c r="Q237" s="30">
        <x:f>COUNTIF($P$3:P237,"=3")</x:f>
        <x:v>27</x:v>
      </x:c>
      <x:c r="R237" s="29">
        <x:f>WORKDAY(기본입력!$H$2,Q237-1,공휴일)</x:f>
        <x:v>45965</x:v>
      </x:c>
    </x:row>
    <x:row r="238" spans="1:18">
      <x:c r="A238" s="144" t="str">
        <x:f t="shared" si="22"/>
        <x:v>20251104</x:v>
      </x:c>
      <x:c r="B238" s="6" t="s">
        <x:v>5</x:v>
      </x:c>
      <x:c r="C238" s="6">
        <x:v>1740</x:v>
      </x:c>
      <x:c r="D238" s="5" t="s">
        <x:v>1</x:v>
      </x:c>
      <x:c r="E238" s="6" t="s">
        <x:v>117</x:v>
      </x:c>
      <x:c r="F238" s="6" t="s">
        <x:v>40</x:v>
      </x:c>
      <x:c r="G238" s="14" t="str">
        <x:f>IF(OR(N238="",N238&gt;기본입력!$C$34),"",VLOOKUP(O238,기본입력!$A$9:$F$33,5))</x:f>
        <x:v>양현수_53778</x:v>
      </x:c>
      <x:c r="H238" s="14" t="str">
        <x:f>IF(OR(N238="",N238&gt;기본입력!$C$34),"",기본입력!$C$6)</x:f>
        <x:v>1교육실(실습겸용강의실)_243089</x:v>
      </x:c>
      <x:c r="I238" s="14" t="str">
        <x:f>IF(OR(O238="",N238&gt;기본입력!$C$34),"",VLOOKUP(O238,기본입력!$A$9:$F$33,6,FALSE))</x:f>
        <x:v>AI개발 기초__1</x:v>
      </x:c>
      <x:c r="J238" s="38" t="str">
        <x:f t="shared" si="18"/>
        <x:v>AI개발 기초</x:v>
      </x:c>
      <x:c r="K238" s="38" t="str">
        <x:f t="shared" si="19"/>
        <x:v>1교육실(실습겸용강의실)</x:v>
      </x:c>
      <x:c r="L238" s="38" t="str">
        <x:f t="shared" si="20"/>
        <x:v>양현수</x:v>
      </x:c>
      <x:c r="M238" s="63"/>
      <x:c r="N238" s="30">
        <x:f>IF(F238="2","",COUNTIF($F$3:$F238,"=1"))</x:f>
        <x:v>210</x:v>
      </x:c>
      <x:c r="O238" s="30">
        <x:f t="shared" si="21"/>
        <x:v>4</x:v>
      </x:c>
      <x:c r="P238" s="30">
        <x:f t="shared" si="23"/>
        <x:v>4</x:v>
      </x:c>
      <x:c r="Q238" s="30">
        <x:f>COUNTIF($P$3:P238,"=3")</x:f>
        <x:v>27</x:v>
      </x:c>
      <x:c r="R238" s="29">
        <x:f>WORKDAY(기본입력!$H$2,Q238-1,공휴일)</x:f>
        <x:v>45965</x:v>
      </x:c>
    </x:row>
    <x:row r="239" spans="1:18">
      <x:c r="A239" s="144" t="str">
        <x:f t="shared" si="22"/>
        <x:v>20251104</x:v>
      </x:c>
      <x:c r="B239" s="6" t="s">
        <x:v>5</x:v>
      </x:c>
      <x:c r="C239" s="6">
        <x:v>1740</x:v>
      </x:c>
      <x:c r="D239" s="5" t="s">
        <x:v>1</x:v>
      </x:c>
      <x:c r="E239" s="6" t="s">
        <x:v>87</x:v>
      </x:c>
      <x:c r="F239" s="6" t="s">
        <x:v>40</x:v>
      </x:c>
      <x:c r="G239" s="14" t="str">
        <x:f>IF(OR(N239="",N239&gt;기본입력!$C$34),"",VLOOKUP(O239,기본입력!$A$9:$F$33,5))</x:f>
        <x:v>양현수_53778</x:v>
      </x:c>
      <x:c r="H239" s="14" t="str">
        <x:f>IF(OR(N239="",N239&gt;기본입력!$C$34),"",기본입력!$C$6)</x:f>
        <x:v>1교육실(실습겸용강의실)_243089</x:v>
      </x:c>
      <x:c r="I239" s="14" t="str">
        <x:f>IF(OR(O239="",N239&gt;기본입력!$C$34),"",VLOOKUP(O239,기본입력!$A$9:$F$33,6,FALSE))</x:f>
        <x:v>AI개발 기초__1</x:v>
      </x:c>
      <x:c r="J239" s="38" t="str">
        <x:f t="shared" si="18"/>
        <x:v>AI개발 기초</x:v>
      </x:c>
      <x:c r="K239" s="38" t="str">
        <x:f t="shared" si="19"/>
        <x:v>1교육실(실습겸용강의실)</x:v>
      </x:c>
      <x:c r="L239" s="38" t="str">
        <x:f t="shared" si="20"/>
        <x:v>양현수</x:v>
      </x:c>
      <x:c r="M239" s="63"/>
      <x:c r="N239" s="30">
        <x:f>IF(F239="2","",COUNTIF($F$3:$F239,"=1"))</x:f>
        <x:v>211</x:v>
      </x:c>
      <x:c r="O239" s="30">
        <x:f t="shared" si="21"/>
        <x:v>4</x:v>
      </x:c>
      <x:c r="P239" s="30">
        <x:f t="shared" si="23"/>
        <x:v>5</x:v>
      </x:c>
      <x:c r="Q239" s="30">
        <x:f>COUNTIF($P$3:P239,"=3")</x:f>
        <x:v>27</x:v>
      </x:c>
      <x:c r="R239" s="29">
        <x:f>WORKDAY(기본입력!$H$2,Q239-1,공휴일)</x:f>
        <x:v>45965</x:v>
      </x:c>
    </x:row>
    <x:row r="240" spans="1:18">
      <x:c r="A240" s="144" t="str">
        <x:f t="shared" si="22"/>
        <x:v>20251104</x:v>
      </x:c>
      <x:c r="B240" s="6" t="s">
        <x:v>5</x:v>
      </x:c>
      <x:c r="C240" s="6">
        <x:v>1740</x:v>
      </x:c>
      <x:c r="D240" s="5" t="s">
        <x:v>1</x:v>
      </x:c>
      <x:c r="E240" s="6" t="s">
        <x:v>88</x:v>
      </x:c>
      <x:c r="F240" s="6" t="s">
        <x:v>40</x:v>
      </x:c>
      <x:c r="G240" s="14" t="str">
        <x:f>IF(OR(N240="",N240&gt;기본입력!$C$34),"",VLOOKUP(O240,기본입력!$A$9:$F$33,5))</x:f>
        <x:v>양현수_53778</x:v>
      </x:c>
      <x:c r="H240" s="14" t="str">
        <x:f>IF(OR(N240="",N240&gt;기본입력!$C$34),"",기본입력!$C$6)</x:f>
        <x:v>1교육실(실습겸용강의실)_243089</x:v>
      </x:c>
      <x:c r="I240" s="14" t="str">
        <x:f>IF(OR(O240="",N240&gt;기본입력!$C$34),"",VLOOKUP(O240,기본입력!$A$9:$F$33,6,FALSE))</x:f>
        <x:v>AI개발 기초__1</x:v>
      </x:c>
      <x:c r="J240" s="38" t="str">
        <x:f t="shared" si="18"/>
        <x:v>AI개발 기초</x:v>
      </x:c>
      <x:c r="K240" s="38" t="str">
        <x:f t="shared" si="19"/>
        <x:v>1교육실(실습겸용강의실)</x:v>
      </x:c>
      <x:c r="L240" s="38" t="str">
        <x:f t="shared" si="20"/>
        <x:v>양현수</x:v>
      </x:c>
      <x:c r="M240" s="63"/>
      <x:c r="N240" s="30">
        <x:f>IF(F240="2","",COUNTIF($F$3:$F240,"=1"))</x:f>
        <x:v>212</x:v>
      </x:c>
      <x:c r="O240" s="30">
        <x:f t="shared" si="21"/>
        <x:v>4</x:v>
      </x:c>
      <x:c r="P240" s="30">
        <x:f t="shared" si="23"/>
        <x:v>6</x:v>
      </x:c>
      <x:c r="Q240" s="30">
        <x:f>COUNTIF($P$3:P240,"=3")</x:f>
        <x:v>27</x:v>
      </x:c>
      <x:c r="R240" s="29">
        <x:f>WORKDAY(기본입력!$H$2,Q240-1,공휴일)</x:f>
        <x:v>45965</x:v>
      </x:c>
    </x:row>
    <x:row r="241" spans="1:18">
      <x:c r="A241" s="144" t="str">
        <x:f t="shared" si="22"/>
        <x:v>20251104</x:v>
      </x:c>
      <x:c r="B241" s="6" t="s">
        <x:v>5</x:v>
      </x:c>
      <x:c r="C241" s="6">
        <x:v>1740</x:v>
      </x:c>
      <x:c r="D241" s="5" t="s">
        <x:v>1</x:v>
      </x:c>
      <x:c r="E241" s="6" t="s">
        <x:v>0</x:v>
      </x:c>
      <x:c r="F241" s="6" t="s">
        <x:v>41</x:v>
      </x:c>
      <x:c r="G241" s="14" t="str">
        <x:f>IF(OR(N241="",N241&gt;기본입력!$C$34),"",VLOOKUP(O241,기본입력!$A$9:$F$33,5))</x:f>
        <x:v/>
      </x:c>
      <x:c r="H241" s="14" t="str">
        <x:f>IF(OR(N241="",N241&gt;기본입력!$C$34),"",기본입력!$C$6)</x:f>
        <x:v/>
      </x:c>
      <x:c r="I241" s="14" t="str">
        <x:f>IF(OR(O241="",N241&gt;기본입력!$C$34),"",VLOOKUP(O241,기본입력!$A$9:$F$33,6,FALSE))</x:f>
        <x:v/>
      </x:c>
      <x:c r="J241" s="38" t="str">
        <x:f t="shared" si="18"/>
        <x:v/>
      </x:c>
      <x:c r="K241" s="38" t="str">
        <x:f t="shared" si="19"/>
        <x:v/>
      </x:c>
      <x:c r="L241" s="38" t="str">
        <x:f t="shared" si="20"/>
        <x:v/>
      </x:c>
      <x:c r="M241" s="63"/>
      <x:c r="N241" s="30" t="str">
        <x:f>IF(F241="2","",COUNTIF($F$3:$F241,"=1"))</x:f>
        <x:v/>
      </x:c>
      <x:c r="O241" s="30" t="str">
        <x:f t="shared" si="21"/>
        <x:v/>
      </x:c>
      <x:c r="P241" s="30">
        <x:f t="shared" si="23"/>
        <x:v>7</x:v>
      </x:c>
      <x:c r="Q241" s="30">
        <x:f>COUNTIF($P$3:P241,"=3")</x:f>
        <x:v>27</x:v>
      </x:c>
      <x:c r="R241" s="29">
        <x:f>WORKDAY(기본입력!$H$2,Q241-1,공휴일)</x:f>
        <x:v>45965</x:v>
      </x:c>
    </x:row>
    <x:row r="242" spans="1:18">
      <x:c r="A242" s="144" t="str">
        <x:f t="shared" si="22"/>
        <x:v>20251104</x:v>
      </x:c>
      <x:c r="B242" s="6" t="s">
        <x:v>5</x:v>
      </x:c>
      <x:c r="C242" s="6">
        <x:v>1740</x:v>
      </x:c>
      <x:c r="D242" s="5" t="s">
        <x:v>1</x:v>
      </x:c>
      <x:c r="E242" s="6">
        <x:v>1340</x:v>
      </x:c>
      <x:c r="F242" s="6" t="s">
        <x:v>40</x:v>
      </x:c>
      <x:c r="G242" s="14" t="str">
        <x:f>IF(OR(N242="",N242&gt;기본입력!$C$34),"",VLOOKUP(O242,기본입력!$A$9:$F$33,5))</x:f>
        <x:v>양현수_53778</x:v>
      </x:c>
      <x:c r="H242" s="14" t="str">
        <x:f>IF(OR(N242="",N242&gt;기본입력!$C$34),"",기본입력!$C$6)</x:f>
        <x:v>1교육실(실습겸용강의실)_243089</x:v>
      </x:c>
      <x:c r="I242" s="14" t="str">
        <x:f>IF(OR(O242="",N242&gt;기본입력!$C$34),"",VLOOKUP(O242,기본입력!$A$9:$F$33,6,FALSE))</x:f>
        <x:v>AI개발 기초__1</x:v>
      </x:c>
      <x:c r="J242" s="38" t="str">
        <x:f t="shared" ref="J242:J305" si="24">IF(F242="2","",LEFT(I242,FIND("_",I242,2)-1))</x:f>
        <x:v>AI개발 기초</x:v>
      </x:c>
      <x:c r="K242" s="38" t="str">
        <x:f t="shared" ref="K242:K305" si="25">IF(F242="2","",LEFT(H242,FIND("_",H242,2)-1))</x:f>
        <x:v>1교육실(실습겸용강의실)</x:v>
      </x:c>
      <x:c r="L242" s="38" t="str">
        <x:f t="shared" ref="L242:L305" si="26">IF(F242="2","",LEFT(G242,FIND("_",G242,2)-1))</x:f>
        <x:v>양현수</x:v>
      </x:c>
      <x:c r="M242" s="63"/>
      <x:c r="N242" s="30">
        <x:f>IF(F242="2","",COUNTIF($F$3:$F242,"=1"))</x:f>
        <x:v>213</x:v>
      </x:c>
      <x:c r="O242" s="30">
        <x:f t="shared" si="21"/>
        <x:v>4</x:v>
      </x:c>
      <x:c r="P242" s="30">
        <x:f t="shared" si="23"/>
        <x:v>8</x:v>
      </x:c>
      <x:c r="Q242" s="30">
        <x:f>COUNTIF($P$3:P242,"=3")</x:f>
        <x:v>27</x:v>
      </x:c>
      <x:c r="R242" s="29">
        <x:f>WORKDAY(기본입력!$H$2,Q242-1,공휴일)</x:f>
        <x:v>45965</x:v>
      </x:c>
    </x:row>
    <x:row r="243" spans="1:18">
      <x:c r="A243" s="144" t="str">
        <x:f t="shared" si="22"/>
        <x:v>20251104</x:v>
      </x:c>
      <x:c r="B243" s="6" t="s">
        <x:v>5</x:v>
      </x:c>
      <x:c r="C243" s="6">
        <x:v>1740</x:v>
      </x:c>
      <x:c r="D243" s="5" t="s">
        <x:v>1</x:v>
      </x:c>
      <x:c r="E243" s="6">
        <x:v>1440</x:v>
      </x:c>
      <x:c r="F243" s="6" t="s">
        <x:v>40</x:v>
      </x:c>
      <x:c r="G243" s="14" t="str">
        <x:f>IF(OR(N243="",N243&gt;기본입력!$C$34),"",VLOOKUP(O243,기본입력!$A$9:$F$33,5))</x:f>
        <x:v>양현수_53778</x:v>
      </x:c>
      <x:c r="H243" s="14" t="str">
        <x:f>IF(OR(N243="",N243&gt;기본입력!$C$34),"",기본입력!$C$6)</x:f>
        <x:v>1교육실(실습겸용강의실)_243089</x:v>
      </x:c>
      <x:c r="I243" s="14" t="str">
        <x:f>IF(OR(O243="",N243&gt;기본입력!$C$34),"",VLOOKUP(O243,기본입력!$A$9:$F$33,6,FALSE))</x:f>
        <x:v>AI개발 기초__1</x:v>
      </x:c>
      <x:c r="J243" s="38" t="str">
        <x:f t="shared" si="24"/>
        <x:v>AI개발 기초</x:v>
      </x:c>
      <x:c r="K243" s="38" t="str">
        <x:f t="shared" si="25"/>
        <x:v>1교육실(실습겸용강의실)</x:v>
      </x:c>
      <x:c r="L243" s="38" t="str">
        <x:f t="shared" si="26"/>
        <x:v>양현수</x:v>
      </x:c>
      <x:c r="M243" s="63"/>
      <x:c r="N243" s="30">
        <x:f>IF(F243="2","",COUNTIF($F$3:$F243,"=1"))</x:f>
        <x:v>214</x:v>
      </x:c>
      <x:c r="O243" s="30">
        <x:f t="shared" si="21"/>
        <x:v>4</x:v>
      </x:c>
      <x:c r="P243" s="30">
        <x:f t="shared" si="23"/>
        <x:v>0</x:v>
      </x:c>
      <x:c r="Q243" s="30">
        <x:f>COUNTIF($P$3:P243,"=3")</x:f>
        <x:v>27</x:v>
      </x:c>
      <x:c r="R243" s="29">
        <x:f>WORKDAY(기본입력!$H$2,Q243-1,공휴일)</x:f>
        <x:v>45965</x:v>
      </x:c>
    </x:row>
    <x:row r="244" spans="1:18">
      <x:c r="A244" s="144" t="str">
        <x:f t="shared" si="22"/>
        <x:v>20251104</x:v>
      </x:c>
      <x:c r="B244" s="6" t="s">
        <x:v>5</x:v>
      </x:c>
      <x:c r="C244" s="6">
        <x:v>1740</x:v>
      </x:c>
      <x:c r="D244" s="5" t="s">
        <x:v>1</x:v>
      </x:c>
      <x:c r="E244" s="6">
        <x:v>1540</x:v>
      </x:c>
      <x:c r="F244" s="6" t="s">
        <x:v>40</x:v>
      </x:c>
      <x:c r="G244" s="14" t="str">
        <x:f>IF(OR(N244="",N244&gt;기본입력!$C$34),"",VLOOKUP(O244,기본입력!$A$9:$F$33,5))</x:f>
        <x:v>양현수_53778</x:v>
      </x:c>
      <x:c r="H244" s="14" t="str">
        <x:f>IF(OR(N244="",N244&gt;기본입력!$C$34),"",기본입력!$C$6)</x:f>
        <x:v>1교육실(실습겸용강의실)_243089</x:v>
      </x:c>
      <x:c r="I244" s="14" t="str">
        <x:f>IF(OR(O244="",N244&gt;기본입력!$C$34),"",VLOOKUP(O244,기본입력!$A$9:$F$33,6,FALSE))</x:f>
        <x:v>AI개발 기초__1</x:v>
      </x:c>
      <x:c r="J244" s="38" t="str">
        <x:f t="shared" si="24"/>
        <x:v>AI개발 기초</x:v>
      </x:c>
      <x:c r="K244" s="38" t="str">
        <x:f t="shared" si="25"/>
        <x:v>1교육실(실습겸용강의실)</x:v>
      </x:c>
      <x:c r="L244" s="38" t="str">
        <x:f t="shared" si="26"/>
        <x:v>양현수</x:v>
      </x:c>
      <x:c r="M244" s="63"/>
      <x:c r="N244" s="30">
        <x:f>IF(F244="2","",COUNTIF($F$3:$F244,"=1"))</x:f>
        <x:v>215</x:v>
      </x:c>
      <x:c r="O244" s="30">
        <x:f t="shared" si="21"/>
        <x:v>4</x:v>
      </x:c>
      <x:c r="P244" s="30">
        <x:f t="shared" si="23"/>
        <x:v>1</x:v>
      </x:c>
      <x:c r="Q244" s="30">
        <x:f>COUNTIF($P$3:P244,"=3")</x:f>
        <x:v>27</x:v>
      </x:c>
      <x:c r="R244" s="29">
        <x:f>WORKDAY(기본입력!$H$2,Q244-1,공휴일)</x:f>
        <x:v>45965</x:v>
      </x:c>
    </x:row>
    <x:row r="245" spans="1:18">
      <x:c r="A245" s="144" t="str">
        <x:f t="shared" si="22"/>
        <x:v>20251104</x:v>
      </x:c>
      <x:c r="B245" s="6" t="s">
        <x:v>5</x:v>
      </x:c>
      <x:c r="C245" s="6">
        <x:v>1740</x:v>
      </x:c>
      <x:c r="D245" s="5" t="s">
        <x:v>1</x:v>
      </x:c>
      <x:c r="E245" s="6">
        <x:v>1640</x:v>
      </x:c>
      <x:c r="F245" s="6" t="s">
        <x:v>40</x:v>
      </x:c>
      <x:c r="G245" s="14" t="str">
        <x:f>IF(OR(N245="",N245&gt;기본입력!$C$34),"",VLOOKUP(O245,기본입력!$A$9:$F$33,5))</x:f>
        <x:v>양현수_53778</x:v>
      </x:c>
      <x:c r="H245" s="14" t="str">
        <x:f>IF(OR(N245="",N245&gt;기본입력!$C$34),"",기본입력!$C$6)</x:f>
        <x:v>1교육실(실습겸용강의실)_243089</x:v>
      </x:c>
      <x:c r="I245" s="14" t="str">
        <x:f>IF(OR(O245="",N245&gt;기본입력!$C$34),"",VLOOKUP(O245,기본입력!$A$9:$F$33,6,FALSE))</x:f>
        <x:v>AI개발 기초__1</x:v>
      </x:c>
      <x:c r="J245" s="38" t="str">
        <x:f t="shared" si="24"/>
        <x:v>AI개발 기초</x:v>
      </x:c>
      <x:c r="K245" s="38" t="str">
        <x:f t="shared" si="25"/>
        <x:v>1교육실(실습겸용강의실)</x:v>
      </x:c>
      <x:c r="L245" s="38" t="str">
        <x:f t="shared" si="26"/>
        <x:v>양현수</x:v>
      </x:c>
      <x:c r="M245" s="63"/>
      <x:c r="N245" s="30">
        <x:f>IF(F245="2","",COUNTIF($F$3:$F245,"=1"))</x:f>
        <x:v>216</x:v>
      </x:c>
      <x:c r="O245" s="30">
        <x:f t="shared" si="21"/>
        <x:v>4</x:v>
      </x:c>
      <x:c r="P245" s="30">
        <x:f t="shared" si="23"/>
        <x:v>2</x:v>
      </x:c>
      <x:c r="Q245" s="30">
        <x:f>COUNTIF($P$3:P245,"=3")</x:f>
        <x:v>27</x:v>
      </x:c>
      <x:c r="R245" s="29">
        <x:f>WORKDAY(기본입력!$H$2,Q245-1,공휴일)</x:f>
        <x:v>45965</x:v>
      </x:c>
    </x:row>
    <x:row r="246" spans="1:18">
      <x:c r="A246" s="145" t="str">
        <x:f t="shared" si="22"/>
        <x:v>20251105</x:v>
      </x:c>
      <x:c r="B246" s="8" t="s">
        <x:v>5</x:v>
      </x:c>
      <x:c r="C246" s="8">
        <x:v>1740</x:v>
      </x:c>
      <x:c r="D246" s="7" t="s">
        <x:v>1</x:v>
      </x:c>
      <x:c r="E246" s="8" t="s">
        <x:v>5</x:v>
      </x:c>
      <x:c r="F246" s="8" t="s">
        <x:v>40</x:v>
      </x:c>
      <x:c r="G246" s="15" t="str">
        <x:f>IF(OR(N246="",N246&gt;기본입력!$C$34),"",VLOOKUP(O246,기본입력!$A$9:$F$33,5))</x:f>
        <x:v>양현수_53778</x:v>
      </x:c>
      <x:c r="H246" s="15" t="str">
        <x:f>IF(OR(N246="",N246&gt;기본입력!$C$34),"",기본입력!$C$6)</x:f>
        <x:v>1교육실(실습겸용강의실)_243089</x:v>
      </x:c>
      <x:c r="I246" s="15" t="str">
        <x:f>IF(OR(O246="",N246&gt;기본입력!$C$34),"",VLOOKUP(O246,기본입력!$A$9:$F$33,6,FALSE))</x:f>
        <x:v>AI개발 기초__1</x:v>
      </x:c>
      <x:c r="J246" s="38" t="str">
        <x:f t="shared" si="24"/>
        <x:v>AI개발 기초</x:v>
      </x:c>
      <x:c r="K246" s="38" t="str">
        <x:f t="shared" si="25"/>
        <x:v>1교육실(실습겸용강의실)</x:v>
      </x:c>
      <x:c r="L246" s="38" t="str">
        <x:f t="shared" si="26"/>
        <x:v>양현수</x:v>
      </x:c>
      <x:c r="M246" s="63"/>
      <x:c r="N246" s="30">
        <x:f>IF(F246="2","",COUNTIF($F$3:$F246,"=1"))</x:f>
        <x:v>217</x:v>
      </x:c>
      <x:c r="O246" s="30">
        <x:f t="shared" si="21"/>
        <x:v>4</x:v>
      </x:c>
      <x:c r="P246" s="30">
        <x:f t="shared" si="23"/>
        <x:v>3</x:v>
      </x:c>
      <x:c r="Q246" s="30">
        <x:f>COUNTIF($P$3:P246,"=3")</x:f>
        <x:v>28</x:v>
      </x:c>
      <x:c r="R246" s="29">
        <x:f>WORKDAY(기본입력!$H$2,Q246-1,공휴일)</x:f>
        <x:v>45966</x:v>
      </x:c>
    </x:row>
    <x:row r="247" spans="1:18">
      <x:c r="A247" s="145" t="str">
        <x:f t="shared" si="22"/>
        <x:v>20251105</x:v>
      </x:c>
      <x:c r="B247" s="8" t="s">
        <x:v>5</x:v>
      </x:c>
      <x:c r="C247" s="8">
        <x:v>1740</x:v>
      </x:c>
      <x:c r="D247" s="7" t="s">
        <x:v>1</x:v>
      </x:c>
      <x:c r="E247" s="8" t="s">
        <x:v>117</x:v>
      </x:c>
      <x:c r="F247" s="8" t="s">
        <x:v>40</x:v>
      </x:c>
      <x:c r="G247" s="15" t="str">
        <x:f>IF(OR(N247="",N247&gt;기본입력!$C$34),"",VLOOKUP(O247,기본입력!$A$9:$F$33,5))</x:f>
        <x:v>양현수_53778</x:v>
      </x:c>
      <x:c r="H247" s="15" t="str">
        <x:f>IF(OR(N247="",N247&gt;기본입력!$C$34),"",기본입력!$C$6)</x:f>
        <x:v>1교육실(실습겸용강의실)_243089</x:v>
      </x:c>
      <x:c r="I247" s="15" t="str">
        <x:f>IF(OR(O247="",N247&gt;기본입력!$C$34),"",VLOOKUP(O247,기본입력!$A$9:$F$33,6,FALSE))</x:f>
        <x:v>AI개발 기초__1</x:v>
      </x:c>
      <x:c r="J247" s="38" t="str">
        <x:f t="shared" si="24"/>
        <x:v>AI개발 기초</x:v>
      </x:c>
      <x:c r="K247" s="38" t="str">
        <x:f t="shared" si="25"/>
        <x:v>1교육실(실습겸용강의실)</x:v>
      </x:c>
      <x:c r="L247" s="38" t="str">
        <x:f t="shared" si="26"/>
        <x:v>양현수</x:v>
      </x:c>
      <x:c r="M247" s="63"/>
      <x:c r="N247" s="30">
        <x:f>IF(F247="2","",COUNTIF($F$3:$F247,"=1"))</x:f>
        <x:v>218</x:v>
      </x:c>
      <x:c r="O247" s="30">
        <x:f t="shared" si="21"/>
        <x:v>4</x:v>
      </x:c>
      <x:c r="P247" s="30">
        <x:f t="shared" si="23"/>
        <x:v>4</x:v>
      </x:c>
      <x:c r="Q247" s="30">
        <x:f>COUNTIF($P$3:P247,"=3")</x:f>
        <x:v>28</x:v>
      </x:c>
      <x:c r="R247" s="29">
        <x:f>WORKDAY(기본입력!$H$2,Q247-1,공휴일)</x:f>
        <x:v>45966</x:v>
      </x:c>
    </x:row>
    <x:row r="248" spans="1:18">
      <x:c r="A248" s="145" t="str">
        <x:f t="shared" si="22"/>
        <x:v>20251105</x:v>
      </x:c>
      <x:c r="B248" s="8" t="s">
        <x:v>5</x:v>
      </x:c>
      <x:c r="C248" s="8">
        <x:v>1740</x:v>
      </x:c>
      <x:c r="D248" s="7" t="s">
        <x:v>1</x:v>
      </x:c>
      <x:c r="E248" s="8" t="s">
        <x:v>87</x:v>
      </x:c>
      <x:c r="F248" s="8" t="s">
        <x:v>40</x:v>
      </x:c>
      <x:c r="G248" s="15" t="str">
        <x:f>IF(OR(N248="",N248&gt;기본입력!$C$34),"",VLOOKUP(O248,기본입력!$A$9:$F$33,5))</x:f>
        <x:v>양현수_53778</x:v>
      </x:c>
      <x:c r="H248" s="15" t="str">
        <x:f>IF(OR(N248="",N248&gt;기본입력!$C$34),"",기본입력!$C$6)</x:f>
        <x:v>1교육실(실습겸용강의실)_243089</x:v>
      </x:c>
      <x:c r="I248" s="15" t="str">
        <x:f>IF(OR(O248="",N248&gt;기본입력!$C$34),"",VLOOKUP(O248,기본입력!$A$9:$F$33,6,FALSE))</x:f>
        <x:v>AI개발 기초__1</x:v>
      </x:c>
      <x:c r="J248" s="38" t="str">
        <x:f t="shared" si="24"/>
        <x:v>AI개발 기초</x:v>
      </x:c>
      <x:c r="K248" s="38" t="str">
        <x:f t="shared" si="25"/>
        <x:v>1교육실(실습겸용강의실)</x:v>
      </x:c>
      <x:c r="L248" s="38" t="str">
        <x:f t="shared" si="26"/>
        <x:v>양현수</x:v>
      </x:c>
      <x:c r="M248" s="63"/>
      <x:c r="N248" s="30">
        <x:f>IF(F248="2","",COUNTIF($F$3:$F248,"=1"))</x:f>
        <x:v>219</x:v>
      </x:c>
      <x:c r="O248" s="30">
        <x:f t="shared" si="21"/>
        <x:v>4</x:v>
      </x:c>
      <x:c r="P248" s="30">
        <x:f t="shared" si="23"/>
        <x:v>5</x:v>
      </x:c>
      <x:c r="Q248" s="30">
        <x:f>COUNTIF($P$3:P248,"=3")</x:f>
        <x:v>28</x:v>
      </x:c>
      <x:c r="R248" s="29">
        <x:f>WORKDAY(기본입력!$H$2,Q248-1,공휴일)</x:f>
        <x:v>45966</x:v>
      </x:c>
    </x:row>
    <x:row r="249" spans="1:18">
      <x:c r="A249" s="145" t="str">
        <x:f t="shared" si="22"/>
        <x:v>20251105</x:v>
      </x:c>
      <x:c r="B249" s="8" t="s">
        <x:v>5</x:v>
      </x:c>
      <x:c r="C249" s="8">
        <x:v>1740</x:v>
      </x:c>
      <x:c r="D249" s="7" t="s">
        <x:v>1</x:v>
      </x:c>
      <x:c r="E249" s="8" t="s">
        <x:v>88</x:v>
      </x:c>
      <x:c r="F249" s="8" t="s">
        <x:v>40</x:v>
      </x:c>
      <x:c r="G249" s="15" t="str">
        <x:f>IF(OR(N249="",N249&gt;기본입력!$C$34),"",VLOOKUP(O249,기본입력!$A$9:$F$33,5))</x:f>
        <x:v>양현수_53778</x:v>
      </x:c>
      <x:c r="H249" s="15" t="str">
        <x:f>IF(OR(N249="",N249&gt;기본입력!$C$34),"",기본입력!$C$6)</x:f>
        <x:v>1교육실(실습겸용강의실)_243089</x:v>
      </x:c>
      <x:c r="I249" s="15" t="str">
        <x:f>IF(OR(O249="",N249&gt;기본입력!$C$34),"",VLOOKUP(O249,기본입력!$A$9:$F$33,6,FALSE))</x:f>
        <x:v>AI개발 기초__1</x:v>
      </x:c>
      <x:c r="J249" s="38" t="str">
        <x:f t="shared" si="24"/>
        <x:v>AI개발 기초</x:v>
      </x:c>
      <x:c r="K249" s="38" t="str">
        <x:f t="shared" si="25"/>
        <x:v>1교육실(실습겸용강의실)</x:v>
      </x:c>
      <x:c r="L249" s="38" t="str">
        <x:f t="shared" si="26"/>
        <x:v>양현수</x:v>
      </x:c>
      <x:c r="M249" s="63"/>
      <x:c r="N249" s="30">
        <x:f>IF(F249="2","",COUNTIF($F$3:$F249,"=1"))</x:f>
        <x:v>220</x:v>
      </x:c>
      <x:c r="O249" s="30">
        <x:f t="shared" si="21"/>
        <x:v>4</x:v>
      </x:c>
      <x:c r="P249" s="30">
        <x:f t="shared" si="23"/>
        <x:v>6</x:v>
      </x:c>
      <x:c r="Q249" s="30">
        <x:f>COUNTIF($P$3:P249,"=3")</x:f>
        <x:v>28</x:v>
      </x:c>
      <x:c r="R249" s="29">
        <x:f>WORKDAY(기본입력!$H$2,Q249-1,공휴일)</x:f>
        <x:v>45966</x:v>
      </x:c>
    </x:row>
    <x:row r="250" spans="1:18">
      <x:c r="A250" s="145" t="str">
        <x:f t="shared" si="22"/>
        <x:v>20251105</x:v>
      </x:c>
      <x:c r="B250" s="8" t="s">
        <x:v>5</x:v>
      </x:c>
      <x:c r="C250" s="8">
        <x:v>1740</x:v>
      </x:c>
      <x:c r="D250" s="7" t="s">
        <x:v>1</x:v>
      </x:c>
      <x:c r="E250" s="8" t="s">
        <x:v>0</x:v>
      </x:c>
      <x:c r="F250" s="8" t="s">
        <x:v>41</x:v>
      </x:c>
      <x:c r="G250" s="15" t="str">
        <x:f>IF(OR(N250="",N250&gt;기본입력!$C$34),"",VLOOKUP(O250,기본입력!$A$9:$F$33,5))</x:f>
        <x:v/>
      </x:c>
      <x:c r="H250" s="15" t="str">
        <x:f>IF(OR(N250="",N250&gt;기본입력!$C$34),"",기본입력!$C$6)</x:f>
        <x:v/>
      </x:c>
      <x:c r="I250" s="15" t="str">
        <x:f>IF(OR(O250="",N250&gt;기본입력!$C$34),"",VLOOKUP(O250,기본입력!$A$9:$F$33,6,FALSE))</x:f>
        <x:v/>
      </x:c>
      <x:c r="J250" s="38" t="str">
        <x:f t="shared" si="24"/>
        <x:v/>
      </x:c>
      <x:c r="K250" s="38" t="str">
        <x:f t="shared" si="25"/>
        <x:v/>
      </x:c>
      <x:c r="L250" s="38" t="str">
        <x:f t="shared" si="26"/>
        <x:v/>
      </x:c>
      <x:c r="M250" s="63"/>
      <x:c r="N250" s="30" t="str">
        <x:f>IF(F250="2","",COUNTIF($F$3:$F250,"=1"))</x:f>
        <x:v/>
      </x:c>
      <x:c r="O250" s="30" t="str">
        <x:f t="shared" si="21"/>
        <x:v/>
      </x:c>
      <x:c r="P250" s="30">
        <x:f t="shared" si="23"/>
        <x:v>7</x:v>
      </x:c>
      <x:c r="Q250" s="30">
        <x:f>COUNTIF($P$3:P250,"=3")</x:f>
        <x:v>28</x:v>
      </x:c>
      <x:c r="R250" s="29">
        <x:f>WORKDAY(기본입력!$H$2,Q250-1,공휴일)</x:f>
        <x:v>45966</x:v>
      </x:c>
    </x:row>
    <x:row r="251" spans="1:18">
      <x:c r="A251" s="145" t="str">
        <x:f t="shared" si="22"/>
        <x:v>20251105</x:v>
      </x:c>
      <x:c r="B251" s="8" t="s">
        <x:v>5</x:v>
      </x:c>
      <x:c r="C251" s="8">
        <x:v>1740</x:v>
      </x:c>
      <x:c r="D251" s="7" t="s">
        <x:v>1</x:v>
      </x:c>
      <x:c r="E251" s="8">
        <x:v>1340</x:v>
      </x:c>
      <x:c r="F251" s="8" t="s">
        <x:v>40</x:v>
      </x:c>
      <x:c r="G251" s="15" t="str">
        <x:f>IF(OR(N251="",N251&gt;기본입력!$C$34),"",VLOOKUP(O251,기본입력!$A$9:$F$33,5))</x:f>
        <x:v>양현수_53778</x:v>
      </x:c>
      <x:c r="H251" s="15" t="str">
        <x:f>IF(OR(N251="",N251&gt;기본입력!$C$34),"",기본입력!$C$6)</x:f>
        <x:v>1교육실(실습겸용강의실)_243089</x:v>
      </x:c>
      <x:c r="I251" s="15" t="str">
        <x:f>IF(OR(O251="",N251&gt;기본입력!$C$34),"",VLOOKUP(O251,기본입력!$A$9:$F$33,6,FALSE))</x:f>
        <x:v>AI개발 기초__1</x:v>
      </x:c>
      <x:c r="J251" s="38" t="str">
        <x:f t="shared" si="24"/>
        <x:v>AI개발 기초</x:v>
      </x:c>
      <x:c r="K251" s="38" t="str">
        <x:f t="shared" si="25"/>
        <x:v>1교육실(실습겸용강의실)</x:v>
      </x:c>
      <x:c r="L251" s="38" t="str">
        <x:f t="shared" si="26"/>
        <x:v>양현수</x:v>
      </x:c>
      <x:c r="M251" s="63"/>
      <x:c r="N251" s="30">
        <x:f>IF(F251="2","",COUNTIF($F$3:$F251,"=1"))</x:f>
        <x:v>221</x:v>
      </x:c>
      <x:c r="O251" s="30">
        <x:f t="shared" si="21"/>
        <x:v>4</x:v>
      </x:c>
      <x:c r="P251" s="30">
        <x:f t="shared" si="23"/>
        <x:v>8</x:v>
      </x:c>
      <x:c r="Q251" s="30">
        <x:f>COUNTIF($P$3:P251,"=3")</x:f>
        <x:v>28</x:v>
      </x:c>
      <x:c r="R251" s="29">
        <x:f>WORKDAY(기본입력!$H$2,Q251-1,공휴일)</x:f>
        <x:v>45966</x:v>
      </x:c>
    </x:row>
    <x:row r="252" spans="1:18">
      <x:c r="A252" s="145" t="str">
        <x:f t="shared" si="22"/>
        <x:v>20251105</x:v>
      </x:c>
      <x:c r="B252" s="8" t="s">
        <x:v>5</x:v>
      </x:c>
      <x:c r="C252" s="8">
        <x:v>1740</x:v>
      </x:c>
      <x:c r="D252" s="7" t="s">
        <x:v>1</x:v>
      </x:c>
      <x:c r="E252" s="8">
        <x:v>1440</x:v>
      </x:c>
      <x:c r="F252" s="8" t="s">
        <x:v>40</x:v>
      </x:c>
      <x:c r="G252" s="15" t="str">
        <x:f>IF(OR(N252="",N252&gt;기본입력!$C$34),"",VLOOKUP(O252,기본입력!$A$9:$F$33,5))</x:f>
        <x:v>양현수_53778</x:v>
      </x:c>
      <x:c r="H252" s="15" t="str">
        <x:f>IF(OR(N252="",N252&gt;기본입력!$C$34),"",기본입력!$C$6)</x:f>
        <x:v>1교육실(실습겸용강의실)_243089</x:v>
      </x:c>
      <x:c r="I252" s="15" t="str">
        <x:f>IF(OR(O252="",N252&gt;기본입력!$C$34),"",VLOOKUP(O252,기본입력!$A$9:$F$33,6,FALSE))</x:f>
        <x:v>AI개발 기초__1</x:v>
      </x:c>
      <x:c r="J252" s="38" t="str">
        <x:f t="shared" si="24"/>
        <x:v>AI개발 기초</x:v>
      </x:c>
      <x:c r="K252" s="38" t="str">
        <x:f t="shared" si="25"/>
        <x:v>1교육실(실습겸용강의실)</x:v>
      </x:c>
      <x:c r="L252" s="38" t="str">
        <x:f t="shared" si="26"/>
        <x:v>양현수</x:v>
      </x:c>
      <x:c r="M252" s="63"/>
      <x:c r="N252" s="30">
        <x:f>IF(F252="2","",COUNTIF($F$3:$F252,"=1"))</x:f>
        <x:v>222</x:v>
      </x:c>
      <x:c r="O252" s="30">
        <x:f t="shared" si="21"/>
        <x:v>4</x:v>
      </x:c>
      <x:c r="P252" s="30">
        <x:f t="shared" si="23"/>
        <x:v>0</x:v>
      </x:c>
      <x:c r="Q252" s="30">
        <x:f>COUNTIF($P$3:P252,"=3")</x:f>
        <x:v>28</x:v>
      </x:c>
      <x:c r="R252" s="29">
        <x:f>WORKDAY(기본입력!$H$2,Q252-1,공휴일)</x:f>
        <x:v>45966</x:v>
      </x:c>
    </x:row>
    <x:row r="253" spans="1:18">
      <x:c r="A253" s="145" t="str">
        <x:f t="shared" si="22"/>
        <x:v>20251105</x:v>
      </x:c>
      <x:c r="B253" s="8" t="s">
        <x:v>5</x:v>
      </x:c>
      <x:c r="C253" s="8">
        <x:v>1740</x:v>
      </x:c>
      <x:c r="D253" s="7" t="s">
        <x:v>1</x:v>
      </x:c>
      <x:c r="E253" s="8">
        <x:v>1540</x:v>
      </x:c>
      <x:c r="F253" s="8" t="s">
        <x:v>40</x:v>
      </x:c>
      <x:c r="G253" s="15" t="str">
        <x:f>IF(OR(N253="",N253&gt;기본입력!$C$34),"",VLOOKUP(O253,기본입력!$A$9:$F$33,5))</x:f>
        <x:v>양현수_53778</x:v>
      </x:c>
      <x:c r="H253" s="15" t="str">
        <x:f>IF(OR(N253="",N253&gt;기본입력!$C$34),"",기본입력!$C$6)</x:f>
        <x:v>1교육실(실습겸용강의실)_243089</x:v>
      </x:c>
      <x:c r="I253" s="15" t="str">
        <x:f>IF(OR(O253="",N253&gt;기본입력!$C$34),"",VLOOKUP(O253,기본입력!$A$9:$F$33,6,FALSE))</x:f>
        <x:v>AI개발 기초__1</x:v>
      </x:c>
      <x:c r="J253" s="38" t="str">
        <x:f t="shared" si="24"/>
        <x:v>AI개발 기초</x:v>
      </x:c>
      <x:c r="K253" s="38" t="str">
        <x:f t="shared" si="25"/>
        <x:v>1교육실(실습겸용강의실)</x:v>
      </x:c>
      <x:c r="L253" s="38" t="str">
        <x:f t="shared" si="26"/>
        <x:v>양현수</x:v>
      </x:c>
      <x:c r="M253" s="63"/>
      <x:c r="N253" s="30">
        <x:f>IF(F253="2","",COUNTIF($F$3:$F253,"=1"))</x:f>
        <x:v>223</x:v>
      </x:c>
      <x:c r="O253" s="30">
        <x:f t="shared" si="21"/>
        <x:v>4</x:v>
      </x:c>
      <x:c r="P253" s="30">
        <x:f t="shared" si="23"/>
        <x:v>1</x:v>
      </x:c>
      <x:c r="Q253" s="30">
        <x:f>COUNTIF($P$3:P253,"=3")</x:f>
        <x:v>28</x:v>
      </x:c>
      <x:c r="R253" s="29">
        <x:f>WORKDAY(기본입력!$H$2,Q253-1,공휴일)</x:f>
        <x:v>45966</x:v>
      </x:c>
    </x:row>
    <x:row r="254" spans="1:18">
      <x:c r="A254" s="145" t="str">
        <x:f t="shared" si="22"/>
        <x:v>20251105</x:v>
      </x:c>
      <x:c r="B254" s="8" t="s">
        <x:v>5</x:v>
      </x:c>
      <x:c r="C254" s="8">
        <x:v>1740</x:v>
      </x:c>
      <x:c r="D254" s="7" t="s">
        <x:v>1</x:v>
      </x:c>
      <x:c r="E254" s="8">
        <x:v>1640</x:v>
      </x:c>
      <x:c r="F254" s="8" t="s">
        <x:v>40</x:v>
      </x:c>
      <x:c r="G254" s="15" t="str">
        <x:f>IF(OR(N254="",N254&gt;기본입력!$C$34),"",VLOOKUP(O254,기본입력!$A$9:$F$33,5))</x:f>
        <x:v>양현수_53778</x:v>
      </x:c>
      <x:c r="H254" s="15" t="str">
        <x:f>IF(OR(N254="",N254&gt;기본입력!$C$34),"",기본입력!$C$6)</x:f>
        <x:v>1교육실(실습겸용강의실)_243089</x:v>
      </x:c>
      <x:c r="I254" s="15" t="str">
        <x:f>IF(OR(O254="",N254&gt;기본입력!$C$34),"",VLOOKUP(O254,기본입력!$A$9:$F$33,6,FALSE))</x:f>
        <x:v>AI개발 기초__1</x:v>
      </x:c>
      <x:c r="J254" s="38" t="str">
        <x:f t="shared" si="24"/>
        <x:v>AI개발 기초</x:v>
      </x:c>
      <x:c r="K254" s="38" t="str">
        <x:f t="shared" si="25"/>
        <x:v>1교육실(실습겸용강의실)</x:v>
      </x:c>
      <x:c r="L254" s="38" t="str">
        <x:f t="shared" si="26"/>
        <x:v>양현수</x:v>
      </x:c>
      <x:c r="M254" s="63"/>
      <x:c r="N254" s="30">
        <x:f>IF(F254="2","",COUNTIF($F$3:$F254,"=1"))</x:f>
        <x:v>224</x:v>
      </x:c>
      <x:c r="O254" s="30">
        <x:f t="shared" si="21"/>
        <x:v>4</x:v>
      </x:c>
      <x:c r="P254" s="30">
        <x:f t="shared" si="23"/>
        <x:v>2</x:v>
      </x:c>
      <x:c r="Q254" s="30">
        <x:f>COUNTIF($P$3:P254,"=3")</x:f>
        <x:v>28</x:v>
      </x:c>
      <x:c r="R254" s="29">
        <x:f>WORKDAY(기본입력!$H$2,Q254-1,공휴일)</x:f>
        <x:v>45966</x:v>
      </x:c>
    </x:row>
    <x:row r="255" spans="1:18">
      <x:c r="A255" s="144" t="str">
        <x:f t="shared" si="22"/>
        <x:v>20251106</x:v>
      </x:c>
      <x:c r="B255" s="6" t="s">
        <x:v>5</x:v>
      </x:c>
      <x:c r="C255" s="6">
        <x:v>1740</x:v>
      </x:c>
      <x:c r="D255" s="5" t="s">
        <x:v>1</x:v>
      </x:c>
      <x:c r="E255" s="6" t="s">
        <x:v>5</x:v>
      </x:c>
      <x:c r="F255" s="6" t="s">
        <x:v>40</x:v>
      </x:c>
      <x:c r="G255" s="14" t="str">
        <x:f>IF(OR(N255="",N255&gt;기본입력!$C$34),"",VLOOKUP(O255,기본입력!$A$9:$F$33,5))</x:f>
        <x:v>양현수_53778</x:v>
      </x:c>
      <x:c r="H255" s="14" t="str">
        <x:f>IF(OR(N255="",N255&gt;기본입력!$C$34),"",기본입력!$C$6)</x:f>
        <x:v>1교육실(실습겸용강의실)_243089</x:v>
      </x:c>
      <x:c r="I255" s="14" t="str">
        <x:f>IF(OR(O255="",N255&gt;기본입력!$C$34),"",VLOOKUP(O255,기본입력!$A$9:$F$33,6,FALSE))</x:f>
        <x:v>AI개발 기초__1</x:v>
      </x:c>
      <x:c r="J255" s="38" t="str">
        <x:f t="shared" si="24"/>
        <x:v>AI개발 기초</x:v>
      </x:c>
      <x:c r="K255" s="38" t="str">
        <x:f t="shared" si="25"/>
        <x:v>1교육실(실습겸용강의실)</x:v>
      </x:c>
      <x:c r="L255" s="38" t="str">
        <x:f t="shared" si="26"/>
        <x:v>양현수</x:v>
      </x:c>
      <x:c r="M255" s="63"/>
      <x:c r="N255" s="30">
        <x:f>IF(F255="2","",COUNTIF($F$3:$F255,"=1"))</x:f>
        <x:v>225</x:v>
      </x:c>
      <x:c r="O255" s="30">
        <x:f t="shared" si="21"/>
        <x:v>4</x:v>
      </x:c>
      <x:c r="P255" s="30">
        <x:f t="shared" si="23"/>
        <x:v>3</x:v>
      </x:c>
      <x:c r="Q255" s="30">
        <x:f>COUNTIF($P$3:P255,"=3")</x:f>
        <x:v>29</x:v>
      </x:c>
      <x:c r="R255" s="29">
        <x:f>WORKDAY(기본입력!$H$2,Q255-1,공휴일)</x:f>
        <x:v>45967</x:v>
      </x:c>
    </x:row>
    <x:row r="256" spans="1:18">
      <x:c r="A256" s="144" t="str">
        <x:f t="shared" si="22"/>
        <x:v>20251106</x:v>
      </x:c>
      <x:c r="B256" s="6" t="s">
        <x:v>5</x:v>
      </x:c>
      <x:c r="C256" s="6">
        <x:v>1740</x:v>
      </x:c>
      <x:c r="D256" s="5" t="s">
        <x:v>1</x:v>
      </x:c>
      <x:c r="E256" s="6" t="s">
        <x:v>117</x:v>
      </x:c>
      <x:c r="F256" s="6" t="s">
        <x:v>40</x:v>
      </x:c>
      <x:c r="G256" s="14" t="str">
        <x:f>IF(OR(N256="",N256&gt;기본입력!$C$34),"",VLOOKUP(O256,기본입력!$A$9:$F$33,5))</x:f>
        <x:v>양현수_53778</x:v>
      </x:c>
      <x:c r="H256" s="14" t="str">
        <x:f>IF(OR(N256="",N256&gt;기본입력!$C$34),"",기본입력!$C$6)</x:f>
        <x:v>1교육실(실습겸용강의실)_243089</x:v>
      </x:c>
      <x:c r="I256" s="14" t="str">
        <x:f>IF(OR(O256="",N256&gt;기본입력!$C$34),"",VLOOKUP(O256,기본입력!$A$9:$F$33,6,FALSE))</x:f>
        <x:v>AI개발 기초__1</x:v>
      </x:c>
      <x:c r="J256" s="38" t="str">
        <x:f t="shared" si="24"/>
        <x:v>AI개발 기초</x:v>
      </x:c>
      <x:c r="K256" s="38" t="str">
        <x:f t="shared" si="25"/>
        <x:v>1교육실(실습겸용강의실)</x:v>
      </x:c>
      <x:c r="L256" s="38" t="str">
        <x:f t="shared" si="26"/>
        <x:v>양현수</x:v>
      </x:c>
      <x:c r="M256" s="63"/>
      <x:c r="N256" s="30">
        <x:f>IF(F256="2","",COUNTIF($F$3:$F256,"=1"))</x:f>
        <x:v>226</x:v>
      </x:c>
      <x:c r="O256" s="30">
        <x:f t="shared" si="21"/>
        <x:v>4</x:v>
      </x:c>
      <x:c r="P256" s="30">
        <x:f t="shared" si="23"/>
        <x:v>4</x:v>
      </x:c>
      <x:c r="Q256" s="30">
        <x:f>COUNTIF($P$3:P256,"=3")</x:f>
        <x:v>29</x:v>
      </x:c>
      <x:c r="R256" s="29">
        <x:f>WORKDAY(기본입력!$H$2,Q256-1,공휴일)</x:f>
        <x:v>45967</x:v>
      </x:c>
    </x:row>
    <x:row r="257" spans="1:18">
      <x:c r="A257" s="144" t="str">
        <x:f t="shared" si="22"/>
        <x:v>20251106</x:v>
      </x:c>
      <x:c r="B257" s="6" t="s">
        <x:v>5</x:v>
      </x:c>
      <x:c r="C257" s="6">
        <x:v>1740</x:v>
      </x:c>
      <x:c r="D257" s="5" t="s">
        <x:v>1</x:v>
      </x:c>
      <x:c r="E257" s="6" t="s">
        <x:v>87</x:v>
      </x:c>
      <x:c r="F257" s="6" t="s">
        <x:v>40</x:v>
      </x:c>
      <x:c r="G257" s="14" t="str">
        <x:f>IF(OR(N257="",N257&gt;기본입력!$C$34),"",VLOOKUP(O257,기본입력!$A$9:$F$33,5))</x:f>
        <x:v>양현수_53778</x:v>
      </x:c>
      <x:c r="H257" s="14" t="str">
        <x:f>IF(OR(N257="",N257&gt;기본입력!$C$34),"",기본입력!$C$6)</x:f>
        <x:v>1교육실(실습겸용강의실)_243089</x:v>
      </x:c>
      <x:c r="I257" s="14" t="str">
        <x:f>IF(OR(O257="",N257&gt;기본입력!$C$34),"",VLOOKUP(O257,기본입력!$A$9:$F$33,6,FALSE))</x:f>
        <x:v>AI개발 기초__1</x:v>
      </x:c>
      <x:c r="J257" s="38" t="str">
        <x:f t="shared" si="24"/>
        <x:v>AI개발 기초</x:v>
      </x:c>
      <x:c r="K257" s="38" t="str">
        <x:f t="shared" si="25"/>
        <x:v>1교육실(실습겸용강의실)</x:v>
      </x:c>
      <x:c r="L257" s="38" t="str">
        <x:f t="shared" si="26"/>
        <x:v>양현수</x:v>
      </x:c>
      <x:c r="M257" s="63"/>
      <x:c r="N257" s="30">
        <x:f>IF(F257="2","",COUNTIF($F$3:$F257,"=1"))</x:f>
        <x:v>227</x:v>
      </x:c>
      <x:c r="O257" s="30">
        <x:f t="shared" si="21"/>
        <x:v>4</x:v>
      </x:c>
      <x:c r="P257" s="30">
        <x:f t="shared" si="23"/>
        <x:v>5</x:v>
      </x:c>
      <x:c r="Q257" s="30">
        <x:f>COUNTIF($P$3:P257,"=3")</x:f>
        <x:v>29</x:v>
      </x:c>
      <x:c r="R257" s="29">
        <x:f>WORKDAY(기본입력!$H$2,Q257-1,공휴일)</x:f>
        <x:v>45967</x:v>
      </x:c>
    </x:row>
    <x:row r="258" spans="1:18">
      <x:c r="A258" s="144" t="str">
        <x:f t="shared" si="22"/>
        <x:v>20251106</x:v>
      </x:c>
      <x:c r="B258" s="6" t="s">
        <x:v>5</x:v>
      </x:c>
      <x:c r="C258" s="6">
        <x:v>1740</x:v>
      </x:c>
      <x:c r="D258" s="5" t="s">
        <x:v>1</x:v>
      </x:c>
      <x:c r="E258" s="6" t="s">
        <x:v>88</x:v>
      </x:c>
      <x:c r="F258" s="6" t="s">
        <x:v>40</x:v>
      </x:c>
      <x:c r="G258" s="14" t="str">
        <x:f>IF(OR(N258="",N258&gt;기본입력!$C$34),"",VLOOKUP(O258,기본입력!$A$9:$F$33,5))</x:f>
        <x:v>양현수_53778</x:v>
      </x:c>
      <x:c r="H258" s="14" t="str">
        <x:f>IF(OR(N258="",N258&gt;기본입력!$C$34),"",기본입력!$C$6)</x:f>
        <x:v>1교육실(실습겸용강의실)_243089</x:v>
      </x:c>
      <x:c r="I258" s="14" t="str">
        <x:f>IF(OR(O258="",N258&gt;기본입력!$C$34),"",VLOOKUP(O258,기본입력!$A$9:$F$33,6,FALSE))</x:f>
        <x:v>AI개발 기초__1</x:v>
      </x:c>
      <x:c r="J258" s="38" t="str">
        <x:f t="shared" si="24"/>
        <x:v>AI개발 기초</x:v>
      </x:c>
      <x:c r="K258" s="38" t="str">
        <x:f t="shared" si="25"/>
        <x:v>1교육실(실습겸용강의실)</x:v>
      </x:c>
      <x:c r="L258" s="38" t="str">
        <x:f t="shared" si="26"/>
        <x:v>양현수</x:v>
      </x:c>
      <x:c r="M258" s="63"/>
      <x:c r="N258" s="30">
        <x:f>IF(F258="2","",COUNTIF($F$3:$F258,"=1"))</x:f>
        <x:v>228</x:v>
      </x:c>
      <x:c r="O258" s="30">
        <x:f t="shared" si="21"/>
        <x:v>4</x:v>
      </x:c>
      <x:c r="P258" s="30">
        <x:f t="shared" si="23"/>
        <x:v>6</x:v>
      </x:c>
      <x:c r="Q258" s="30">
        <x:f>COUNTIF($P$3:P258,"=3")</x:f>
        <x:v>29</x:v>
      </x:c>
      <x:c r="R258" s="29">
        <x:f>WORKDAY(기본입력!$H$2,Q258-1,공휴일)</x:f>
        <x:v>45967</x:v>
      </x:c>
    </x:row>
    <x:row r="259" spans="1:18">
      <x:c r="A259" s="144" t="str">
        <x:f t="shared" si="22"/>
        <x:v>20251106</x:v>
      </x:c>
      <x:c r="B259" s="6" t="s">
        <x:v>5</x:v>
      </x:c>
      <x:c r="C259" s="6">
        <x:v>1740</x:v>
      </x:c>
      <x:c r="D259" s="5" t="s">
        <x:v>1</x:v>
      </x:c>
      <x:c r="E259" s="6" t="s">
        <x:v>0</x:v>
      </x:c>
      <x:c r="F259" s="6" t="s">
        <x:v>41</x:v>
      </x:c>
      <x:c r="G259" s="14" t="str">
        <x:f>IF(OR(N259="",N259&gt;기본입력!$C$34),"",VLOOKUP(O259,기본입력!$A$9:$F$33,5))</x:f>
        <x:v/>
      </x:c>
      <x:c r="H259" s="14" t="str">
        <x:f>IF(OR(N259="",N259&gt;기본입력!$C$34),"",기본입력!$C$6)</x:f>
        <x:v/>
      </x:c>
      <x:c r="I259" s="14" t="str">
        <x:f>IF(OR(O259="",N259&gt;기본입력!$C$34),"",VLOOKUP(O259,기본입력!$A$9:$F$33,6,FALSE))</x:f>
        <x:v/>
      </x:c>
      <x:c r="J259" s="38" t="str">
        <x:f t="shared" si="24"/>
        <x:v/>
      </x:c>
      <x:c r="K259" s="38" t="str">
        <x:f t="shared" si="25"/>
        <x:v/>
      </x:c>
      <x:c r="L259" s="38" t="str">
        <x:f t="shared" si="26"/>
        <x:v/>
      </x:c>
      <x:c r="M259" s="63"/>
      <x:c r="N259" s="30" t="str">
        <x:f>IF(F259="2","",COUNTIF($F$3:$F259,"=1"))</x:f>
        <x:v/>
      </x:c>
      <x:c r="O259" s="30" t="str">
        <x:f t="shared" ref="O259:O322" si="27">IF(F259="2","",IF(N259&lt;=누적시수1,1,IF(N259&lt;=누적시수2,2,IF(N259&lt;=누적시수3,3,IF(N259&lt;=누적시수4,4,IF(N259&lt;=누적시수5,5,IF(N259&lt;=누적시수6,6,IF(N259&lt;=누적시수7,7,IF(N259&lt;=누적시수8,8,IF(N259&lt;=누적시수9,9,IF(N259&lt;=누적시수10,10,IF(N259&lt;=누적시수11,11,IF(N259&lt;=누적시수12,12,IF(N259&lt;=누적시수13,13,IF(N259&lt;=누적시수14,14,IF(N259&lt;=누적시수15,15,IF(N259&lt;=누적시수16,16,IF(N259&lt;=누적시수17,17,IF(N259&lt;=누적시수18,18,IF(N259&lt;=누적시수19,19,IF(N259&lt;=누적시수20,20,IF(N259&lt;=누적시수21,21,IF(N259&lt;=누적시수22,22,IF(N259&lt;=누적시수23,23,IF(N259&lt;=누적시수24,24,IF(N259&lt;=누적시수25,25,0))))))))))))))))))))))))))</x:f>
        <x:v/>
      </x:c>
      <x:c r="P259" s="30">
        <x:f t="shared" si="23"/>
        <x:v>7</x:v>
      </x:c>
      <x:c r="Q259" s="30">
        <x:f>COUNTIF($P$3:P259,"=3")</x:f>
        <x:v>29</x:v>
      </x:c>
      <x:c r="R259" s="29">
        <x:f>WORKDAY(기본입력!$H$2,Q259-1,공휴일)</x:f>
        <x:v>45967</x:v>
      </x:c>
    </x:row>
    <x:row r="260" spans="1:18">
      <x:c r="A260" s="144" t="str">
        <x:f t="shared" ref="A260:A323" si="28">TEXT(R260,"yyyymmdd")</x:f>
        <x:v>20251106</x:v>
      </x:c>
      <x:c r="B260" s="6" t="s">
        <x:v>5</x:v>
      </x:c>
      <x:c r="C260" s="6">
        <x:v>1740</x:v>
      </x:c>
      <x:c r="D260" s="5" t="s">
        <x:v>1</x:v>
      </x:c>
      <x:c r="E260" s="6">
        <x:v>1340</x:v>
      </x:c>
      <x:c r="F260" s="6" t="s">
        <x:v>40</x:v>
      </x:c>
      <x:c r="G260" s="14" t="str">
        <x:f>IF(OR(N260="",N260&gt;기본입력!$C$34),"",VLOOKUP(O260,기본입력!$A$9:$F$33,5))</x:f>
        <x:v>양현수_53778</x:v>
      </x:c>
      <x:c r="H260" s="14" t="str">
        <x:f>IF(OR(N260="",N260&gt;기본입력!$C$34),"",기본입력!$C$6)</x:f>
        <x:v>1교육실(실습겸용강의실)_243089</x:v>
      </x:c>
      <x:c r="I260" s="14" t="str">
        <x:f>IF(OR(O260="",N260&gt;기본입력!$C$34),"",VLOOKUP(O260,기본입력!$A$9:$F$33,6,FALSE))</x:f>
        <x:v>AI개발 기초__1</x:v>
      </x:c>
      <x:c r="J260" s="38" t="str">
        <x:f t="shared" si="24"/>
        <x:v>AI개발 기초</x:v>
      </x:c>
      <x:c r="K260" s="38" t="str">
        <x:f t="shared" si="25"/>
        <x:v>1교육실(실습겸용강의실)</x:v>
      </x:c>
      <x:c r="L260" s="38" t="str">
        <x:f t="shared" si="26"/>
        <x:v>양현수</x:v>
      </x:c>
      <x:c r="M260" s="63"/>
      <x:c r="N260" s="30">
        <x:f>IF(F260="2","",COUNTIF($F$3:$F260,"=1"))</x:f>
        <x:v>229</x:v>
      </x:c>
      <x:c r="O260" s="30">
        <x:f t="shared" si="27"/>
        <x:v>4</x:v>
      </x:c>
      <x:c r="P260" s="30">
        <x:f t="shared" ref="P260:P323" si="29">MOD(ROW(),9)</x:f>
        <x:v>8</x:v>
      </x:c>
      <x:c r="Q260" s="30">
        <x:f>COUNTIF($P$3:P260,"=3")</x:f>
        <x:v>29</x:v>
      </x:c>
      <x:c r="R260" s="29">
        <x:f>WORKDAY(기본입력!$H$2,Q260-1,공휴일)</x:f>
        <x:v>45967</x:v>
      </x:c>
    </x:row>
    <x:row r="261" spans="1:18">
      <x:c r="A261" s="144" t="str">
        <x:f t="shared" si="28"/>
        <x:v>20251106</x:v>
      </x:c>
      <x:c r="B261" s="6" t="s">
        <x:v>5</x:v>
      </x:c>
      <x:c r="C261" s="6">
        <x:v>1740</x:v>
      </x:c>
      <x:c r="D261" s="5" t="s">
        <x:v>1</x:v>
      </x:c>
      <x:c r="E261" s="6">
        <x:v>1440</x:v>
      </x:c>
      <x:c r="F261" s="6" t="s">
        <x:v>40</x:v>
      </x:c>
      <x:c r="G261" s="14" t="str">
        <x:f>IF(OR(N261="",N261&gt;기본입력!$C$34),"",VLOOKUP(O261,기본입력!$A$9:$F$33,5))</x:f>
        <x:v>양현수_53778</x:v>
      </x:c>
      <x:c r="H261" s="14" t="str">
        <x:f>IF(OR(N261="",N261&gt;기본입력!$C$34),"",기본입력!$C$6)</x:f>
        <x:v>1교육실(실습겸용강의실)_243089</x:v>
      </x:c>
      <x:c r="I261" s="14" t="str">
        <x:f>IF(OR(O261="",N261&gt;기본입력!$C$34),"",VLOOKUP(O261,기본입력!$A$9:$F$33,6,FALSE))</x:f>
        <x:v>AI개발 기초__1</x:v>
      </x:c>
      <x:c r="J261" s="38" t="str">
        <x:f t="shared" si="24"/>
        <x:v>AI개발 기초</x:v>
      </x:c>
      <x:c r="K261" s="38" t="str">
        <x:f t="shared" si="25"/>
        <x:v>1교육실(실습겸용강의실)</x:v>
      </x:c>
      <x:c r="L261" s="38" t="str">
        <x:f t="shared" si="26"/>
        <x:v>양현수</x:v>
      </x:c>
      <x:c r="M261" s="63"/>
      <x:c r="N261" s="30">
        <x:f>IF(F261="2","",COUNTIF($F$3:$F261,"=1"))</x:f>
        <x:v>230</x:v>
      </x:c>
      <x:c r="O261" s="30">
        <x:f t="shared" si="27"/>
        <x:v>4</x:v>
      </x:c>
      <x:c r="P261" s="30">
        <x:f t="shared" si="29"/>
        <x:v>0</x:v>
      </x:c>
      <x:c r="Q261" s="30">
        <x:f>COUNTIF($P$3:P261,"=3")</x:f>
        <x:v>29</x:v>
      </x:c>
      <x:c r="R261" s="29">
        <x:f>WORKDAY(기본입력!$H$2,Q261-1,공휴일)</x:f>
        <x:v>45967</x:v>
      </x:c>
    </x:row>
    <x:row r="262" spans="1:18">
      <x:c r="A262" s="144" t="str">
        <x:f t="shared" si="28"/>
        <x:v>20251106</x:v>
      </x:c>
      <x:c r="B262" s="6" t="s">
        <x:v>5</x:v>
      </x:c>
      <x:c r="C262" s="6">
        <x:v>1740</x:v>
      </x:c>
      <x:c r="D262" s="5" t="s">
        <x:v>1</x:v>
      </x:c>
      <x:c r="E262" s="6">
        <x:v>1540</x:v>
      </x:c>
      <x:c r="F262" s="6" t="s">
        <x:v>40</x:v>
      </x:c>
      <x:c r="G262" s="14" t="str">
        <x:f>IF(OR(N262="",N262&gt;기본입력!$C$34),"",VLOOKUP(O262,기본입력!$A$9:$F$33,5))</x:f>
        <x:v>양현수_53778</x:v>
      </x:c>
      <x:c r="H262" s="14" t="str">
        <x:f>IF(OR(N262="",N262&gt;기본입력!$C$34),"",기본입력!$C$6)</x:f>
        <x:v>1교육실(실습겸용강의실)_243089</x:v>
      </x:c>
      <x:c r="I262" s="14" t="str">
        <x:f>IF(OR(O262="",N262&gt;기본입력!$C$34),"",VLOOKUP(O262,기본입력!$A$9:$F$33,6,FALSE))</x:f>
        <x:v>AI개발 기초__1</x:v>
      </x:c>
      <x:c r="J262" s="38" t="str">
        <x:f t="shared" si="24"/>
        <x:v>AI개발 기초</x:v>
      </x:c>
      <x:c r="K262" s="38" t="str">
        <x:f t="shared" si="25"/>
        <x:v>1교육실(실습겸용강의실)</x:v>
      </x:c>
      <x:c r="L262" s="38" t="str">
        <x:f t="shared" si="26"/>
        <x:v>양현수</x:v>
      </x:c>
      <x:c r="M262" s="63"/>
      <x:c r="N262" s="30">
        <x:f>IF(F262="2","",COUNTIF($F$3:$F262,"=1"))</x:f>
        <x:v>231</x:v>
      </x:c>
      <x:c r="O262" s="30">
        <x:f t="shared" si="27"/>
        <x:v>4</x:v>
      </x:c>
      <x:c r="P262" s="30">
        <x:f t="shared" si="29"/>
        <x:v>1</x:v>
      </x:c>
      <x:c r="Q262" s="30">
        <x:f>COUNTIF($P$3:P262,"=3")</x:f>
        <x:v>29</x:v>
      </x:c>
      <x:c r="R262" s="29">
        <x:f>WORKDAY(기본입력!$H$2,Q262-1,공휴일)</x:f>
        <x:v>45967</x:v>
      </x:c>
    </x:row>
    <x:row r="263" spans="1:18">
      <x:c r="A263" s="144" t="str">
        <x:f t="shared" si="28"/>
        <x:v>20251106</x:v>
      </x:c>
      <x:c r="B263" s="6" t="s">
        <x:v>5</x:v>
      </x:c>
      <x:c r="C263" s="6">
        <x:v>1740</x:v>
      </x:c>
      <x:c r="D263" s="5" t="s">
        <x:v>1</x:v>
      </x:c>
      <x:c r="E263" s="6">
        <x:v>1640</x:v>
      </x:c>
      <x:c r="F263" s="6" t="s">
        <x:v>40</x:v>
      </x:c>
      <x:c r="G263" s="14" t="str">
        <x:f>IF(OR(N263="",N263&gt;기본입력!$C$34),"",VLOOKUP(O263,기본입력!$A$9:$F$33,5))</x:f>
        <x:v>양현수_53778</x:v>
      </x:c>
      <x:c r="H263" s="14" t="str">
        <x:f>IF(OR(N263="",N263&gt;기본입력!$C$34),"",기본입력!$C$6)</x:f>
        <x:v>1교육실(실습겸용강의실)_243089</x:v>
      </x:c>
      <x:c r="I263" s="14" t="str">
        <x:f>IF(OR(O263="",N263&gt;기본입력!$C$34),"",VLOOKUP(O263,기본입력!$A$9:$F$33,6,FALSE))</x:f>
        <x:v>AI개발 기초__1</x:v>
      </x:c>
      <x:c r="J263" s="38" t="str">
        <x:f t="shared" si="24"/>
        <x:v>AI개발 기초</x:v>
      </x:c>
      <x:c r="K263" s="38" t="str">
        <x:f t="shared" si="25"/>
        <x:v>1교육실(실습겸용강의실)</x:v>
      </x:c>
      <x:c r="L263" s="38" t="str">
        <x:f t="shared" si="26"/>
        <x:v>양현수</x:v>
      </x:c>
      <x:c r="M263" s="63"/>
      <x:c r="N263" s="30">
        <x:f>IF(F263="2","",COUNTIF($F$3:$F263,"=1"))</x:f>
        <x:v>232</x:v>
      </x:c>
      <x:c r="O263" s="30">
        <x:f t="shared" si="27"/>
        <x:v>4</x:v>
      </x:c>
      <x:c r="P263" s="30">
        <x:f t="shared" si="29"/>
        <x:v>2</x:v>
      </x:c>
      <x:c r="Q263" s="30">
        <x:f>COUNTIF($P$3:P263,"=3")</x:f>
        <x:v>29</x:v>
      </x:c>
      <x:c r="R263" s="29">
        <x:f>WORKDAY(기본입력!$H$2,Q263-1,공휴일)</x:f>
        <x:v>45967</x:v>
      </x:c>
    </x:row>
    <x:row r="264" spans="1:18">
      <x:c r="A264" s="145" t="str">
        <x:f t="shared" si="28"/>
        <x:v>20251107</x:v>
      </x:c>
      <x:c r="B264" s="8" t="s">
        <x:v>5</x:v>
      </x:c>
      <x:c r="C264" s="8">
        <x:v>1740</x:v>
      </x:c>
      <x:c r="D264" s="7" t="s">
        <x:v>1</x:v>
      </x:c>
      <x:c r="E264" s="8" t="s">
        <x:v>5</x:v>
      </x:c>
      <x:c r="F264" s="8" t="s">
        <x:v>40</x:v>
      </x:c>
      <x:c r="G264" s="15" t="str">
        <x:f>IF(OR(N264="",N264&gt;기본입력!$C$34),"",VLOOKUP(O264,기본입력!$A$9:$F$33,5))</x:f>
        <x:v>양현수_53778</x:v>
      </x:c>
      <x:c r="H264" s="15" t="str">
        <x:f>IF(OR(N264="",N264&gt;기본입력!$C$34),"",기본입력!$C$6)</x:f>
        <x:v>1교육실(실습겸용강의실)_243089</x:v>
      </x:c>
      <x:c r="I264" s="15" t="str">
        <x:f>IF(OR(O264="",N264&gt;기본입력!$C$34),"",VLOOKUP(O264,기본입력!$A$9:$F$33,6,FALSE))</x:f>
        <x:v>AI개발 기초__1</x:v>
      </x:c>
      <x:c r="J264" s="38" t="str">
        <x:f t="shared" si="24"/>
        <x:v>AI개발 기초</x:v>
      </x:c>
      <x:c r="K264" s="38" t="str">
        <x:f t="shared" si="25"/>
        <x:v>1교육실(실습겸용강의실)</x:v>
      </x:c>
      <x:c r="L264" s="38" t="str">
        <x:f t="shared" si="26"/>
        <x:v>양현수</x:v>
      </x:c>
      <x:c r="M264" s="63"/>
      <x:c r="N264" s="30">
        <x:f>IF(F264="2","",COUNTIF($F$3:$F264,"=1"))</x:f>
        <x:v>233</x:v>
      </x:c>
      <x:c r="O264" s="30">
        <x:f t="shared" si="27"/>
        <x:v>4</x:v>
      </x:c>
      <x:c r="P264" s="30">
        <x:f t="shared" si="29"/>
        <x:v>3</x:v>
      </x:c>
      <x:c r="Q264" s="30">
        <x:f>COUNTIF($P$3:P264,"=3")</x:f>
        <x:v>30</x:v>
      </x:c>
      <x:c r="R264" s="29">
        <x:f>WORKDAY(기본입력!$H$2,Q264-1,공휴일)</x:f>
        <x:v>45968</x:v>
      </x:c>
    </x:row>
    <x:row r="265" spans="1:18">
      <x:c r="A265" s="145" t="str">
        <x:f t="shared" si="28"/>
        <x:v>20251107</x:v>
      </x:c>
      <x:c r="B265" s="8" t="s">
        <x:v>5</x:v>
      </x:c>
      <x:c r="C265" s="8">
        <x:v>1740</x:v>
      </x:c>
      <x:c r="D265" s="7" t="s">
        <x:v>1</x:v>
      </x:c>
      <x:c r="E265" s="8" t="s">
        <x:v>117</x:v>
      </x:c>
      <x:c r="F265" s="8" t="s">
        <x:v>40</x:v>
      </x:c>
      <x:c r="G265" s="15" t="str">
        <x:f>IF(OR(N265="",N265&gt;기본입력!$C$34),"",VLOOKUP(O265,기본입력!$A$9:$F$33,5))</x:f>
        <x:v>양현수_53778</x:v>
      </x:c>
      <x:c r="H265" s="15" t="str">
        <x:f>IF(OR(N265="",N265&gt;기본입력!$C$34),"",기본입력!$C$6)</x:f>
        <x:v>1교육실(실습겸용강의실)_243089</x:v>
      </x:c>
      <x:c r="I265" s="15" t="str">
        <x:f>IF(OR(O265="",N265&gt;기본입력!$C$34),"",VLOOKUP(O265,기본입력!$A$9:$F$33,6,FALSE))</x:f>
        <x:v>AI개발 기초__1</x:v>
      </x:c>
      <x:c r="J265" s="38" t="str">
        <x:f t="shared" si="24"/>
        <x:v>AI개발 기초</x:v>
      </x:c>
      <x:c r="K265" s="38" t="str">
        <x:f t="shared" si="25"/>
        <x:v>1교육실(실습겸용강의실)</x:v>
      </x:c>
      <x:c r="L265" s="38" t="str">
        <x:f t="shared" si="26"/>
        <x:v>양현수</x:v>
      </x:c>
      <x:c r="M265" s="63"/>
      <x:c r="N265" s="30">
        <x:f>IF(F265="2","",COUNTIF($F$3:$F265,"=1"))</x:f>
        <x:v>234</x:v>
      </x:c>
      <x:c r="O265" s="30">
        <x:f t="shared" si="27"/>
        <x:v>4</x:v>
      </x:c>
      <x:c r="P265" s="30">
        <x:f t="shared" si="29"/>
        <x:v>4</x:v>
      </x:c>
      <x:c r="Q265" s="30">
        <x:f>COUNTIF($P$3:P265,"=3")</x:f>
        <x:v>30</x:v>
      </x:c>
      <x:c r="R265" s="29">
        <x:f>WORKDAY(기본입력!$H$2,Q265-1,공휴일)</x:f>
        <x:v>45968</x:v>
      </x:c>
    </x:row>
    <x:row r="266" spans="1:18">
      <x:c r="A266" s="145" t="str">
        <x:f t="shared" si="28"/>
        <x:v>20251107</x:v>
      </x:c>
      <x:c r="B266" s="8" t="s">
        <x:v>5</x:v>
      </x:c>
      <x:c r="C266" s="8">
        <x:v>1740</x:v>
      </x:c>
      <x:c r="D266" s="7" t="s">
        <x:v>1</x:v>
      </x:c>
      <x:c r="E266" s="8" t="s">
        <x:v>87</x:v>
      </x:c>
      <x:c r="F266" s="8" t="s">
        <x:v>40</x:v>
      </x:c>
      <x:c r="G266" s="15" t="str">
        <x:f>IF(OR(N266="",N266&gt;기본입력!$C$34),"",VLOOKUP(O266,기본입력!$A$9:$F$33,5))</x:f>
        <x:v>양현수_53778</x:v>
      </x:c>
      <x:c r="H266" s="15" t="str">
        <x:f>IF(OR(N266="",N266&gt;기본입력!$C$34),"",기본입력!$C$6)</x:f>
        <x:v>1교육실(실습겸용강의실)_243089</x:v>
      </x:c>
      <x:c r="I266" s="15" t="str">
        <x:f>IF(OR(O266="",N266&gt;기본입력!$C$34),"",VLOOKUP(O266,기본입력!$A$9:$F$33,6,FALSE))</x:f>
        <x:v>AI개발 기초__1</x:v>
      </x:c>
      <x:c r="J266" s="38" t="str">
        <x:f t="shared" si="24"/>
        <x:v>AI개발 기초</x:v>
      </x:c>
      <x:c r="K266" s="38" t="str">
        <x:f t="shared" si="25"/>
        <x:v>1교육실(실습겸용강의실)</x:v>
      </x:c>
      <x:c r="L266" s="38" t="str">
        <x:f t="shared" si="26"/>
        <x:v>양현수</x:v>
      </x:c>
      <x:c r="M266" s="63"/>
      <x:c r="N266" s="30">
        <x:f>IF(F266="2","",COUNTIF($F$3:$F266,"=1"))</x:f>
        <x:v>235</x:v>
      </x:c>
      <x:c r="O266" s="30">
        <x:f t="shared" si="27"/>
        <x:v>4</x:v>
      </x:c>
      <x:c r="P266" s="30">
        <x:f t="shared" si="29"/>
        <x:v>5</x:v>
      </x:c>
      <x:c r="Q266" s="30">
        <x:f>COUNTIF($P$3:P266,"=3")</x:f>
        <x:v>30</x:v>
      </x:c>
      <x:c r="R266" s="29">
        <x:f>WORKDAY(기본입력!$H$2,Q266-1,공휴일)</x:f>
        <x:v>45968</x:v>
      </x:c>
    </x:row>
    <x:row r="267" spans="1:18">
      <x:c r="A267" s="145" t="str">
        <x:f t="shared" si="28"/>
        <x:v>20251107</x:v>
      </x:c>
      <x:c r="B267" s="8" t="s">
        <x:v>5</x:v>
      </x:c>
      <x:c r="C267" s="8">
        <x:v>1740</x:v>
      </x:c>
      <x:c r="D267" s="7" t="s">
        <x:v>1</x:v>
      </x:c>
      <x:c r="E267" s="8" t="s">
        <x:v>88</x:v>
      </x:c>
      <x:c r="F267" s="8" t="s">
        <x:v>40</x:v>
      </x:c>
      <x:c r="G267" s="15" t="str">
        <x:f>IF(OR(N267="",N267&gt;기본입력!$C$34),"",VLOOKUP(O267,기본입력!$A$9:$F$33,5))</x:f>
        <x:v>양현수_53778</x:v>
      </x:c>
      <x:c r="H267" s="15" t="str">
        <x:f>IF(OR(N267="",N267&gt;기본입력!$C$34),"",기본입력!$C$6)</x:f>
        <x:v>1교육실(실습겸용강의실)_243089</x:v>
      </x:c>
      <x:c r="I267" s="15" t="str">
        <x:f>IF(OR(O267="",N267&gt;기본입력!$C$34),"",VLOOKUP(O267,기본입력!$A$9:$F$33,6,FALSE))</x:f>
        <x:v>AI개발 기초__1</x:v>
      </x:c>
      <x:c r="J267" s="38" t="str">
        <x:f t="shared" si="24"/>
        <x:v>AI개발 기초</x:v>
      </x:c>
      <x:c r="K267" s="38" t="str">
        <x:f t="shared" si="25"/>
        <x:v>1교육실(실습겸용강의실)</x:v>
      </x:c>
      <x:c r="L267" s="38" t="str">
        <x:f t="shared" si="26"/>
        <x:v>양현수</x:v>
      </x:c>
      <x:c r="M267" s="63"/>
      <x:c r="N267" s="30">
        <x:f>IF(F267="2","",COUNTIF($F$3:$F267,"=1"))</x:f>
        <x:v>236</x:v>
      </x:c>
      <x:c r="O267" s="30">
        <x:f t="shared" si="27"/>
        <x:v>4</x:v>
      </x:c>
      <x:c r="P267" s="30">
        <x:f t="shared" si="29"/>
        <x:v>6</x:v>
      </x:c>
      <x:c r="Q267" s="30">
        <x:f>COUNTIF($P$3:P267,"=3")</x:f>
        <x:v>30</x:v>
      </x:c>
      <x:c r="R267" s="29">
        <x:f>WORKDAY(기본입력!$H$2,Q267-1,공휴일)</x:f>
        <x:v>45968</x:v>
      </x:c>
    </x:row>
    <x:row r="268" spans="1:18">
      <x:c r="A268" s="145" t="str">
        <x:f t="shared" si="28"/>
        <x:v>20251107</x:v>
      </x:c>
      <x:c r="B268" s="8" t="s">
        <x:v>5</x:v>
      </x:c>
      <x:c r="C268" s="8">
        <x:v>1740</x:v>
      </x:c>
      <x:c r="D268" s="7" t="s">
        <x:v>1</x:v>
      </x:c>
      <x:c r="E268" s="8" t="s">
        <x:v>0</x:v>
      </x:c>
      <x:c r="F268" s="8" t="s">
        <x:v>41</x:v>
      </x:c>
      <x:c r="G268" s="15" t="str">
        <x:f>IF(OR(N268="",N268&gt;기본입력!$C$34),"",VLOOKUP(O268,기본입력!$A$9:$F$33,5))</x:f>
        <x:v/>
      </x:c>
      <x:c r="H268" s="15" t="str">
        <x:f>IF(OR(N268="",N268&gt;기본입력!$C$34),"",기본입력!$C$6)</x:f>
        <x:v/>
      </x:c>
      <x:c r="I268" s="15" t="str">
        <x:f>IF(OR(O268="",N268&gt;기본입력!$C$34),"",VLOOKUP(O268,기본입력!$A$9:$F$33,6,FALSE))</x:f>
        <x:v/>
      </x:c>
      <x:c r="J268" s="38" t="str">
        <x:f t="shared" si="24"/>
        <x:v/>
      </x:c>
      <x:c r="K268" s="38" t="str">
        <x:f t="shared" si="25"/>
        <x:v/>
      </x:c>
      <x:c r="L268" s="38" t="str">
        <x:f t="shared" si="26"/>
        <x:v/>
      </x:c>
      <x:c r="M268" s="63"/>
      <x:c r="N268" s="30" t="str">
        <x:f>IF(F268="2","",COUNTIF($F$3:$F268,"=1"))</x:f>
        <x:v/>
      </x:c>
      <x:c r="O268" s="30" t="str">
        <x:f t="shared" si="27"/>
        <x:v/>
      </x:c>
      <x:c r="P268" s="30">
        <x:f t="shared" si="29"/>
        <x:v>7</x:v>
      </x:c>
      <x:c r="Q268" s="30">
        <x:f>COUNTIF($P$3:P268,"=3")</x:f>
        <x:v>30</x:v>
      </x:c>
      <x:c r="R268" s="29">
        <x:f>WORKDAY(기본입력!$H$2,Q268-1,공휴일)</x:f>
        <x:v>45968</x:v>
      </x:c>
    </x:row>
    <x:row r="269" spans="1:18">
      <x:c r="A269" s="145" t="str">
        <x:f t="shared" si="28"/>
        <x:v>20251107</x:v>
      </x:c>
      <x:c r="B269" s="8" t="s">
        <x:v>5</x:v>
      </x:c>
      <x:c r="C269" s="8">
        <x:v>1740</x:v>
      </x:c>
      <x:c r="D269" s="7" t="s">
        <x:v>1</x:v>
      </x:c>
      <x:c r="E269" s="8">
        <x:v>1340</x:v>
      </x:c>
      <x:c r="F269" s="8" t="s">
        <x:v>40</x:v>
      </x:c>
      <x:c r="G269" s="15" t="str">
        <x:f>IF(OR(N269="",N269&gt;기본입력!$C$34),"",VLOOKUP(O269,기본입력!$A$9:$F$33,5))</x:f>
        <x:v>양현수_53778</x:v>
      </x:c>
      <x:c r="H269" s="15" t="str">
        <x:f>IF(OR(N269="",N269&gt;기본입력!$C$34),"",기본입력!$C$6)</x:f>
        <x:v>1교육실(실습겸용강의실)_243089</x:v>
      </x:c>
      <x:c r="I269" s="15" t="str">
        <x:f>IF(OR(O269="",N269&gt;기본입력!$C$34),"",VLOOKUP(O269,기본입력!$A$9:$F$33,6,FALSE))</x:f>
        <x:v>AI개발 기초__1</x:v>
      </x:c>
      <x:c r="J269" s="38" t="str">
        <x:f t="shared" si="24"/>
        <x:v>AI개발 기초</x:v>
      </x:c>
      <x:c r="K269" s="38" t="str">
        <x:f t="shared" si="25"/>
        <x:v>1교육실(실습겸용강의실)</x:v>
      </x:c>
      <x:c r="L269" s="38" t="str">
        <x:f t="shared" si="26"/>
        <x:v>양현수</x:v>
      </x:c>
      <x:c r="M269" s="63"/>
      <x:c r="N269" s="30">
        <x:f>IF(F269="2","",COUNTIF($F$3:$F269,"=1"))</x:f>
        <x:v>237</x:v>
      </x:c>
      <x:c r="O269" s="30">
        <x:f t="shared" si="27"/>
        <x:v>4</x:v>
      </x:c>
      <x:c r="P269" s="30">
        <x:f t="shared" si="29"/>
        <x:v>8</x:v>
      </x:c>
      <x:c r="Q269" s="30">
        <x:f>COUNTIF($P$3:P269,"=3")</x:f>
        <x:v>30</x:v>
      </x:c>
      <x:c r="R269" s="29">
        <x:f>WORKDAY(기본입력!$H$2,Q269-1,공휴일)</x:f>
        <x:v>45968</x:v>
      </x:c>
    </x:row>
    <x:row r="270" spans="1:18">
      <x:c r="A270" s="145" t="str">
        <x:f t="shared" si="28"/>
        <x:v>20251107</x:v>
      </x:c>
      <x:c r="B270" s="8" t="s">
        <x:v>5</x:v>
      </x:c>
      <x:c r="C270" s="8">
        <x:v>1740</x:v>
      </x:c>
      <x:c r="D270" s="7" t="s">
        <x:v>1</x:v>
      </x:c>
      <x:c r="E270" s="8">
        <x:v>1440</x:v>
      </x:c>
      <x:c r="F270" s="8" t="s">
        <x:v>40</x:v>
      </x:c>
      <x:c r="G270" s="15" t="str">
        <x:f>IF(OR(N270="",N270&gt;기본입력!$C$34),"",VLOOKUP(O270,기본입력!$A$9:$F$33,5))</x:f>
        <x:v>양현수_53778</x:v>
      </x:c>
      <x:c r="H270" s="15" t="str">
        <x:f>IF(OR(N270="",N270&gt;기본입력!$C$34),"",기본입력!$C$6)</x:f>
        <x:v>1교육실(실습겸용강의실)_243089</x:v>
      </x:c>
      <x:c r="I270" s="15" t="str">
        <x:f>IF(OR(O270="",N270&gt;기본입력!$C$34),"",VLOOKUP(O270,기본입력!$A$9:$F$33,6,FALSE))</x:f>
        <x:v>AI개발 기초__1</x:v>
      </x:c>
      <x:c r="J270" s="38" t="str">
        <x:f t="shared" si="24"/>
        <x:v>AI개발 기초</x:v>
      </x:c>
      <x:c r="K270" s="38" t="str">
        <x:f t="shared" si="25"/>
        <x:v>1교육실(실습겸용강의실)</x:v>
      </x:c>
      <x:c r="L270" s="38" t="str">
        <x:f t="shared" si="26"/>
        <x:v>양현수</x:v>
      </x:c>
      <x:c r="M270" s="63"/>
      <x:c r="N270" s="30">
        <x:f>IF(F270="2","",COUNTIF($F$3:$F270,"=1"))</x:f>
        <x:v>238</x:v>
      </x:c>
      <x:c r="O270" s="30">
        <x:f t="shared" si="27"/>
        <x:v>4</x:v>
      </x:c>
      <x:c r="P270" s="30">
        <x:f t="shared" si="29"/>
        <x:v>0</x:v>
      </x:c>
      <x:c r="Q270" s="30">
        <x:f>COUNTIF($P$3:P270,"=3")</x:f>
        <x:v>30</x:v>
      </x:c>
      <x:c r="R270" s="29">
        <x:f>WORKDAY(기본입력!$H$2,Q270-1,공휴일)</x:f>
        <x:v>45968</x:v>
      </x:c>
    </x:row>
    <x:row r="271" spans="1:18">
      <x:c r="A271" s="145" t="str">
        <x:f t="shared" si="28"/>
        <x:v>20251107</x:v>
      </x:c>
      <x:c r="B271" s="8" t="s">
        <x:v>5</x:v>
      </x:c>
      <x:c r="C271" s="8">
        <x:v>1740</x:v>
      </x:c>
      <x:c r="D271" s="7" t="s">
        <x:v>1</x:v>
      </x:c>
      <x:c r="E271" s="8">
        <x:v>1540</x:v>
      </x:c>
      <x:c r="F271" s="8" t="s">
        <x:v>40</x:v>
      </x:c>
      <x:c r="G271" s="15" t="str">
        <x:f>IF(OR(N271="",N271&gt;기본입력!$C$34),"",VLOOKUP(O271,기본입력!$A$9:$F$33,5))</x:f>
        <x:v>양현수_53778</x:v>
      </x:c>
      <x:c r="H271" s="15" t="str">
        <x:f>IF(OR(N271="",N271&gt;기본입력!$C$34),"",기본입력!$C$6)</x:f>
        <x:v>1교육실(실습겸용강의실)_243089</x:v>
      </x:c>
      <x:c r="I271" s="15" t="str">
        <x:f>IF(OR(O271="",N271&gt;기본입력!$C$34),"",VLOOKUP(O271,기본입력!$A$9:$F$33,6,FALSE))</x:f>
        <x:v>AI개발 기초__1</x:v>
      </x:c>
      <x:c r="J271" s="38" t="str">
        <x:f t="shared" si="24"/>
        <x:v>AI개발 기초</x:v>
      </x:c>
      <x:c r="K271" s="38" t="str">
        <x:f t="shared" si="25"/>
        <x:v>1교육실(실습겸용강의실)</x:v>
      </x:c>
      <x:c r="L271" s="38" t="str">
        <x:f t="shared" si="26"/>
        <x:v>양현수</x:v>
      </x:c>
      <x:c r="M271" s="63"/>
      <x:c r="N271" s="30">
        <x:f>IF(F271="2","",COUNTIF($F$3:$F271,"=1"))</x:f>
        <x:v>239</x:v>
      </x:c>
      <x:c r="O271" s="30">
        <x:f t="shared" si="27"/>
        <x:v>4</x:v>
      </x:c>
      <x:c r="P271" s="30">
        <x:f t="shared" si="29"/>
        <x:v>1</x:v>
      </x:c>
      <x:c r="Q271" s="30">
        <x:f>COUNTIF($P$3:P271,"=3")</x:f>
        <x:v>30</x:v>
      </x:c>
      <x:c r="R271" s="29">
        <x:f>WORKDAY(기본입력!$H$2,Q271-1,공휴일)</x:f>
        <x:v>45968</x:v>
      </x:c>
    </x:row>
    <x:row r="272" spans="1:18">
      <x:c r="A272" s="145" t="str">
        <x:f t="shared" si="28"/>
        <x:v>20251107</x:v>
      </x:c>
      <x:c r="B272" s="8" t="s">
        <x:v>5</x:v>
      </x:c>
      <x:c r="C272" s="8">
        <x:v>1740</x:v>
      </x:c>
      <x:c r="D272" s="7" t="s">
        <x:v>1</x:v>
      </x:c>
      <x:c r="E272" s="8">
        <x:v>1640</x:v>
      </x:c>
      <x:c r="F272" s="8" t="s">
        <x:v>40</x:v>
      </x:c>
      <x:c r="G272" s="15" t="str">
        <x:f>IF(OR(N272="",N272&gt;기본입력!$C$34),"",VLOOKUP(O272,기본입력!$A$9:$F$33,5))</x:f>
        <x:v>양현수_53778</x:v>
      </x:c>
      <x:c r="H272" s="15" t="str">
        <x:f>IF(OR(N272="",N272&gt;기본입력!$C$34),"",기본입력!$C$6)</x:f>
        <x:v>1교육실(실습겸용강의실)_243089</x:v>
      </x:c>
      <x:c r="I272" s="15" t="str">
        <x:f>IF(OR(O272="",N272&gt;기본입력!$C$34),"",VLOOKUP(O272,기본입력!$A$9:$F$33,6,FALSE))</x:f>
        <x:v>AI개발 기초__1</x:v>
      </x:c>
      <x:c r="J272" s="38" t="str">
        <x:f t="shared" si="24"/>
        <x:v>AI개발 기초</x:v>
      </x:c>
      <x:c r="K272" s="38" t="str">
        <x:f t="shared" si="25"/>
        <x:v>1교육실(실습겸용강의실)</x:v>
      </x:c>
      <x:c r="L272" s="38" t="str">
        <x:f t="shared" si="26"/>
        <x:v>양현수</x:v>
      </x:c>
      <x:c r="M272" s="63"/>
      <x:c r="N272" s="30">
        <x:f>IF(F272="2","",COUNTIF($F$3:$F272,"=1"))</x:f>
        <x:v>240</x:v>
      </x:c>
      <x:c r="O272" s="30">
        <x:f t="shared" si="27"/>
        <x:v>4</x:v>
      </x:c>
      <x:c r="P272" s="30">
        <x:f t="shared" si="29"/>
        <x:v>2</x:v>
      </x:c>
      <x:c r="Q272" s="30">
        <x:f>COUNTIF($P$3:P272,"=3")</x:f>
        <x:v>30</x:v>
      </x:c>
      <x:c r="R272" s="29">
        <x:f>WORKDAY(기본입력!$H$2,Q272-1,공휴일)</x:f>
        <x:v>45968</x:v>
      </x:c>
    </x:row>
    <x:row r="273" spans="1:18">
      <x:c r="A273" s="144" t="str">
        <x:f t="shared" si="28"/>
        <x:v>20251110</x:v>
      </x:c>
      <x:c r="B273" s="6" t="s">
        <x:v>5</x:v>
      </x:c>
      <x:c r="C273" s="6">
        <x:v>1740</x:v>
      </x:c>
      <x:c r="D273" s="5" t="s">
        <x:v>1</x:v>
      </x:c>
      <x:c r="E273" s="6" t="s">
        <x:v>5</x:v>
      </x:c>
      <x:c r="F273" s="6" t="s">
        <x:v>40</x:v>
      </x:c>
      <x:c r="G273" s="14" t="str">
        <x:f>IF(OR(N273="",N273&gt;기본입력!$C$34),"",VLOOKUP(O273,기본입력!$A$9:$F$33,5))</x:f>
        <x:v>양현수_53778</x:v>
      </x:c>
      <x:c r="H273" s="14" t="str">
        <x:f>IF(OR(N273="",N273&gt;기본입력!$C$34),"",기본입력!$C$6)</x:f>
        <x:v>1교육실(실습겸용강의실)_243089</x:v>
      </x:c>
      <x:c r="I273" s="14" t="str">
        <x:f>IF(OR(O273="",N273&gt;기본입력!$C$34),"",VLOOKUP(O273,기본입력!$A$9:$F$33,6,FALSE))</x:f>
        <x:v>AI개발 기초__1</x:v>
      </x:c>
      <x:c r="J273" s="38" t="str">
        <x:f t="shared" si="24"/>
        <x:v>AI개발 기초</x:v>
      </x:c>
      <x:c r="K273" s="38" t="str">
        <x:f t="shared" si="25"/>
        <x:v>1교육실(실습겸용강의실)</x:v>
      </x:c>
      <x:c r="L273" s="38" t="str">
        <x:f t="shared" si="26"/>
        <x:v>양현수</x:v>
      </x:c>
      <x:c r="M273" s="63"/>
      <x:c r="N273" s="30">
        <x:f>IF(F273="2","",COUNTIF($F$3:$F273,"=1"))</x:f>
        <x:v>241</x:v>
      </x:c>
      <x:c r="O273" s="30">
        <x:f t="shared" si="27"/>
        <x:v>4</x:v>
      </x:c>
      <x:c r="P273" s="30">
        <x:f t="shared" si="29"/>
        <x:v>3</x:v>
      </x:c>
      <x:c r="Q273" s="30">
        <x:f>COUNTIF($P$3:P273,"=3")</x:f>
        <x:v>31</x:v>
      </x:c>
      <x:c r="R273" s="29">
        <x:f>WORKDAY(기본입력!$H$2,Q273-1,공휴일)</x:f>
        <x:v>45971</x:v>
      </x:c>
    </x:row>
    <x:row r="274" spans="1:18">
      <x:c r="A274" s="144" t="str">
        <x:f t="shared" si="28"/>
        <x:v>20251110</x:v>
      </x:c>
      <x:c r="B274" s="6" t="s">
        <x:v>5</x:v>
      </x:c>
      <x:c r="C274" s="6">
        <x:v>1740</x:v>
      </x:c>
      <x:c r="D274" s="5" t="s">
        <x:v>1</x:v>
      </x:c>
      <x:c r="E274" s="6" t="s">
        <x:v>117</x:v>
      </x:c>
      <x:c r="F274" s="6" t="s">
        <x:v>40</x:v>
      </x:c>
      <x:c r="G274" s="14" t="str">
        <x:f>IF(OR(N274="",N274&gt;기본입력!$C$34),"",VLOOKUP(O274,기본입력!$A$9:$F$33,5))</x:f>
        <x:v>양현수_53778</x:v>
      </x:c>
      <x:c r="H274" s="14" t="str">
        <x:f>IF(OR(N274="",N274&gt;기본입력!$C$34),"",기본입력!$C$6)</x:f>
        <x:v>1교육실(실습겸용강의실)_243089</x:v>
      </x:c>
      <x:c r="I274" s="14" t="str">
        <x:f>IF(OR(O274="",N274&gt;기본입력!$C$34),"",VLOOKUP(O274,기본입력!$A$9:$F$33,6,FALSE))</x:f>
        <x:v>AI개발 기초__1</x:v>
      </x:c>
      <x:c r="J274" s="38" t="str">
        <x:f t="shared" si="24"/>
        <x:v>AI개발 기초</x:v>
      </x:c>
      <x:c r="K274" s="38" t="str">
        <x:f t="shared" si="25"/>
        <x:v>1교육실(실습겸용강의실)</x:v>
      </x:c>
      <x:c r="L274" s="38" t="str">
        <x:f t="shared" si="26"/>
        <x:v>양현수</x:v>
      </x:c>
      <x:c r="M274" s="63"/>
      <x:c r="N274" s="30">
        <x:f>IF(F274="2","",COUNTIF($F$3:$F274,"=1"))</x:f>
        <x:v>242</x:v>
      </x:c>
      <x:c r="O274" s="30">
        <x:f t="shared" si="27"/>
        <x:v>4</x:v>
      </x:c>
      <x:c r="P274" s="30">
        <x:f t="shared" si="29"/>
        <x:v>4</x:v>
      </x:c>
      <x:c r="Q274" s="30">
        <x:f>COUNTIF($P$3:P274,"=3")</x:f>
        <x:v>31</x:v>
      </x:c>
      <x:c r="R274" s="29">
        <x:f>WORKDAY(기본입력!$H$2,Q274-1,공휴일)</x:f>
        <x:v>45971</x:v>
      </x:c>
    </x:row>
    <x:row r="275" spans="1:18">
      <x:c r="A275" s="144" t="str">
        <x:f t="shared" si="28"/>
        <x:v>20251110</x:v>
      </x:c>
      <x:c r="B275" s="6" t="s">
        <x:v>5</x:v>
      </x:c>
      <x:c r="C275" s="6">
        <x:v>1740</x:v>
      </x:c>
      <x:c r="D275" s="5" t="s">
        <x:v>1</x:v>
      </x:c>
      <x:c r="E275" s="6" t="s">
        <x:v>87</x:v>
      </x:c>
      <x:c r="F275" s="6" t="s">
        <x:v>40</x:v>
      </x:c>
      <x:c r="G275" s="14" t="str">
        <x:f>IF(OR(N275="",N275&gt;기본입력!$C$34),"",VLOOKUP(O275,기본입력!$A$9:$F$33,5))</x:f>
        <x:v>양현수_53778</x:v>
      </x:c>
      <x:c r="H275" s="14" t="str">
        <x:f>IF(OR(N275="",N275&gt;기본입력!$C$34),"",기본입력!$C$6)</x:f>
        <x:v>1교육실(실습겸용강의실)_243089</x:v>
      </x:c>
      <x:c r="I275" s="14" t="str">
        <x:f>IF(OR(O275="",N275&gt;기본입력!$C$34),"",VLOOKUP(O275,기본입력!$A$9:$F$33,6,FALSE))</x:f>
        <x:v>AI개발 기초__1</x:v>
      </x:c>
      <x:c r="J275" s="38" t="str">
        <x:f t="shared" si="24"/>
        <x:v>AI개발 기초</x:v>
      </x:c>
      <x:c r="K275" s="38" t="str">
        <x:f t="shared" si="25"/>
        <x:v>1교육실(실습겸용강의실)</x:v>
      </x:c>
      <x:c r="L275" s="38" t="str">
        <x:f t="shared" si="26"/>
        <x:v>양현수</x:v>
      </x:c>
      <x:c r="M275" s="63"/>
      <x:c r="N275" s="30">
        <x:f>IF(F275="2","",COUNTIF($F$3:$F275,"=1"))</x:f>
        <x:v>243</x:v>
      </x:c>
      <x:c r="O275" s="30">
        <x:f t="shared" si="27"/>
        <x:v>4</x:v>
      </x:c>
      <x:c r="P275" s="30">
        <x:f t="shared" si="29"/>
        <x:v>5</x:v>
      </x:c>
      <x:c r="Q275" s="30">
        <x:f>COUNTIF($P$3:P275,"=3")</x:f>
        <x:v>31</x:v>
      </x:c>
      <x:c r="R275" s="29">
        <x:f>WORKDAY(기본입력!$H$2,Q275-1,공휴일)</x:f>
        <x:v>45971</x:v>
      </x:c>
    </x:row>
    <x:row r="276" spans="1:18">
      <x:c r="A276" s="144" t="str">
        <x:f t="shared" si="28"/>
        <x:v>20251110</x:v>
      </x:c>
      <x:c r="B276" s="6" t="s">
        <x:v>5</x:v>
      </x:c>
      <x:c r="C276" s="6">
        <x:v>1740</x:v>
      </x:c>
      <x:c r="D276" s="5" t="s">
        <x:v>1</x:v>
      </x:c>
      <x:c r="E276" s="6" t="s">
        <x:v>88</x:v>
      </x:c>
      <x:c r="F276" s="6" t="s">
        <x:v>40</x:v>
      </x:c>
      <x:c r="G276" s="14" t="str">
        <x:f>IF(OR(N276="",N276&gt;기본입력!$C$34),"",VLOOKUP(O276,기본입력!$A$9:$F$33,5))</x:f>
        <x:v>양현수_53778</x:v>
      </x:c>
      <x:c r="H276" s="14" t="str">
        <x:f>IF(OR(N276="",N276&gt;기본입력!$C$34),"",기본입력!$C$6)</x:f>
        <x:v>1교육실(실습겸용강의실)_243089</x:v>
      </x:c>
      <x:c r="I276" s="14" t="str">
        <x:f>IF(OR(O276="",N276&gt;기본입력!$C$34),"",VLOOKUP(O276,기본입력!$A$9:$F$33,6,FALSE))</x:f>
        <x:v>AI개발 기초__1</x:v>
      </x:c>
      <x:c r="J276" s="38" t="str">
        <x:f t="shared" si="24"/>
        <x:v>AI개발 기초</x:v>
      </x:c>
      <x:c r="K276" s="38" t="str">
        <x:f t="shared" si="25"/>
        <x:v>1교육실(실습겸용강의실)</x:v>
      </x:c>
      <x:c r="L276" s="38" t="str">
        <x:f t="shared" si="26"/>
        <x:v>양현수</x:v>
      </x:c>
      <x:c r="M276" s="63"/>
      <x:c r="N276" s="30">
        <x:f>IF(F276="2","",COUNTIF($F$3:$F276,"=1"))</x:f>
        <x:v>244</x:v>
      </x:c>
      <x:c r="O276" s="30">
        <x:f t="shared" si="27"/>
        <x:v>4</x:v>
      </x:c>
      <x:c r="P276" s="30">
        <x:f t="shared" si="29"/>
        <x:v>6</x:v>
      </x:c>
      <x:c r="Q276" s="30">
        <x:f>COUNTIF($P$3:P276,"=3")</x:f>
        <x:v>31</x:v>
      </x:c>
      <x:c r="R276" s="29">
        <x:f>WORKDAY(기본입력!$H$2,Q276-1,공휴일)</x:f>
        <x:v>45971</x:v>
      </x:c>
    </x:row>
    <x:row r="277" spans="1:18">
      <x:c r="A277" s="144" t="str">
        <x:f t="shared" si="28"/>
        <x:v>20251110</x:v>
      </x:c>
      <x:c r="B277" s="6" t="s">
        <x:v>5</x:v>
      </x:c>
      <x:c r="C277" s="6">
        <x:v>1740</x:v>
      </x:c>
      <x:c r="D277" s="5" t="s">
        <x:v>1</x:v>
      </x:c>
      <x:c r="E277" s="6" t="s">
        <x:v>0</x:v>
      </x:c>
      <x:c r="F277" s="6" t="s">
        <x:v>41</x:v>
      </x:c>
      <x:c r="G277" s="14" t="str">
        <x:f>IF(OR(N277="",N277&gt;기본입력!$C$34),"",VLOOKUP(O277,기본입력!$A$9:$F$33,5))</x:f>
        <x:v/>
      </x:c>
      <x:c r="H277" s="14" t="str">
        <x:f>IF(OR(N277="",N277&gt;기본입력!$C$34),"",기본입력!$C$6)</x:f>
        <x:v/>
      </x:c>
      <x:c r="I277" s="14" t="str">
        <x:f>IF(OR(O277="",N277&gt;기본입력!$C$34),"",VLOOKUP(O277,기본입력!$A$9:$F$33,6,FALSE))</x:f>
        <x:v/>
      </x:c>
      <x:c r="J277" s="38" t="str">
        <x:f t="shared" si="24"/>
        <x:v/>
      </x:c>
      <x:c r="K277" s="38" t="str">
        <x:f t="shared" si="25"/>
        <x:v/>
      </x:c>
      <x:c r="L277" s="38" t="str">
        <x:f t="shared" si="26"/>
        <x:v/>
      </x:c>
      <x:c r="M277" s="63"/>
      <x:c r="N277" s="30" t="str">
        <x:f>IF(F277="2","",COUNTIF($F$3:$F277,"=1"))</x:f>
        <x:v/>
      </x:c>
      <x:c r="O277" s="30" t="str">
        <x:f t="shared" si="27"/>
        <x:v/>
      </x:c>
      <x:c r="P277" s="30">
        <x:f t="shared" si="29"/>
        <x:v>7</x:v>
      </x:c>
      <x:c r="Q277" s="30">
        <x:f>COUNTIF($P$3:P277,"=3")</x:f>
        <x:v>31</x:v>
      </x:c>
      <x:c r="R277" s="29">
        <x:f>WORKDAY(기본입력!$H$2,Q277-1,공휴일)</x:f>
        <x:v>45971</x:v>
      </x:c>
    </x:row>
    <x:row r="278" spans="1:18">
      <x:c r="A278" s="144" t="str">
        <x:f t="shared" si="28"/>
        <x:v>20251110</x:v>
      </x:c>
      <x:c r="B278" s="6" t="s">
        <x:v>5</x:v>
      </x:c>
      <x:c r="C278" s="6">
        <x:v>1740</x:v>
      </x:c>
      <x:c r="D278" s="5" t="s">
        <x:v>1</x:v>
      </x:c>
      <x:c r="E278" s="6">
        <x:v>1340</x:v>
      </x:c>
      <x:c r="F278" s="6" t="s">
        <x:v>40</x:v>
      </x:c>
      <x:c r="G278" s="14" t="str">
        <x:f>IF(OR(N278="",N278&gt;기본입력!$C$34),"",VLOOKUP(O278,기본입력!$A$9:$F$33,5))</x:f>
        <x:v>양현수_53778</x:v>
      </x:c>
      <x:c r="H278" s="14" t="str">
        <x:f>IF(OR(N278="",N278&gt;기본입력!$C$34),"",기본입력!$C$6)</x:f>
        <x:v>1교육실(실습겸용강의실)_243089</x:v>
      </x:c>
      <x:c r="I278" s="14" t="str">
        <x:f>IF(OR(O278="",N278&gt;기본입력!$C$34),"",VLOOKUP(O278,기본입력!$A$9:$F$33,6,FALSE))</x:f>
        <x:v>AI개발 기초__1</x:v>
      </x:c>
      <x:c r="J278" s="38" t="str">
        <x:f t="shared" si="24"/>
        <x:v>AI개발 기초</x:v>
      </x:c>
      <x:c r="K278" s="38" t="str">
        <x:f t="shared" si="25"/>
        <x:v>1교육실(실습겸용강의실)</x:v>
      </x:c>
      <x:c r="L278" s="38" t="str">
        <x:f t="shared" si="26"/>
        <x:v>양현수</x:v>
      </x:c>
      <x:c r="M278" s="63"/>
      <x:c r="N278" s="30">
        <x:f>IF(F278="2","",COUNTIF($F$3:$F278,"=1"))</x:f>
        <x:v>245</x:v>
      </x:c>
      <x:c r="O278" s="30">
        <x:f t="shared" si="27"/>
        <x:v>4</x:v>
      </x:c>
      <x:c r="P278" s="30">
        <x:f t="shared" si="29"/>
        <x:v>8</x:v>
      </x:c>
      <x:c r="Q278" s="30">
        <x:f>COUNTIF($P$3:P278,"=3")</x:f>
        <x:v>31</x:v>
      </x:c>
      <x:c r="R278" s="29">
        <x:f>WORKDAY(기본입력!$H$2,Q278-1,공휴일)</x:f>
        <x:v>45971</x:v>
      </x:c>
    </x:row>
    <x:row r="279" spans="1:18">
      <x:c r="A279" s="144" t="str">
        <x:f t="shared" si="28"/>
        <x:v>20251110</x:v>
      </x:c>
      <x:c r="B279" s="6" t="s">
        <x:v>5</x:v>
      </x:c>
      <x:c r="C279" s="6">
        <x:v>1740</x:v>
      </x:c>
      <x:c r="D279" s="5" t="s">
        <x:v>1</x:v>
      </x:c>
      <x:c r="E279" s="6">
        <x:v>1440</x:v>
      </x:c>
      <x:c r="F279" s="6" t="s">
        <x:v>40</x:v>
      </x:c>
      <x:c r="G279" s="14" t="str">
        <x:f>IF(OR(N279="",N279&gt;기본입력!$C$34),"",VLOOKUP(O279,기본입력!$A$9:$F$33,5))</x:f>
        <x:v>양현수_53778</x:v>
      </x:c>
      <x:c r="H279" s="14" t="str">
        <x:f>IF(OR(N279="",N279&gt;기본입력!$C$34),"",기본입력!$C$6)</x:f>
        <x:v>1교육실(실습겸용강의실)_243089</x:v>
      </x:c>
      <x:c r="I279" s="14" t="str">
        <x:f>IF(OR(O279="",N279&gt;기본입력!$C$34),"",VLOOKUP(O279,기본입력!$A$9:$F$33,6,FALSE))</x:f>
        <x:v>AI개발 기초__1</x:v>
      </x:c>
      <x:c r="J279" s="38" t="str">
        <x:f t="shared" si="24"/>
        <x:v>AI개발 기초</x:v>
      </x:c>
      <x:c r="K279" s="38" t="str">
        <x:f t="shared" si="25"/>
        <x:v>1교육실(실습겸용강의실)</x:v>
      </x:c>
      <x:c r="L279" s="38" t="str">
        <x:f t="shared" si="26"/>
        <x:v>양현수</x:v>
      </x:c>
      <x:c r="M279" s="63"/>
      <x:c r="N279" s="30">
        <x:f>IF(F279="2","",COUNTIF($F$3:$F279,"=1"))</x:f>
        <x:v>246</x:v>
      </x:c>
      <x:c r="O279" s="30">
        <x:f t="shared" si="27"/>
        <x:v>4</x:v>
      </x:c>
      <x:c r="P279" s="30">
        <x:f t="shared" si="29"/>
        <x:v>0</x:v>
      </x:c>
      <x:c r="Q279" s="30">
        <x:f>COUNTIF($P$3:P279,"=3")</x:f>
        <x:v>31</x:v>
      </x:c>
      <x:c r="R279" s="29">
        <x:f>WORKDAY(기본입력!$H$2,Q279-1,공휴일)</x:f>
        <x:v>45971</x:v>
      </x:c>
    </x:row>
    <x:row r="280" spans="1:18">
      <x:c r="A280" s="144" t="str">
        <x:f t="shared" si="28"/>
        <x:v>20251110</x:v>
      </x:c>
      <x:c r="B280" s="6" t="s">
        <x:v>5</x:v>
      </x:c>
      <x:c r="C280" s="6">
        <x:v>1740</x:v>
      </x:c>
      <x:c r="D280" s="5" t="s">
        <x:v>1</x:v>
      </x:c>
      <x:c r="E280" s="6">
        <x:v>1540</x:v>
      </x:c>
      <x:c r="F280" s="6" t="s">
        <x:v>40</x:v>
      </x:c>
      <x:c r="G280" s="14" t="str">
        <x:f>IF(OR(N280="",N280&gt;기본입력!$C$34),"",VLOOKUP(O280,기본입력!$A$9:$F$33,5))</x:f>
        <x:v>양현수_53778</x:v>
      </x:c>
      <x:c r="H280" s="14" t="str">
        <x:f>IF(OR(N280="",N280&gt;기본입력!$C$34),"",기본입력!$C$6)</x:f>
        <x:v>1교육실(실습겸용강의실)_243089</x:v>
      </x:c>
      <x:c r="I280" s="14" t="str">
        <x:f>IF(OR(O280="",N280&gt;기본입력!$C$34),"",VLOOKUP(O280,기본입력!$A$9:$F$33,6,FALSE))</x:f>
        <x:v>AI개발 기초__1</x:v>
      </x:c>
      <x:c r="J280" s="38" t="str">
        <x:f t="shared" si="24"/>
        <x:v>AI개발 기초</x:v>
      </x:c>
      <x:c r="K280" s="38" t="str">
        <x:f t="shared" si="25"/>
        <x:v>1교육실(실습겸용강의실)</x:v>
      </x:c>
      <x:c r="L280" s="38" t="str">
        <x:f t="shared" si="26"/>
        <x:v>양현수</x:v>
      </x:c>
      <x:c r="M280" s="63"/>
      <x:c r="N280" s="30">
        <x:f>IF(F280="2","",COUNTIF($F$3:$F280,"=1"))</x:f>
        <x:v>247</x:v>
      </x:c>
      <x:c r="O280" s="30">
        <x:f t="shared" si="27"/>
        <x:v>4</x:v>
      </x:c>
      <x:c r="P280" s="30">
        <x:f t="shared" si="29"/>
        <x:v>1</x:v>
      </x:c>
      <x:c r="Q280" s="30">
        <x:f>COUNTIF($P$3:P280,"=3")</x:f>
        <x:v>31</x:v>
      </x:c>
      <x:c r="R280" s="29">
        <x:f>WORKDAY(기본입력!$H$2,Q280-1,공휴일)</x:f>
        <x:v>45971</x:v>
      </x:c>
    </x:row>
    <x:row r="281" spans="1:18">
      <x:c r="A281" s="144" t="str">
        <x:f t="shared" si="28"/>
        <x:v>20251110</x:v>
      </x:c>
      <x:c r="B281" s="6" t="s">
        <x:v>5</x:v>
      </x:c>
      <x:c r="C281" s="6">
        <x:v>1740</x:v>
      </x:c>
      <x:c r="D281" s="5" t="s">
        <x:v>1</x:v>
      </x:c>
      <x:c r="E281" s="6">
        <x:v>1640</x:v>
      </x:c>
      <x:c r="F281" s="6" t="s">
        <x:v>40</x:v>
      </x:c>
      <x:c r="G281" s="14" t="str">
        <x:f>IF(OR(N281="",N281&gt;기본입력!$C$34),"",VLOOKUP(O281,기본입력!$A$9:$F$33,5))</x:f>
        <x:v>양현수_53778</x:v>
      </x:c>
      <x:c r="H281" s="14" t="str">
        <x:f>IF(OR(N281="",N281&gt;기본입력!$C$34),"",기본입력!$C$6)</x:f>
        <x:v>1교육실(실습겸용강의실)_243089</x:v>
      </x:c>
      <x:c r="I281" s="14" t="str">
        <x:f>IF(OR(O281="",N281&gt;기본입력!$C$34),"",VLOOKUP(O281,기본입력!$A$9:$F$33,6,FALSE))</x:f>
        <x:v>AI개발 기초__1</x:v>
      </x:c>
      <x:c r="J281" s="38" t="str">
        <x:f t="shared" si="24"/>
        <x:v>AI개발 기초</x:v>
      </x:c>
      <x:c r="K281" s="38" t="str">
        <x:f t="shared" si="25"/>
        <x:v>1교육실(실습겸용강의실)</x:v>
      </x:c>
      <x:c r="L281" s="38" t="str">
        <x:f t="shared" si="26"/>
        <x:v>양현수</x:v>
      </x:c>
      <x:c r="M281" s="63"/>
      <x:c r="N281" s="30">
        <x:f>IF(F281="2","",COUNTIF($F$3:$F281,"=1"))</x:f>
        <x:v>248</x:v>
      </x:c>
      <x:c r="O281" s="30">
        <x:f t="shared" si="27"/>
        <x:v>4</x:v>
      </x:c>
      <x:c r="P281" s="30">
        <x:f t="shared" si="29"/>
        <x:v>2</x:v>
      </x:c>
      <x:c r="Q281" s="30">
        <x:f>COUNTIF($P$3:P281,"=3")</x:f>
        <x:v>31</x:v>
      </x:c>
      <x:c r="R281" s="29">
        <x:f>WORKDAY(기본입력!$H$2,Q281-1,공휴일)</x:f>
        <x:v>45971</x:v>
      </x:c>
    </x:row>
    <x:row r="282" spans="1:18">
      <x:c r="A282" s="145" t="str">
        <x:f t="shared" si="28"/>
        <x:v>20251111</x:v>
      </x:c>
      <x:c r="B282" s="8" t="s">
        <x:v>5</x:v>
      </x:c>
      <x:c r="C282" s="8">
        <x:v>1740</x:v>
      </x:c>
      <x:c r="D282" s="7" t="s">
        <x:v>1</x:v>
      </x:c>
      <x:c r="E282" s="8" t="s">
        <x:v>5</x:v>
      </x:c>
      <x:c r="F282" s="8" t="s">
        <x:v>40</x:v>
      </x:c>
      <x:c r="G282" s="15" t="str">
        <x:f>IF(OR(N282="",N282&gt;기본입력!$C$34),"",VLOOKUP(O282,기본입력!$A$9:$F$33,5))</x:f>
        <x:v>양현수_53778</x:v>
      </x:c>
      <x:c r="H282" s="15" t="str">
        <x:f>IF(OR(N282="",N282&gt;기본입력!$C$34),"",기본입력!$C$6)</x:f>
        <x:v>1교육실(실습겸용강의실)_243089</x:v>
      </x:c>
      <x:c r="I282" s="15" t="str">
        <x:f>IF(OR(O282="",N282&gt;기본입력!$C$34),"",VLOOKUP(O282,기본입력!$A$9:$F$33,6,FALSE))</x:f>
        <x:v>AI개발 기초__1</x:v>
      </x:c>
      <x:c r="J282" s="38" t="str">
        <x:f t="shared" si="24"/>
        <x:v>AI개발 기초</x:v>
      </x:c>
      <x:c r="K282" s="38" t="str">
        <x:f t="shared" si="25"/>
        <x:v>1교육실(실습겸용강의실)</x:v>
      </x:c>
      <x:c r="L282" s="38" t="str">
        <x:f t="shared" si="26"/>
        <x:v>양현수</x:v>
      </x:c>
      <x:c r="M282" s="63"/>
      <x:c r="N282" s="30">
        <x:f>IF(F282="2","",COUNTIF($F$3:$F282,"=1"))</x:f>
        <x:v>249</x:v>
      </x:c>
      <x:c r="O282" s="30">
        <x:f t="shared" si="27"/>
        <x:v>4</x:v>
      </x:c>
      <x:c r="P282" s="30">
        <x:f t="shared" si="29"/>
        <x:v>3</x:v>
      </x:c>
      <x:c r="Q282" s="30">
        <x:f>COUNTIF($P$3:P282,"=3")</x:f>
        <x:v>32</x:v>
      </x:c>
      <x:c r="R282" s="29">
        <x:f>WORKDAY(기본입력!$H$2,Q282-1,공휴일)</x:f>
        <x:v>45972</x:v>
      </x:c>
    </x:row>
    <x:row r="283" spans="1:18">
      <x:c r="A283" s="145" t="str">
        <x:f t="shared" si="28"/>
        <x:v>20251111</x:v>
      </x:c>
      <x:c r="B283" s="8" t="s">
        <x:v>5</x:v>
      </x:c>
      <x:c r="C283" s="8">
        <x:v>1740</x:v>
      </x:c>
      <x:c r="D283" s="7" t="s">
        <x:v>1</x:v>
      </x:c>
      <x:c r="E283" s="8" t="s">
        <x:v>117</x:v>
      </x:c>
      <x:c r="F283" s="8" t="s">
        <x:v>40</x:v>
      </x:c>
      <x:c r="G283" s="15" t="str">
        <x:f>IF(OR(N283="",N283&gt;기본입력!$C$34),"",VLOOKUP(O283,기본입력!$A$9:$F$33,5))</x:f>
        <x:v>양현수_53778</x:v>
      </x:c>
      <x:c r="H283" s="15" t="str">
        <x:f>IF(OR(N283="",N283&gt;기본입력!$C$34),"",기본입력!$C$6)</x:f>
        <x:v>1교육실(실습겸용강의실)_243089</x:v>
      </x:c>
      <x:c r="I283" s="15" t="str">
        <x:f>IF(OR(O283="",N283&gt;기본입력!$C$34),"",VLOOKUP(O283,기본입력!$A$9:$F$33,6,FALSE))</x:f>
        <x:v>AI개발 기초__1</x:v>
      </x:c>
      <x:c r="J283" s="38" t="str">
        <x:f t="shared" si="24"/>
        <x:v>AI개발 기초</x:v>
      </x:c>
      <x:c r="K283" s="38" t="str">
        <x:f t="shared" si="25"/>
        <x:v>1교육실(실습겸용강의실)</x:v>
      </x:c>
      <x:c r="L283" s="38" t="str">
        <x:f t="shared" si="26"/>
        <x:v>양현수</x:v>
      </x:c>
      <x:c r="M283" s="63"/>
      <x:c r="N283" s="30">
        <x:f>IF(F283="2","",COUNTIF($F$3:$F283,"=1"))</x:f>
        <x:v>250</x:v>
      </x:c>
      <x:c r="O283" s="30">
        <x:f t="shared" si="27"/>
        <x:v>4</x:v>
      </x:c>
      <x:c r="P283" s="30">
        <x:f t="shared" si="29"/>
        <x:v>4</x:v>
      </x:c>
      <x:c r="Q283" s="30">
        <x:f>COUNTIF($P$3:P283,"=3")</x:f>
        <x:v>32</x:v>
      </x:c>
      <x:c r="R283" s="29">
        <x:f>WORKDAY(기본입력!$H$2,Q283-1,공휴일)</x:f>
        <x:v>45972</x:v>
      </x:c>
    </x:row>
    <x:row r="284" spans="1:18">
      <x:c r="A284" s="145" t="str">
        <x:f t="shared" si="28"/>
        <x:v>20251111</x:v>
      </x:c>
      <x:c r="B284" s="8" t="s">
        <x:v>5</x:v>
      </x:c>
      <x:c r="C284" s="8">
        <x:v>1740</x:v>
      </x:c>
      <x:c r="D284" s="7" t="s">
        <x:v>1</x:v>
      </x:c>
      <x:c r="E284" s="8" t="s">
        <x:v>87</x:v>
      </x:c>
      <x:c r="F284" s="8" t="s">
        <x:v>40</x:v>
      </x:c>
      <x:c r="G284" s="15" t="str">
        <x:f>IF(OR(N284="",N284&gt;기본입력!$C$34),"",VLOOKUP(O284,기본입력!$A$9:$F$33,5))</x:f>
        <x:v>양현수_53778</x:v>
      </x:c>
      <x:c r="H284" s="15" t="str">
        <x:f>IF(OR(N284="",N284&gt;기본입력!$C$34),"",기본입력!$C$6)</x:f>
        <x:v>1교육실(실습겸용강의실)_243089</x:v>
      </x:c>
      <x:c r="I284" s="15" t="str">
        <x:f>IF(OR(O284="",N284&gt;기본입력!$C$34),"",VLOOKUP(O284,기본입력!$A$9:$F$33,6,FALSE))</x:f>
        <x:v>AI개발 기초__1</x:v>
      </x:c>
      <x:c r="J284" s="38" t="str">
        <x:f t="shared" si="24"/>
        <x:v>AI개발 기초</x:v>
      </x:c>
      <x:c r="K284" s="38" t="str">
        <x:f t="shared" si="25"/>
        <x:v>1교육실(실습겸용강의실)</x:v>
      </x:c>
      <x:c r="L284" s="38" t="str">
        <x:f t="shared" si="26"/>
        <x:v>양현수</x:v>
      </x:c>
      <x:c r="M284" s="63"/>
      <x:c r="N284" s="30">
        <x:f>IF(F284="2","",COUNTIF($F$3:$F284,"=1"))</x:f>
        <x:v>251</x:v>
      </x:c>
      <x:c r="O284" s="30">
        <x:f t="shared" si="27"/>
        <x:v>4</x:v>
      </x:c>
      <x:c r="P284" s="30">
        <x:f t="shared" si="29"/>
        <x:v>5</x:v>
      </x:c>
      <x:c r="Q284" s="30">
        <x:f>COUNTIF($P$3:P284,"=3")</x:f>
        <x:v>32</x:v>
      </x:c>
      <x:c r="R284" s="29">
        <x:f>WORKDAY(기본입력!$H$2,Q284-1,공휴일)</x:f>
        <x:v>45972</x:v>
      </x:c>
    </x:row>
    <x:row r="285" spans="1:18">
      <x:c r="A285" s="145" t="str">
        <x:f t="shared" si="28"/>
        <x:v>20251111</x:v>
      </x:c>
      <x:c r="B285" s="8" t="s">
        <x:v>5</x:v>
      </x:c>
      <x:c r="C285" s="8">
        <x:v>1740</x:v>
      </x:c>
      <x:c r="D285" s="7" t="s">
        <x:v>1</x:v>
      </x:c>
      <x:c r="E285" s="8" t="s">
        <x:v>88</x:v>
      </x:c>
      <x:c r="F285" s="8" t="s">
        <x:v>40</x:v>
      </x:c>
      <x:c r="G285" s="15" t="str">
        <x:f>IF(OR(N285="",N285&gt;기본입력!$C$34),"",VLOOKUP(O285,기본입력!$A$9:$F$33,5))</x:f>
        <x:v>양현수_53778</x:v>
      </x:c>
      <x:c r="H285" s="15" t="str">
        <x:f>IF(OR(N285="",N285&gt;기본입력!$C$34),"",기본입력!$C$6)</x:f>
        <x:v>1교육실(실습겸용강의실)_243089</x:v>
      </x:c>
      <x:c r="I285" s="15" t="str">
        <x:f>IF(OR(O285="",N285&gt;기본입력!$C$34),"",VLOOKUP(O285,기본입력!$A$9:$F$33,6,FALSE))</x:f>
        <x:v>AI개발 기초__1</x:v>
      </x:c>
      <x:c r="J285" s="38" t="str">
        <x:f t="shared" si="24"/>
        <x:v>AI개발 기초</x:v>
      </x:c>
      <x:c r="K285" s="38" t="str">
        <x:f t="shared" si="25"/>
        <x:v>1교육실(실습겸용강의실)</x:v>
      </x:c>
      <x:c r="L285" s="38" t="str">
        <x:f t="shared" si="26"/>
        <x:v>양현수</x:v>
      </x:c>
      <x:c r="M285" s="63"/>
      <x:c r="N285" s="30">
        <x:f>IF(F285="2","",COUNTIF($F$3:$F285,"=1"))</x:f>
        <x:v>252</x:v>
      </x:c>
      <x:c r="O285" s="30">
        <x:f t="shared" si="27"/>
        <x:v>4</x:v>
      </x:c>
      <x:c r="P285" s="30">
        <x:f t="shared" si="29"/>
        <x:v>6</x:v>
      </x:c>
      <x:c r="Q285" s="30">
        <x:f>COUNTIF($P$3:P285,"=3")</x:f>
        <x:v>32</x:v>
      </x:c>
      <x:c r="R285" s="29">
        <x:f>WORKDAY(기본입력!$H$2,Q285-1,공휴일)</x:f>
        <x:v>45972</x:v>
      </x:c>
    </x:row>
    <x:row r="286" spans="1:18">
      <x:c r="A286" s="145" t="str">
        <x:f t="shared" si="28"/>
        <x:v>20251111</x:v>
      </x:c>
      <x:c r="B286" s="8" t="s">
        <x:v>5</x:v>
      </x:c>
      <x:c r="C286" s="8">
        <x:v>1740</x:v>
      </x:c>
      <x:c r="D286" s="7" t="s">
        <x:v>1</x:v>
      </x:c>
      <x:c r="E286" s="8" t="s">
        <x:v>0</x:v>
      </x:c>
      <x:c r="F286" s="8" t="s">
        <x:v>41</x:v>
      </x:c>
      <x:c r="G286" s="15" t="str">
        <x:f>IF(OR(N286="",N286&gt;기본입력!$C$34),"",VLOOKUP(O286,기본입력!$A$9:$F$33,5))</x:f>
        <x:v/>
      </x:c>
      <x:c r="H286" s="15" t="str">
        <x:f>IF(OR(N286="",N286&gt;기본입력!$C$34),"",기본입력!$C$6)</x:f>
        <x:v/>
      </x:c>
      <x:c r="I286" s="15" t="str">
        <x:f>IF(OR(O286="",N286&gt;기본입력!$C$34),"",VLOOKUP(O286,기본입력!$A$9:$F$33,6,FALSE))</x:f>
        <x:v/>
      </x:c>
      <x:c r="J286" s="38" t="str">
        <x:f t="shared" si="24"/>
        <x:v/>
      </x:c>
      <x:c r="K286" s="38" t="str">
        <x:f t="shared" si="25"/>
        <x:v/>
      </x:c>
      <x:c r="L286" s="38" t="str">
        <x:f t="shared" si="26"/>
        <x:v/>
      </x:c>
      <x:c r="M286" s="63"/>
      <x:c r="N286" s="30" t="str">
        <x:f>IF(F286="2","",COUNTIF($F$3:$F286,"=1"))</x:f>
        <x:v/>
      </x:c>
      <x:c r="O286" s="30" t="str">
        <x:f t="shared" si="27"/>
        <x:v/>
      </x:c>
      <x:c r="P286" s="30">
        <x:f t="shared" si="29"/>
        <x:v>7</x:v>
      </x:c>
      <x:c r="Q286" s="30">
        <x:f>COUNTIF($P$3:P286,"=3")</x:f>
        <x:v>32</x:v>
      </x:c>
      <x:c r="R286" s="29">
        <x:f>WORKDAY(기본입력!$H$2,Q286-1,공휴일)</x:f>
        <x:v>45972</x:v>
      </x:c>
    </x:row>
    <x:row r="287" spans="1:18">
      <x:c r="A287" s="145" t="str">
        <x:f t="shared" si="28"/>
        <x:v>20251111</x:v>
      </x:c>
      <x:c r="B287" s="8" t="s">
        <x:v>5</x:v>
      </x:c>
      <x:c r="C287" s="8">
        <x:v>1740</x:v>
      </x:c>
      <x:c r="D287" s="7" t="s">
        <x:v>1</x:v>
      </x:c>
      <x:c r="E287" s="8">
        <x:v>1340</x:v>
      </x:c>
      <x:c r="F287" s="8" t="s">
        <x:v>40</x:v>
      </x:c>
      <x:c r="G287" s="15" t="str">
        <x:f>IF(OR(N287="",N287&gt;기본입력!$C$34),"",VLOOKUP(O287,기본입력!$A$9:$F$33,5))</x:f>
        <x:v>양현수_53778</x:v>
      </x:c>
      <x:c r="H287" s="15" t="str">
        <x:f>IF(OR(N287="",N287&gt;기본입력!$C$34),"",기본입력!$C$6)</x:f>
        <x:v>1교육실(실습겸용강의실)_243089</x:v>
      </x:c>
      <x:c r="I287" s="15" t="str">
        <x:f>IF(OR(O287="",N287&gt;기본입력!$C$34),"",VLOOKUP(O287,기본입력!$A$9:$F$33,6,FALSE))</x:f>
        <x:v>AI개발 기초__1</x:v>
      </x:c>
      <x:c r="J287" s="38" t="str">
        <x:f t="shared" si="24"/>
        <x:v>AI개발 기초</x:v>
      </x:c>
      <x:c r="K287" s="38" t="str">
        <x:f t="shared" si="25"/>
        <x:v>1교육실(실습겸용강의실)</x:v>
      </x:c>
      <x:c r="L287" s="38" t="str">
        <x:f t="shared" si="26"/>
        <x:v>양현수</x:v>
      </x:c>
      <x:c r="M287" s="63"/>
      <x:c r="N287" s="30">
        <x:f>IF(F287="2","",COUNTIF($F$3:$F287,"=1"))</x:f>
        <x:v>253</x:v>
      </x:c>
      <x:c r="O287" s="30">
        <x:f t="shared" si="27"/>
        <x:v>4</x:v>
      </x:c>
      <x:c r="P287" s="30">
        <x:f t="shared" si="29"/>
        <x:v>8</x:v>
      </x:c>
      <x:c r="Q287" s="30">
        <x:f>COUNTIF($P$3:P287,"=3")</x:f>
        <x:v>32</x:v>
      </x:c>
      <x:c r="R287" s="29">
        <x:f>WORKDAY(기본입력!$H$2,Q287-1,공휴일)</x:f>
        <x:v>45972</x:v>
      </x:c>
    </x:row>
    <x:row r="288" spans="1:18">
      <x:c r="A288" s="145" t="str">
        <x:f t="shared" si="28"/>
        <x:v>20251111</x:v>
      </x:c>
      <x:c r="B288" s="8" t="s">
        <x:v>5</x:v>
      </x:c>
      <x:c r="C288" s="8">
        <x:v>1740</x:v>
      </x:c>
      <x:c r="D288" s="7" t="s">
        <x:v>1</x:v>
      </x:c>
      <x:c r="E288" s="8">
        <x:v>1440</x:v>
      </x:c>
      <x:c r="F288" s="8" t="s">
        <x:v>40</x:v>
      </x:c>
      <x:c r="G288" s="15" t="str">
        <x:f>IF(OR(N288="",N288&gt;기본입력!$C$34),"",VLOOKUP(O288,기본입력!$A$9:$F$33,5))</x:f>
        <x:v>양현수_53778</x:v>
      </x:c>
      <x:c r="H288" s="15" t="str">
        <x:f>IF(OR(N288="",N288&gt;기본입력!$C$34),"",기본입력!$C$6)</x:f>
        <x:v>1교육실(실습겸용강의실)_243089</x:v>
      </x:c>
      <x:c r="I288" s="15" t="str">
        <x:f>IF(OR(O288="",N288&gt;기본입력!$C$34),"",VLOOKUP(O288,기본입력!$A$9:$F$33,6,FALSE))</x:f>
        <x:v>AI개발 기초__1</x:v>
      </x:c>
      <x:c r="J288" s="38" t="str">
        <x:f t="shared" si="24"/>
        <x:v>AI개발 기초</x:v>
      </x:c>
      <x:c r="K288" s="38" t="str">
        <x:f t="shared" si="25"/>
        <x:v>1교육실(실습겸용강의실)</x:v>
      </x:c>
      <x:c r="L288" s="38" t="str">
        <x:f t="shared" si="26"/>
        <x:v>양현수</x:v>
      </x:c>
      <x:c r="M288" s="63"/>
      <x:c r="N288" s="30">
        <x:f>IF(F288="2","",COUNTIF($F$3:$F288,"=1"))</x:f>
        <x:v>254</x:v>
      </x:c>
      <x:c r="O288" s="30">
        <x:f t="shared" si="27"/>
        <x:v>4</x:v>
      </x:c>
      <x:c r="P288" s="30">
        <x:f t="shared" si="29"/>
        <x:v>0</x:v>
      </x:c>
      <x:c r="Q288" s="30">
        <x:f>COUNTIF($P$3:P288,"=3")</x:f>
        <x:v>32</x:v>
      </x:c>
      <x:c r="R288" s="29">
        <x:f>WORKDAY(기본입력!$H$2,Q288-1,공휴일)</x:f>
        <x:v>45972</x:v>
      </x:c>
    </x:row>
    <x:row r="289" spans="1:18">
      <x:c r="A289" s="145" t="str">
        <x:f t="shared" si="28"/>
        <x:v>20251111</x:v>
      </x:c>
      <x:c r="B289" s="8" t="s">
        <x:v>5</x:v>
      </x:c>
      <x:c r="C289" s="8">
        <x:v>1740</x:v>
      </x:c>
      <x:c r="D289" s="7" t="s">
        <x:v>1</x:v>
      </x:c>
      <x:c r="E289" s="8">
        <x:v>1540</x:v>
      </x:c>
      <x:c r="F289" s="8" t="s">
        <x:v>40</x:v>
      </x:c>
      <x:c r="G289" s="15" t="str">
        <x:f>IF(OR(N289="",N289&gt;기본입력!$C$34),"",VLOOKUP(O289,기본입력!$A$9:$F$33,5))</x:f>
        <x:v>양현수_53778</x:v>
      </x:c>
      <x:c r="H289" s="15" t="str">
        <x:f>IF(OR(N289="",N289&gt;기본입력!$C$34),"",기본입력!$C$6)</x:f>
        <x:v>1교육실(실습겸용강의실)_243089</x:v>
      </x:c>
      <x:c r="I289" s="15" t="str">
        <x:f>IF(OR(O289="",N289&gt;기본입력!$C$34),"",VLOOKUP(O289,기본입력!$A$9:$F$33,6,FALSE))</x:f>
        <x:v>AI개발 기초__1</x:v>
      </x:c>
      <x:c r="J289" s="38" t="str">
        <x:f t="shared" si="24"/>
        <x:v>AI개발 기초</x:v>
      </x:c>
      <x:c r="K289" s="38" t="str">
        <x:f t="shared" si="25"/>
        <x:v>1교육실(실습겸용강의실)</x:v>
      </x:c>
      <x:c r="L289" s="38" t="str">
        <x:f t="shared" si="26"/>
        <x:v>양현수</x:v>
      </x:c>
      <x:c r="M289" s="63"/>
      <x:c r="N289" s="30">
        <x:f>IF(F289="2","",COUNTIF($F$3:$F289,"=1"))</x:f>
        <x:v>255</x:v>
      </x:c>
      <x:c r="O289" s="30">
        <x:f t="shared" si="27"/>
        <x:v>4</x:v>
      </x:c>
      <x:c r="P289" s="30">
        <x:f t="shared" si="29"/>
        <x:v>1</x:v>
      </x:c>
      <x:c r="Q289" s="30">
        <x:f>COUNTIF($P$3:P289,"=3")</x:f>
        <x:v>32</x:v>
      </x:c>
      <x:c r="R289" s="29">
        <x:f>WORKDAY(기본입력!$H$2,Q289-1,공휴일)</x:f>
        <x:v>45972</x:v>
      </x:c>
    </x:row>
    <x:row r="290" spans="1:18">
      <x:c r="A290" s="145" t="str">
        <x:f t="shared" si="28"/>
        <x:v>20251111</x:v>
      </x:c>
      <x:c r="B290" s="8" t="s">
        <x:v>5</x:v>
      </x:c>
      <x:c r="C290" s="8">
        <x:v>1740</x:v>
      </x:c>
      <x:c r="D290" s="7" t="s">
        <x:v>1</x:v>
      </x:c>
      <x:c r="E290" s="8">
        <x:v>1640</x:v>
      </x:c>
      <x:c r="F290" s="8" t="s">
        <x:v>40</x:v>
      </x:c>
      <x:c r="G290" s="15" t="str">
        <x:f>IF(OR(N290="",N290&gt;기본입력!$C$34),"",VLOOKUP(O290,기본입력!$A$9:$F$33,5))</x:f>
        <x:v>양현수_53778</x:v>
      </x:c>
      <x:c r="H290" s="15" t="str">
        <x:f>IF(OR(N290="",N290&gt;기본입력!$C$34),"",기본입력!$C$6)</x:f>
        <x:v>1교육실(실습겸용강의실)_243089</x:v>
      </x:c>
      <x:c r="I290" s="15" t="str">
        <x:f>IF(OR(O290="",N290&gt;기본입력!$C$34),"",VLOOKUP(O290,기본입력!$A$9:$F$33,6,FALSE))</x:f>
        <x:v>AI개발 기초__1</x:v>
      </x:c>
      <x:c r="J290" s="38" t="str">
        <x:f t="shared" si="24"/>
        <x:v>AI개발 기초</x:v>
      </x:c>
      <x:c r="K290" s="38" t="str">
        <x:f t="shared" si="25"/>
        <x:v>1교육실(실습겸용강의실)</x:v>
      </x:c>
      <x:c r="L290" s="38" t="str">
        <x:f t="shared" si="26"/>
        <x:v>양현수</x:v>
      </x:c>
      <x:c r="M290" s="63"/>
      <x:c r="N290" s="30">
        <x:f>IF(F290="2","",COUNTIF($F$3:$F290,"=1"))</x:f>
        <x:v>256</x:v>
      </x:c>
      <x:c r="O290" s="30">
        <x:f t="shared" si="27"/>
        <x:v>4</x:v>
      </x:c>
      <x:c r="P290" s="30">
        <x:f t="shared" si="29"/>
        <x:v>2</x:v>
      </x:c>
      <x:c r="Q290" s="30">
        <x:f>COUNTIF($P$3:P290,"=3")</x:f>
        <x:v>32</x:v>
      </x:c>
      <x:c r="R290" s="29">
        <x:f>WORKDAY(기본입력!$H$2,Q290-1,공휴일)</x:f>
        <x:v>45972</x:v>
      </x:c>
    </x:row>
    <x:row r="291" spans="1:18">
      <x:c r="A291" s="144" t="str">
        <x:f t="shared" si="28"/>
        <x:v>20251112</x:v>
      </x:c>
      <x:c r="B291" s="6" t="s">
        <x:v>5</x:v>
      </x:c>
      <x:c r="C291" s="6">
        <x:v>1740</x:v>
      </x:c>
      <x:c r="D291" s="5" t="s">
        <x:v>1</x:v>
      </x:c>
      <x:c r="E291" s="6" t="s">
        <x:v>5</x:v>
      </x:c>
      <x:c r="F291" s="6" t="s">
        <x:v>40</x:v>
      </x:c>
      <x:c r="G291" s="14" t="str">
        <x:f>IF(OR(N291="",N291&gt;기본입력!$C$34),"",VLOOKUP(O291,기본입력!$A$9:$F$33,5))</x:f>
        <x:v>양현수_53778</x:v>
      </x:c>
      <x:c r="H291" s="14" t="str">
        <x:f>IF(OR(N291="",N291&gt;기본입력!$C$34),"",기본입력!$C$6)</x:f>
        <x:v>1교육실(실습겸용강의실)_243089</x:v>
      </x:c>
      <x:c r="I291" s="14" t="str">
        <x:f>IF(OR(O291="",N291&gt;기본입력!$C$34),"",VLOOKUP(O291,기본입력!$A$9:$F$33,6,FALSE))</x:f>
        <x:v>AI개발 기초__1</x:v>
      </x:c>
      <x:c r="J291" s="38" t="str">
        <x:f t="shared" si="24"/>
        <x:v>AI개발 기초</x:v>
      </x:c>
      <x:c r="K291" s="38" t="str">
        <x:f t="shared" si="25"/>
        <x:v>1교육실(실습겸용강의실)</x:v>
      </x:c>
      <x:c r="L291" s="38" t="str">
        <x:f t="shared" si="26"/>
        <x:v>양현수</x:v>
      </x:c>
      <x:c r="M291" s="63"/>
      <x:c r="N291" s="30">
        <x:f>IF(F291="2","",COUNTIF($F$3:$F291,"=1"))</x:f>
        <x:v>257</x:v>
      </x:c>
      <x:c r="O291" s="30">
        <x:f t="shared" si="27"/>
        <x:v>4</x:v>
      </x:c>
      <x:c r="P291" s="30">
        <x:f t="shared" si="29"/>
        <x:v>3</x:v>
      </x:c>
      <x:c r="Q291" s="30">
        <x:f>COUNTIF($P$3:P291,"=3")</x:f>
        <x:v>33</x:v>
      </x:c>
      <x:c r="R291" s="29">
        <x:f>WORKDAY(기본입력!$H$2,Q291-1,공휴일)</x:f>
        <x:v>45973</x:v>
      </x:c>
    </x:row>
    <x:row r="292" spans="1:18">
      <x:c r="A292" s="144" t="str">
        <x:f t="shared" si="28"/>
        <x:v>20251112</x:v>
      </x:c>
      <x:c r="B292" s="6" t="s">
        <x:v>5</x:v>
      </x:c>
      <x:c r="C292" s="6">
        <x:v>1740</x:v>
      </x:c>
      <x:c r="D292" s="5" t="s">
        <x:v>1</x:v>
      </x:c>
      <x:c r="E292" s="6" t="s">
        <x:v>117</x:v>
      </x:c>
      <x:c r="F292" s="6" t="s">
        <x:v>40</x:v>
      </x:c>
      <x:c r="G292" s="14" t="str">
        <x:f>IF(OR(N292="",N292&gt;기본입력!$C$34),"",VLOOKUP(O292,기본입력!$A$9:$F$33,5))</x:f>
        <x:v>양현수_53778</x:v>
      </x:c>
      <x:c r="H292" s="14" t="str">
        <x:f>IF(OR(N292="",N292&gt;기본입력!$C$34),"",기본입력!$C$6)</x:f>
        <x:v>1교육실(실습겸용강의실)_243089</x:v>
      </x:c>
      <x:c r="I292" s="14" t="str">
        <x:f>IF(OR(O292="",N292&gt;기본입력!$C$34),"",VLOOKUP(O292,기본입력!$A$9:$F$33,6,FALSE))</x:f>
        <x:v>AI개발 기초__1</x:v>
      </x:c>
      <x:c r="J292" s="38" t="str">
        <x:f t="shared" si="24"/>
        <x:v>AI개발 기초</x:v>
      </x:c>
      <x:c r="K292" s="38" t="str">
        <x:f t="shared" si="25"/>
        <x:v>1교육실(실습겸용강의실)</x:v>
      </x:c>
      <x:c r="L292" s="38" t="str">
        <x:f t="shared" si="26"/>
        <x:v>양현수</x:v>
      </x:c>
      <x:c r="M292" s="63"/>
      <x:c r="N292" s="30">
        <x:f>IF(F292="2","",COUNTIF($F$3:$F292,"=1"))</x:f>
        <x:v>258</x:v>
      </x:c>
      <x:c r="O292" s="30">
        <x:f t="shared" si="27"/>
        <x:v>4</x:v>
      </x:c>
      <x:c r="P292" s="30">
        <x:f t="shared" si="29"/>
        <x:v>4</x:v>
      </x:c>
      <x:c r="Q292" s="30">
        <x:f>COUNTIF($P$3:P292,"=3")</x:f>
        <x:v>33</x:v>
      </x:c>
      <x:c r="R292" s="29">
        <x:f>WORKDAY(기본입력!$H$2,Q292-1,공휴일)</x:f>
        <x:v>45973</x:v>
      </x:c>
    </x:row>
    <x:row r="293" spans="1:18">
      <x:c r="A293" s="144" t="str">
        <x:f t="shared" si="28"/>
        <x:v>20251112</x:v>
      </x:c>
      <x:c r="B293" s="6" t="s">
        <x:v>5</x:v>
      </x:c>
      <x:c r="C293" s="6">
        <x:v>1740</x:v>
      </x:c>
      <x:c r="D293" s="5" t="s">
        <x:v>1</x:v>
      </x:c>
      <x:c r="E293" s="6" t="s">
        <x:v>87</x:v>
      </x:c>
      <x:c r="F293" s="6" t="s">
        <x:v>40</x:v>
      </x:c>
      <x:c r="G293" s="14" t="str">
        <x:f>IF(OR(N293="",N293&gt;기본입력!$C$34),"",VLOOKUP(O293,기본입력!$A$9:$F$33,5))</x:f>
        <x:v>양현수_53778</x:v>
      </x:c>
      <x:c r="H293" s="14" t="str">
        <x:f>IF(OR(N293="",N293&gt;기본입력!$C$34),"",기본입력!$C$6)</x:f>
        <x:v>1교육실(실습겸용강의실)_243089</x:v>
      </x:c>
      <x:c r="I293" s="14" t="str">
        <x:f>IF(OR(O293="",N293&gt;기본입력!$C$34),"",VLOOKUP(O293,기본입력!$A$9:$F$33,6,FALSE))</x:f>
        <x:v>AI개발 기초__1</x:v>
      </x:c>
      <x:c r="J293" s="38" t="str">
        <x:f t="shared" si="24"/>
        <x:v>AI개발 기초</x:v>
      </x:c>
      <x:c r="K293" s="38" t="str">
        <x:f t="shared" si="25"/>
        <x:v>1교육실(실습겸용강의실)</x:v>
      </x:c>
      <x:c r="L293" s="38" t="str">
        <x:f t="shared" si="26"/>
        <x:v>양현수</x:v>
      </x:c>
      <x:c r="M293" s="63"/>
      <x:c r="N293" s="30">
        <x:f>IF(F293="2","",COUNTIF($F$3:$F293,"=1"))</x:f>
        <x:v>259</x:v>
      </x:c>
      <x:c r="O293" s="30">
        <x:f t="shared" si="27"/>
        <x:v>4</x:v>
      </x:c>
      <x:c r="P293" s="30">
        <x:f t="shared" si="29"/>
        <x:v>5</x:v>
      </x:c>
      <x:c r="Q293" s="30">
        <x:f>COUNTIF($P$3:P293,"=3")</x:f>
        <x:v>33</x:v>
      </x:c>
      <x:c r="R293" s="29">
        <x:f>WORKDAY(기본입력!$H$2,Q293-1,공휴일)</x:f>
        <x:v>45973</x:v>
      </x:c>
    </x:row>
    <x:row r="294" spans="1:18">
      <x:c r="A294" s="144" t="str">
        <x:f t="shared" si="28"/>
        <x:v>20251112</x:v>
      </x:c>
      <x:c r="B294" s="6" t="s">
        <x:v>5</x:v>
      </x:c>
      <x:c r="C294" s="6">
        <x:v>1740</x:v>
      </x:c>
      <x:c r="D294" s="5" t="s">
        <x:v>1</x:v>
      </x:c>
      <x:c r="E294" s="6" t="s">
        <x:v>88</x:v>
      </x:c>
      <x:c r="F294" s="6" t="s">
        <x:v>40</x:v>
      </x:c>
      <x:c r="G294" s="14" t="str">
        <x:f>IF(OR(N294="",N294&gt;기본입력!$C$34),"",VLOOKUP(O294,기본입력!$A$9:$F$33,5))</x:f>
        <x:v>양현수_53778</x:v>
      </x:c>
      <x:c r="H294" s="14" t="str">
        <x:f>IF(OR(N294="",N294&gt;기본입력!$C$34),"",기본입력!$C$6)</x:f>
        <x:v>1교육실(실습겸용강의실)_243089</x:v>
      </x:c>
      <x:c r="I294" s="14" t="str">
        <x:f>IF(OR(O294="",N294&gt;기본입력!$C$34),"",VLOOKUP(O294,기본입력!$A$9:$F$33,6,FALSE))</x:f>
        <x:v>AI개발 기초__1</x:v>
      </x:c>
      <x:c r="J294" s="38" t="str">
        <x:f t="shared" si="24"/>
        <x:v>AI개발 기초</x:v>
      </x:c>
      <x:c r="K294" s="38" t="str">
        <x:f t="shared" si="25"/>
        <x:v>1교육실(실습겸용강의실)</x:v>
      </x:c>
      <x:c r="L294" s="38" t="str">
        <x:f t="shared" si="26"/>
        <x:v>양현수</x:v>
      </x:c>
      <x:c r="M294" s="63"/>
      <x:c r="N294" s="30">
        <x:f>IF(F294="2","",COUNTIF($F$3:$F294,"=1"))</x:f>
        <x:v>260</x:v>
      </x:c>
      <x:c r="O294" s="30">
        <x:f t="shared" si="27"/>
        <x:v>4</x:v>
      </x:c>
      <x:c r="P294" s="30">
        <x:f t="shared" si="29"/>
        <x:v>6</x:v>
      </x:c>
      <x:c r="Q294" s="30">
        <x:f>COUNTIF($P$3:P294,"=3")</x:f>
        <x:v>33</x:v>
      </x:c>
      <x:c r="R294" s="29">
        <x:f>WORKDAY(기본입력!$H$2,Q294-1,공휴일)</x:f>
        <x:v>45973</x:v>
      </x:c>
    </x:row>
    <x:row r="295" spans="1:18">
      <x:c r="A295" s="144" t="str">
        <x:f t="shared" si="28"/>
        <x:v>20251112</x:v>
      </x:c>
      <x:c r="B295" s="6" t="s">
        <x:v>5</x:v>
      </x:c>
      <x:c r="C295" s="6">
        <x:v>1740</x:v>
      </x:c>
      <x:c r="D295" s="5" t="s">
        <x:v>1</x:v>
      </x:c>
      <x:c r="E295" s="6" t="s">
        <x:v>0</x:v>
      </x:c>
      <x:c r="F295" s="6" t="s">
        <x:v>41</x:v>
      </x:c>
      <x:c r="G295" s="14" t="str">
        <x:f>IF(OR(N295="",N295&gt;기본입력!$C$34),"",VLOOKUP(O295,기본입력!$A$9:$F$33,5))</x:f>
        <x:v/>
      </x:c>
      <x:c r="H295" s="14" t="str">
        <x:f>IF(OR(N295="",N295&gt;기본입력!$C$34),"",기본입력!$C$6)</x:f>
        <x:v/>
      </x:c>
      <x:c r="I295" s="14" t="str">
        <x:f>IF(OR(O295="",N295&gt;기본입력!$C$34),"",VLOOKUP(O295,기본입력!$A$9:$F$33,6,FALSE))</x:f>
        <x:v/>
      </x:c>
      <x:c r="J295" s="38" t="str">
        <x:f t="shared" si="24"/>
        <x:v/>
      </x:c>
      <x:c r="K295" s="38" t="str">
        <x:f t="shared" si="25"/>
        <x:v/>
      </x:c>
      <x:c r="L295" s="38" t="str">
        <x:f t="shared" si="26"/>
        <x:v/>
      </x:c>
      <x:c r="M295" s="63"/>
      <x:c r="N295" s="30" t="str">
        <x:f>IF(F295="2","",COUNTIF($F$3:$F295,"=1"))</x:f>
        <x:v/>
      </x:c>
      <x:c r="O295" s="30" t="str">
        <x:f t="shared" si="27"/>
        <x:v/>
      </x:c>
      <x:c r="P295" s="30">
        <x:f t="shared" si="29"/>
        <x:v>7</x:v>
      </x:c>
      <x:c r="Q295" s="30">
        <x:f>COUNTIF($P$3:P295,"=3")</x:f>
        <x:v>33</x:v>
      </x:c>
      <x:c r="R295" s="29">
        <x:f>WORKDAY(기본입력!$H$2,Q295-1,공휴일)</x:f>
        <x:v>45973</x:v>
      </x:c>
    </x:row>
    <x:row r="296" spans="1:18">
      <x:c r="A296" s="144" t="str">
        <x:f t="shared" si="28"/>
        <x:v>20251112</x:v>
      </x:c>
      <x:c r="B296" s="6" t="s">
        <x:v>5</x:v>
      </x:c>
      <x:c r="C296" s="6">
        <x:v>1740</x:v>
      </x:c>
      <x:c r="D296" s="5" t="s">
        <x:v>1</x:v>
      </x:c>
      <x:c r="E296" s="6">
        <x:v>1340</x:v>
      </x:c>
      <x:c r="F296" s="6" t="s">
        <x:v>40</x:v>
      </x:c>
      <x:c r="G296" s="14" t="str">
        <x:f>IF(OR(N296="",N296&gt;기본입력!$C$34),"",VLOOKUP(O296,기본입력!$A$9:$F$33,5))</x:f>
        <x:v>양현수_53778</x:v>
      </x:c>
      <x:c r="H296" s="14" t="str">
        <x:f>IF(OR(N296="",N296&gt;기본입력!$C$34),"",기본입력!$C$6)</x:f>
        <x:v>1교육실(실습겸용강의실)_243089</x:v>
      </x:c>
      <x:c r="I296" s="14" t="str">
        <x:f>IF(OR(O296="",N296&gt;기본입력!$C$34),"",VLOOKUP(O296,기본입력!$A$9:$F$33,6,FALSE))</x:f>
        <x:v>AI개발 기초__1</x:v>
      </x:c>
      <x:c r="J296" s="38" t="str">
        <x:f t="shared" si="24"/>
        <x:v>AI개발 기초</x:v>
      </x:c>
      <x:c r="K296" s="38" t="str">
        <x:f t="shared" si="25"/>
        <x:v>1교육실(실습겸용강의실)</x:v>
      </x:c>
      <x:c r="L296" s="38" t="str">
        <x:f t="shared" si="26"/>
        <x:v>양현수</x:v>
      </x:c>
      <x:c r="M296" s="63"/>
      <x:c r="N296" s="30">
        <x:f>IF(F296="2","",COUNTIF($F$3:$F296,"=1"))</x:f>
        <x:v>261</x:v>
      </x:c>
      <x:c r="O296" s="30">
        <x:f t="shared" si="27"/>
        <x:v>4</x:v>
      </x:c>
      <x:c r="P296" s="30">
        <x:f t="shared" si="29"/>
        <x:v>8</x:v>
      </x:c>
      <x:c r="Q296" s="30">
        <x:f>COUNTIF($P$3:P296,"=3")</x:f>
        <x:v>33</x:v>
      </x:c>
      <x:c r="R296" s="29">
        <x:f>WORKDAY(기본입력!$H$2,Q296-1,공휴일)</x:f>
        <x:v>45973</x:v>
      </x:c>
    </x:row>
    <x:row r="297" spans="1:18">
      <x:c r="A297" s="144" t="str">
        <x:f t="shared" si="28"/>
        <x:v>20251112</x:v>
      </x:c>
      <x:c r="B297" s="6" t="s">
        <x:v>5</x:v>
      </x:c>
      <x:c r="C297" s="6">
        <x:v>1740</x:v>
      </x:c>
      <x:c r="D297" s="5" t="s">
        <x:v>1</x:v>
      </x:c>
      <x:c r="E297" s="6">
        <x:v>1440</x:v>
      </x:c>
      <x:c r="F297" s="6" t="s">
        <x:v>40</x:v>
      </x:c>
      <x:c r="G297" s="14" t="str">
        <x:f>IF(OR(N297="",N297&gt;기본입력!$C$34),"",VLOOKUP(O297,기본입력!$A$9:$F$33,5))</x:f>
        <x:v>양현수_53778</x:v>
      </x:c>
      <x:c r="H297" s="14" t="str">
        <x:f>IF(OR(N297="",N297&gt;기본입력!$C$34),"",기본입력!$C$6)</x:f>
        <x:v>1교육실(실습겸용강의실)_243089</x:v>
      </x:c>
      <x:c r="I297" s="14" t="str">
        <x:f>IF(OR(O297="",N297&gt;기본입력!$C$34),"",VLOOKUP(O297,기본입력!$A$9:$F$33,6,FALSE))</x:f>
        <x:v>AI개발 기초__1</x:v>
      </x:c>
      <x:c r="J297" s="38" t="str">
        <x:f t="shared" si="24"/>
        <x:v>AI개발 기초</x:v>
      </x:c>
      <x:c r="K297" s="38" t="str">
        <x:f t="shared" si="25"/>
        <x:v>1교육실(실습겸용강의실)</x:v>
      </x:c>
      <x:c r="L297" s="38" t="str">
        <x:f t="shared" si="26"/>
        <x:v>양현수</x:v>
      </x:c>
      <x:c r="M297" s="63"/>
      <x:c r="N297" s="30">
        <x:f>IF(F297="2","",COUNTIF($F$3:$F297,"=1"))</x:f>
        <x:v>262</x:v>
      </x:c>
      <x:c r="O297" s="30">
        <x:f t="shared" si="27"/>
        <x:v>4</x:v>
      </x:c>
      <x:c r="P297" s="30">
        <x:f t="shared" si="29"/>
        <x:v>0</x:v>
      </x:c>
      <x:c r="Q297" s="30">
        <x:f>COUNTIF($P$3:P297,"=3")</x:f>
        <x:v>33</x:v>
      </x:c>
      <x:c r="R297" s="29">
        <x:f>WORKDAY(기본입력!$H$2,Q297-1,공휴일)</x:f>
        <x:v>45973</x:v>
      </x:c>
    </x:row>
    <x:row r="298" spans="1:18">
      <x:c r="A298" s="144" t="str">
        <x:f t="shared" si="28"/>
        <x:v>20251112</x:v>
      </x:c>
      <x:c r="B298" s="6" t="s">
        <x:v>5</x:v>
      </x:c>
      <x:c r="C298" s="6">
        <x:v>1740</x:v>
      </x:c>
      <x:c r="D298" s="5" t="s">
        <x:v>1</x:v>
      </x:c>
      <x:c r="E298" s="6">
        <x:v>1540</x:v>
      </x:c>
      <x:c r="F298" s="6" t="s">
        <x:v>40</x:v>
      </x:c>
      <x:c r="G298" s="14" t="str">
        <x:f>IF(OR(N298="",N298&gt;기본입력!$C$34),"",VLOOKUP(O298,기본입력!$A$9:$F$33,5))</x:f>
        <x:v>양현수_53778</x:v>
      </x:c>
      <x:c r="H298" s="14" t="str">
        <x:f>IF(OR(N298="",N298&gt;기본입력!$C$34),"",기본입력!$C$6)</x:f>
        <x:v>1교육실(실습겸용강의실)_243089</x:v>
      </x:c>
      <x:c r="I298" s="14" t="str">
        <x:f>IF(OR(O298="",N298&gt;기본입력!$C$34),"",VLOOKUP(O298,기본입력!$A$9:$F$33,6,FALSE))</x:f>
        <x:v>AI개발 기초__1</x:v>
      </x:c>
      <x:c r="J298" s="38" t="str">
        <x:f t="shared" si="24"/>
        <x:v>AI개발 기초</x:v>
      </x:c>
      <x:c r="K298" s="38" t="str">
        <x:f t="shared" si="25"/>
        <x:v>1교육실(실습겸용강의실)</x:v>
      </x:c>
      <x:c r="L298" s="38" t="str">
        <x:f t="shared" si="26"/>
        <x:v>양현수</x:v>
      </x:c>
      <x:c r="M298" s="63"/>
      <x:c r="N298" s="30">
        <x:f>IF(F298="2","",COUNTIF($F$3:$F298,"=1"))</x:f>
        <x:v>263</x:v>
      </x:c>
      <x:c r="O298" s="30">
        <x:f t="shared" si="27"/>
        <x:v>4</x:v>
      </x:c>
      <x:c r="P298" s="30">
        <x:f t="shared" si="29"/>
        <x:v>1</x:v>
      </x:c>
      <x:c r="Q298" s="30">
        <x:f>COUNTIF($P$3:P298,"=3")</x:f>
        <x:v>33</x:v>
      </x:c>
      <x:c r="R298" s="29">
        <x:f>WORKDAY(기본입력!$H$2,Q298-1,공휴일)</x:f>
        <x:v>45973</x:v>
      </x:c>
    </x:row>
    <x:row r="299" spans="1:18">
      <x:c r="A299" s="144" t="str">
        <x:f t="shared" si="28"/>
        <x:v>20251112</x:v>
      </x:c>
      <x:c r="B299" s="6" t="s">
        <x:v>5</x:v>
      </x:c>
      <x:c r="C299" s="6">
        <x:v>1740</x:v>
      </x:c>
      <x:c r="D299" s="5" t="s">
        <x:v>1</x:v>
      </x:c>
      <x:c r="E299" s="6">
        <x:v>1640</x:v>
      </x:c>
      <x:c r="F299" s="6" t="s">
        <x:v>40</x:v>
      </x:c>
      <x:c r="G299" s="14" t="str">
        <x:f>IF(OR(N299="",N299&gt;기본입력!$C$34),"",VLOOKUP(O299,기본입력!$A$9:$F$33,5))</x:f>
        <x:v>양현수_53778</x:v>
      </x:c>
      <x:c r="H299" s="14" t="str">
        <x:f>IF(OR(N299="",N299&gt;기본입력!$C$34),"",기본입력!$C$6)</x:f>
        <x:v>1교육실(실습겸용강의실)_243089</x:v>
      </x:c>
      <x:c r="I299" s="14" t="str">
        <x:f>IF(OR(O299="",N299&gt;기본입력!$C$34),"",VLOOKUP(O299,기본입력!$A$9:$F$33,6,FALSE))</x:f>
        <x:v>AI개발 기초__1</x:v>
      </x:c>
      <x:c r="J299" s="38" t="str">
        <x:f t="shared" si="24"/>
        <x:v>AI개발 기초</x:v>
      </x:c>
      <x:c r="K299" s="38" t="str">
        <x:f t="shared" si="25"/>
        <x:v>1교육실(실습겸용강의실)</x:v>
      </x:c>
      <x:c r="L299" s="38" t="str">
        <x:f t="shared" si="26"/>
        <x:v>양현수</x:v>
      </x:c>
      <x:c r="M299" s="63"/>
      <x:c r="N299" s="30">
        <x:f>IF(F299="2","",COUNTIF($F$3:$F299,"=1"))</x:f>
        <x:v>264</x:v>
      </x:c>
      <x:c r="O299" s="30">
        <x:f t="shared" si="27"/>
        <x:v>4</x:v>
      </x:c>
      <x:c r="P299" s="30">
        <x:f t="shared" si="29"/>
        <x:v>2</x:v>
      </x:c>
      <x:c r="Q299" s="30">
        <x:f>COUNTIF($P$3:P299,"=3")</x:f>
        <x:v>33</x:v>
      </x:c>
      <x:c r="R299" s="29">
        <x:f>WORKDAY(기본입력!$H$2,Q299-1,공휴일)</x:f>
        <x:v>45973</x:v>
      </x:c>
    </x:row>
    <x:row r="300" spans="1:18">
      <x:c r="A300" s="145" t="str">
        <x:f t="shared" si="28"/>
        <x:v>20251113</x:v>
      </x:c>
      <x:c r="B300" s="8" t="s">
        <x:v>5</x:v>
      </x:c>
      <x:c r="C300" s="8">
        <x:v>1740</x:v>
      </x:c>
      <x:c r="D300" s="7" t="s">
        <x:v>1</x:v>
      </x:c>
      <x:c r="E300" s="8" t="s">
        <x:v>5</x:v>
      </x:c>
      <x:c r="F300" s="8" t="s">
        <x:v>40</x:v>
      </x:c>
      <x:c r="G300" s="15" t="str">
        <x:f>IF(OR(N300="",N300&gt;기본입력!$C$34),"",VLOOKUP(O300,기본입력!$A$9:$F$33,5))</x:f>
        <x:v>양현수_53778</x:v>
      </x:c>
      <x:c r="H300" s="15" t="str">
        <x:f>IF(OR(N300="",N300&gt;기본입력!$C$34),"",기본입력!$C$6)</x:f>
        <x:v>1교육실(실습겸용강의실)_243089</x:v>
      </x:c>
      <x:c r="I300" s="15" t="str">
        <x:f>IF(OR(O300="",N300&gt;기본입력!$C$34),"",VLOOKUP(O300,기본입력!$A$9:$F$33,6,FALSE))</x:f>
        <x:v>AI개발 기초__1</x:v>
      </x:c>
      <x:c r="J300" s="38" t="str">
        <x:f t="shared" si="24"/>
        <x:v>AI개발 기초</x:v>
      </x:c>
      <x:c r="K300" s="38" t="str">
        <x:f t="shared" si="25"/>
        <x:v>1교육실(실습겸용강의실)</x:v>
      </x:c>
      <x:c r="L300" s="38" t="str">
        <x:f t="shared" si="26"/>
        <x:v>양현수</x:v>
      </x:c>
      <x:c r="M300" s="63"/>
      <x:c r="N300" s="30">
        <x:f>IF(F300="2","",COUNTIF($F$3:$F300,"=1"))</x:f>
        <x:v>265</x:v>
      </x:c>
      <x:c r="O300" s="30">
        <x:f t="shared" si="27"/>
        <x:v>4</x:v>
      </x:c>
      <x:c r="P300" s="30">
        <x:f t="shared" si="29"/>
        <x:v>3</x:v>
      </x:c>
      <x:c r="Q300" s="30">
        <x:f>COUNTIF($P$3:P300,"=3")</x:f>
        <x:v>34</x:v>
      </x:c>
      <x:c r="R300" s="29">
        <x:f>WORKDAY(기본입력!$H$2,Q300-1,공휴일)</x:f>
        <x:v>45974</x:v>
      </x:c>
    </x:row>
    <x:row r="301" spans="1:18">
      <x:c r="A301" s="145" t="str">
        <x:f t="shared" si="28"/>
        <x:v>20251113</x:v>
      </x:c>
      <x:c r="B301" s="8" t="s">
        <x:v>5</x:v>
      </x:c>
      <x:c r="C301" s="8">
        <x:v>1740</x:v>
      </x:c>
      <x:c r="D301" s="7" t="s">
        <x:v>1</x:v>
      </x:c>
      <x:c r="E301" s="8" t="s">
        <x:v>117</x:v>
      </x:c>
      <x:c r="F301" s="8" t="s">
        <x:v>40</x:v>
      </x:c>
      <x:c r="G301" s="15" t="str">
        <x:f>IF(OR(N301="",N301&gt;기본입력!$C$34),"",VLOOKUP(O301,기본입력!$A$9:$F$33,5))</x:f>
        <x:v>양현수_53778</x:v>
      </x:c>
      <x:c r="H301" s="15" t="str">
        <x:f>IF(OR(N301="",N301&gt;기본입력!$C$34),"",기본입력!$C$6)</x:f>
        <x:v>1교육실(실습겸용강의실)_243089</x:v>
      </x:c>
      <x:c r="I301" s="15" t="str">
        <x:f>IF(OR(O301="",N301&gt;기본입력!$C$34),"",VLOOKUP(O301,기본입력!$A$9:$F$33,6,FALSE))</x:f>
        <x:v>AI개발 기초__1</x:v>
      </x:c>
      <x:c r="J301" s="38" t="str">
        <x:f t="shared" si="24"/>
        <x:v>AI개발 기초</x:v>
      </x:c>
      <x:c r="K301" s="38" t="str">
        <x:f t="shared" si="25"/>
        <x:v>1교육실(실습겸용강의실)</x:v>
      </x:c>
      <x:c r="L301" s="38" t="str">
        <x:f t="shared" si="26"/>
        <x:v>양현수</x:v>
      </x:c>
      <x:c r="M301" s="63"/>
      <x:c r="N301" s="30">
        <x:f>IF(F301="2","",COUNTIF($F$3:$F301,"=1"))</x:f>
        <x:v>266</x:v>
      </x:c>
      <x:c r="O301" s="30">
        <x:f t="shared" si="27"/>
        <x:v>4</x:v>
      </x:c>
      <x:c r="P301" s="30">
        <x:f t="shared" si="29"/>
        <x:v>4</x:v>
      </x:c>
      <x:c r="Q301" s="30">
        <x:f>COUNTIF($P$3:P301,"=3")</x:f>
        <x:v>34</x:v>
      </x:c>
      <x:c r="R301" s="29">
        <x:f>WORKDAY(기본입력!$H$2,Q301-1,공휴일)</x:f>
        <x:v>45974</x:v>
      </x:c>
    </x:row>
    <x:row r="302" spans="1:18">
      <x:c r="A302" s="145" t="str">
        <x:f t="shared" si="28"/>
        <x:v>20251113</x:v>
      </x:c>
      <x:c r="B302" s="8" t="s">
        <x:v>5</x:v>
      </x:c>
      <x:c r="C302" s="8">
        <x:v>1740</x:v>
      </x:c>
      <x:c r="D302" s="7" t="s">
        <x:v>1</x:v>
      </x:c>
      <x:c r="E302" s="8" t="s">
        <x:v>87</x:v>
      </x:c>
      <x:c r="F302" s="8" t="s">
        <x:v>40</x:v>
      </x:c>
      <x:c r="G302" s="15" t="str">
        <x:f>IF(OR(N302="",N302&gt;기본입력!$C$34),"",VLOOKUP(O302,기본입력!$A$9:$F$33,5))</x:f>
        <x:v>양현수_53778</x:v>
      </x:c>
      <x:c r="H302" s="15" t="str">
        <x:f>IF(OR(N302="",N302&gt;기본입력!$C$34),"",기본입력!$C$6)</x:f>
        <x:v>1교육실(실습겸용강의실)_243089</x:v>
      </x:c>
      <x:c r="I302" s="15" t="str">
        <x:f>IF(OR(O302="",N302&gt;기본입력!$C$34),"",VLOOKUP(O302,기본입력!$A$9:$F$33,6,FALSE))</x:f>
        <x:v>AI개발 기초__1</x:v>
      </x:c>
      <x:c r="J302" s="38" t="str">
        <x:f t="shared" si="24"/>
        <x:v>AI개발 기초</x:v>
      </x:c>
      <x:c r="K302" s="38" t="str">
        <x:f t="shared" si="25"/>
        <x:v>1교육실(실습겸용강의실)</x:v>
      </x:c>
      <x:c r="L302" s="38" t="str">
        <x:f t="shared" si="26"/>
        <x:v>양현수</x:v>
      </x:c>
      <x:c r="M302" s="63"/>
      <x:c r="N302" s="30">
        <x:f>IF(F302="2","",COUNTIF($F$3:$F302,"=1"))</x:f>
        <x:v>267</x:v>
      </x:c>
      <x:c r="O302" s="30">
        <x:f t="shared" si="27"/>
        <x:v>4</x:v>
      </x:c>
      <x:c r="P302" s="30">
        <x:f t="shared" si="29"/>
        <x:v>5</x:v>
      </x:c>
      <x:c r="Q302" s="30">
        <x:f>COUNTIF($P$3:P302,"=3")</x:f>
        <x:v>34</x:v>
      </x:c>
      <x:c r="R302" s="29">
        <x:f>WORKDAY(기본입력!$H$2,Q302-1,공휴일)</x:f>
        <x:v>45974</x:v>
      </x:c>
    </x:row>
    <x:row r="303" spans="1:18">
      <x:c r="A303" s="145" t="str">
        <x:f t="shared" si="28"/>
        <x:v>20251113</x:v>
      </x:c>
      <x:c r="B303" s="8" t="s">
        <x:v>5</x:v>
      </x:c>
      <x:c r="C303" s="8">
        <x:v>1740</x:v>
      </x:c>
      <x:c r="D303" s="7" t="s">
        <x:v>1</x:v>
      </x:c>
      <x:c r="E303" s="8" t="s">
        <x:v>88</x:v>
      </x:c>
      <x:c r="F303" s="8" t="s">
        <x:v>40</x:v>
      </x:c>
      <x:c r="G303" s="15" t="str">
        <x:f>IF(OR(N303="",N303&gt;기본입력!$C$34),"",VLOOKUP(O303,기본입력!$A$9:$F$33,5))</x:f>
        <x:v>양현수_53778</x:v>
      </x:c>
      <x:c r="H303" s="15" t="str">
        <x:f>IF(OR(N303="",N303&gt;기본입력!$C$34),"",기본입력!$C$6)</x:f>
        <x:v>1교육실(실습겸용강의실)_243089</x:v>
      </x:c>
      <x:c r="I303" s="15" t="str">
        <x:f>IF(OR(O303="",N303&gt;기본입력!$C$34),"",VLOOKUP(O303,기본입력!$A$9:$F$33,6,FALSE))</x:f>
        <x:v>AI개발 기초__1</x:v>
      </x:c>
      <x:c r="J303" s="38" t="str">
        <x:f t="shared" si="24"/>
        <x:v>AI개발 기초</x:v>
      </x:c>
      <x:c r="K303" s="38" t="str">
        <x:f t="shared" si="25"/>
        <x:v>1교육실(실습겸용강의실)</x:v>
      </x:c>
      <x:c r="L303" s="38" t="str">
        <x:f t="shared" si="26"/>
        <x:v>양현수</x:v>
      </x:c>
      <x:c r="M303" s="63"/>
      <x:c r="N303" s="30">
        <x:f>IF(F303="2","",COUNTIF($F$3:$F303,"=1"))</x:f>
        <x:v>268</x:v>
      </x:c>
      <x:c r="O303" s="30">
        <x:f t="shared" si="27"/>
        <x:v>4</x:v>
      </x:c>
      <x:c r="P303" s="30">
        <x:f t="shared" si="29"/>
        <x:v>6</x:v>
      </x:c>
      <x:c r="Q303" s="30">
        <x:f>COUNTIF($P$3:P303,"=3")</x:f>
        <x:v>34</x:v>
      </x:c>
      <x:c r="R303" s="29">
        <x:f>WORKDAY(기본입력!$H$2,Q303-1,공휴일)</x:f>
        <x:v>45974</x:v>
      </x:c>
    </x:row>
    <x:row r="304" spans="1:18">
      <x:c r="A304" s="145" t="str">
        <x:f t="shared" si="28"/>
        <x:v>20251113</x:v>
      </x:c>
      <x:c r="B304" s="8" t="s">
        <x:v>5</x:v>
      </x:c>
      <x:c r="C304" s="8">
        <x:v>1740</x:v>
      </x:c>
      <x:c r="D304" s="7" t="s">
        <x:v>1</x:v>
      </x:c>
      <x:c r="E304" s="8" t="s">
        <x:v>0</x:v>
      </x:c>
      <x:c r="F304" s="8" t="s">
        <x:v>41</x:v>
      </x:c>
      <x:c r="G304" s="15" t="str">
        <x:f>IF(OR(N304="",N304&gt;기본입력!$C$34),"",VLOOKUP(O304,기본입력!$A$9:$F$33,5))</x:f>
        <x:v/>
      </x:c>
      <x:c r="H304" s="15" t="str">
        <x:f>IF(OR(N304="",N304&gt;기본입력!$C$34),"",기본입력!$C$6)</x:f>
        <x:v/>
      </x:c>
      <x:c r="I304" s="15" t="str">
        <x:f>IF(OR(O304="",N304&gt;기본입력!$C$34),"",VLOOKUP(O304,기본입력!$A$9:$F$33,6,FALSE))</x:f>
        <x:v/>
      </x:c>
      <x:c r="J304" s="38" t="str">
        <x:f t="shared" si="24"/>
        <x:v/>
      </x:c>
      <x:c r="K304" s="38" t="str">
        <x:f t="shared" si="25"/>
        <x:v/>
      </x:c>
      <x:c r="L304" s="38" t="str">
        <x:f t="shared" si="26"/>
        <x:v/>
      </x:c>
      <x:c r="M304" s="63"/>
      <x:c r="N304" s="30" t="str">
        <x:f>IF(F304="2","",COUNTIF($F$3:$F304,"=1"))</x:f>
        <x:v/>
      </x:c>
      <x:c r="O304" s="30" t="str">
        <x:f t="shared" si="27"/>
        <x:v/>
      </x:c>
      <x:c r="P304" s="30">
        <x:f t="shared" si="29"/>
        <x:v>7</x:v>
      </x:c>
      <x:c r="Q304" s="30">
        <x:f>COUNTIF($P$3:P304,"=3")</x:f>
        <x:v>34</x:v>
      </x:c>
      <x:c r="R304" s="29">
        <x:f>WORKDAY(기본입력!$H$2,Q304-1,공휴일)</x:f>
        <x:v>45974</x:v>
      </x:c>
    </x:row>
    <x:row r="305" spans="1:18">
      <x:c r="A305" s="145" t="str">
        <x:f t="shared" si="28"/>
        <x:v>20251113</x:v>
      </x:c>
      <x:c r="B305" s="8" t="s">
        <x:v>5</x:v>
      </x:c>
      <x:c r="C305" s="8">
        <x:v>1740</x:v>
      </x:c>
      <x:c r="D305" s="7" t="s">
        <x:v>1</x:v>
      </x:c>
      <x:c r="E305" s="8">
        <x:v>1340</x:v>
      </x:c>
      <x:c r="F305" s="8" t="s">
        <x:v>40</x:v>
      </x:c>
      <x:c r="G305" s="15" t="str">
        <x:f>IF(OR(N305="",N305&gt;기본입력!$C$34),"",VLOOKUP(O305,기본입력!$A$9:$F$33,5))</x:f>
        <x:v>양현수_53778</x:v>
      </x:c>
      <x:c r="H305" s="15" t="str">
        <x:f>IF(OR(N305="",N305&gt;기본입력!$C$34),"",기본입력!$C$6)</x:f>
        <x:v>1교육실(실습겸용강의실)_243089</x:v>
      </x:c>
      <x:c r="I305" s="15" t="str">
        <x:f>IF(OR(O305="",N305&gt;기본입력!$C$34),"",VLOOKUP(O305,기본입력!$A$9:$F$33,6,FALSE))</x:f>
        <x:v>AI개발 기초__1</x:v>
      </x:c>
      <x:c r="J305" s="38" t="str">
        <x:f t="shared" si="24"/>
        <x:v>AI개발 기초</x:v>
      </x:c>
      <x:c r="K305" s="38" t="str">
        <x:f t="shared" si="25"/>
        <x:v>1교육실(실습겸용강의실)</x:v>
      </x:c>
      <x:c r="L305" s="38" t="str">
        <x:f t="shared" si="26"/>
        <x:v>양현수</x:v>
      </x:c>
      <x:c r="M305" s="63"/>
      <x:c r="N305" s="30">
        <x:f>IF(F305="2","",COUNTIF($F$3:$F305,"=1"))</x:f>
        <x:v>269</x:v>
      </x:c>
      <x:c r="O305" s="30">
        <x:f t="shared" si="27"/>
        <x:v>4</x:v>
      </x:c>
      <x:c r="P305" s="30">
        <x:f t="shared" si="29"/>
        <x:v>8</x:v>
      </x:c>
      <x:c r="Q305" s="30">
        <x:f>COUNTIF($P$3:P305,"=3")</x:f>
        <x:v>34</x:v>
      </x:c>
      <x:c r="R305" s="29">
        <x:f>WORKDAY(기본입력!$H$2,Q305-1,공휴일)</x:f>
        <x:v>45974</x:v>
      </x:c>
    </x:row>
    <x:row r="306" spans="1:18">
      <x:c r="A306" s="145" t="str">
        <x:f t="shared" si="28"/>
        <x:v>20251113</x:v>
      </x:c>
      <x:c r="B306" s="8" t="s">
        <x:v>5</x:v>
      </x:c>
      <x:c r="C306" s="8">
        <x:v>1740</x:v>
      </x:c>
      <x:c r="D306" s="7" t="s">
        <x:v>1</x:v>
      </x:c>
      <x:c r="E306" s="8">
        <x:v>1440</x:v>
      </x:c>
      <x:c r="F306" s="8" t="s">
        <x:v>40</x:v>
      </x:c>
      <x:c r="G306" s="15" t="str">
        <x:f>IF(OR(N306="",N306&gt;기본입력!$C$34),"",VLOOKUP(O306,기본입력!$A$9:$F$33,5))</x:f>
        <x:v>양현수_53778</x:v>
      </x:c>
      <x:c r="H306" s="15" t="str">
        <x:f>IF(OR(N306="",N306&gt;기본입력!$C$34),"",기본입력!$C$6)</x:f>
        <x:v>1교육실(실습겸용강의실)_243089</x:v>
      </x:c>
      <x:c r="I306" s="15" t="str">
        <x:f>IF(OR(O306="",N306&gt;기본입력!$C$34),"",VLOOKUP(O306,기본입력!$A$9:$F$33,6,FALSE))</x:f>
        <x:v>AI개발 기초__1</x:v>
      </x:c>
      <x:c r="J306" s="38" t="str">
        <x:f t="shared" ref="J306:J369" si="30">IF(F306="2","",LEFT(I306,FIND("_",I306,2)-1))</x:f>
        <x:v>AI개발 기초</x:v>
      </x:c>
      <x:c r="K306" s="38" t="str">
        <x:f t="shared" ref="K306:K369" si="31">IF(F306="2","",LEFT(H306,FIND("_",H306,2)-1))</x:f>
        <x:v>1교육실(실습겸용강의실)</x:v>
      </x:c>
      <x:c r="L306" s="38" t="str">
        <x:f t="shared" ref="L306:L369" si="32">IF(F306="2","",LEFT(G306,FIND("_",G306,2)-1))</x:f>
        <x:v>양현수</x:v>
      </x:c>
      <x:c r="M306" s="63"/>
      <x:c r="N306" s="30">
        <x:f>IF(F306="2","",COUNTIF($F$3:$F306,"=1"))</x:f>
        <x:v>270</x:v>
      </x:c>
      <x:c r="O306" s="30">
        <x:f t="shared" si="27"/>
        <x:v>4</x:v>
      </x:c>
      <x:c r="P306" s="30">
        <x:f t="shared" si="29"/>
        <x:v>0</x:v>
      </x:c>
      <x:c r="Q306" s="30">
        <x:f>COUNTIF($P$3:P306,"=3")</x:f>
        <x:v>34</x:v>
      </x:c>
      <x:c r="R306" s="29">
        <x:f>WORKDAY(기본입력!$H$2,Q306-1,공휴일)</x:f>
        <x:v>45974</x:v>
      </x:c>
    </x:row>
    <x:row r="307" spans="1:18">
      <x:c r="A307" s="145" t="str">
        <x:f t="shared" si="28"/>
        <x:v>20251113</x:v>
      </x:c>
      <x:c r="B307" s="8" t="s">
        <x:v>5</x:v>
      </x:c>
      <x:c r="C307" s="8">
        <x:v>1740</x:v>
      </x:c>
      <x:c r="D307" s="7" t="s">
        <x:v>1</x:v>
      </x:c>
      <x:c r="E307" s="8">
        <x:v>1540</x:v>
      </x:c>
      <x:c r="F307" s="8" t="s">
        <x:v>40</x:v>
      </x:c>
      <x:c r="G307" s="15" t="str">
        <x:f>IF(OR(N307="",N307&gt;기본입력!$C$34),"",VLOOKUP(O307,기본입력!$A$9:$F$33,5))</x:f>
        <x:v>양현수_53778</x:v>
      </x:c>
      <x:c r="H307" s="15" t="str">
        <x:f>IF(OR(N307="",N307&gt;기본입력!$C$34),"",기본입력!$C$6)</x:f>
        <x:v>1교육실(실습겸용강의실)_243089</x:v>
      </x:c>
      <x:c r="I307" s="15" t="str">
        <x:f>IF(OR(O307="",N307&gt;기본입력!$C$34),"",VLOOKUP(O307,기본입력!$A$9:$F$33,6,FALSE))</x:f>
        <x:v>AI개발 기초__1</x:v>
      </x:c>
      <x:c r="J307" s="38" t="str">
        <x:f t="shared" si="30"/>
        <x:v>AI개발 기초</x:v>
      </x:c>
      <x:c r="K307" s="38" t="str">
        <x:f t="shared" si="31"/>
        <x:v>1교육실(실습겸용강의실)</x:v>
      </x:c>
      <x:c r="L307" s="38" t="str">
        <x:f t="shared" si="32"/>
        <x:v>양현수</x:v>
      </x:c>
      <x:c r="M307" s="63"/>
      <x:c r="N307" s="30">
        <x:f>IF(F307="2","",COUNTIF($F$3:$F307,"=1"))</x:f>
        <x:v>271</x:v>
      </x:c>
      <x:c r="O307" s="30">
        <x:f t="shared" si="27"/>
        <x:v>4</x:v>
      </x:c>
      <x:c r="P307" s="30">
        <x:f t="shared" si="29"/>
        <x:v>1</x:v>
      </x:c>
      <x:c r="Q307" s="30">
        <x:f>COUNTIF($P$3:P307,"=3")</x:f>
        <x:v>34</x:v>
      </x:c>
      <x:c r="R307" s="29">
        <x:f>WORKDAY(기본입력!$H$2,Q307-1,공휴일)</x:f>
        <x:v>45974</x:v>
      </x:c>
    </x:row>
    <x:row r="308" spans="1:18">
      <x:c r="A308" s="145" t="str">
        <x:f t="shared" si="28"/>
        <x:v>20251113</x:v>
      </x:c>
      <x:c r="B308" s="8" t="s">
        <x:v>5</x:v>
      </x:c>
      <x:c r="C308" s="8">
        <x:v>1740</x:v>
      </x:c>
      <x:c r="D308" s="7" t="s">
        <x:v>1</x:v>
      </x:c>
      <x:c r="E308" s="8">
        <x:v>1640</x:v>
      </x:c>
      <x:c r="F308" s="8" t="s">
        <x:v>40</x:v>
      </x:c>
      <x:c r="G308" s="15" t="str">
        <x:f>IF(OR(N308="",N308&gt;기본입력!$C$34),"",VLOOKUP(O308,기본입력!$A$9:$F$33,5))</x:f>
        <x:v>양현수_53778</x:v>
      </x:c>
      <x:c r="H308" s="15" t="str">
        <x:f>IF(OR(N308="",N308&gt;기본입력!$C$34),"",기본입력!$C$6)</x:f>
        <x:v>1교육실(실습겸용강의실)_243089</x:v>
      </x:c>
      <x:c r="I308" s="15" t="str">
        <x:f>IF(OR(O308="",N308&gt;기본입력!$C$34),"",VLOOKUP(O308,기본입력!$A$9:$F$33,6,FALSE))</x:f>
        <x:v>AI개발 기초__1</x:v>
      </x:c>
      <x:c r="J308" s="38" t="str">
        <x:f t="shared" si="30"/>
        <x:v>AI개발 기초</x:v>
      </x:c>
      <x:c r="K308" s="38" t="str">
        <x:f t="shared" si="31"/>
        <x:v>1교육실(실습겸용강의실)</x:v>
      </x:c>
      <x:c r="L308" s="38" t="str">
        <x:f t="shared" si="32"/>
        <x:v>양현수</x:v>
      </x:c>
      <x:c r="M308" s="63"/>
      <x:c r="N308" s="30">
        <x:f>IF(F308="2","",COUNTIF($F$3:$F308,"=1"))</x:f>
        <x:v>272</x:v>
      </x:c>
      <x:c r="O308" s="30">
        <x:f t="shared" si="27"/>
        <x:v>4</x:v>
      </x:c>
      <x:c r="P308" s="30">
        <x:f t="shared" si="29"/>
        <x:v>2</x:v>
      </x:c>
      <x:c r="Q308" s="30">
        <x:f>COUNTIF($P$3:P308,"=3")</x:f>
        <x:v>34</x:v>
      </x:c>
      <x:c r="R308" s="29">
        <x:f>WORKDAY(기본입력!$H$2,Q308-1,공휴일)</x:f>
        <x:v>45974</x:v>
      </x:c>
    </x:row>
    <x:row r="309" spans="1:18">
      <x:c r="A309" s="144" t="str">
        <x:f t="shared" si="28"/>
        <x:v>20251114</x:v>
      </x:c>
      <x:c r="B309" s="6" t="s">
        <x:v>5</x:v>
      </x:c>
      <x:c r="C309" s="6">
        <x:v>1740</x:v>
      </x:c>
      <x:c r="D309" s="5" t="s">
        <x:v>1</x:v>
      </x:c>
      <x:c r="E309" s="6" t="s">
        <x:v>5</x:v>
      </x:c>
      <x:c r="F309" s="6" t="s">
        <x:v>40</x:v>
      </x:c>
      <x:c r="G309" s="14" t="str">
        <x:f>IF(OR(N309="",N309&gt;기본입력!$C$34),"",VLOOKUP(O309,기본입력!$A$9:$F$33,5))</x:f>
        <x:v>양현수_53778</x:v>
      </x:c>
      <x:c r="H309" s="14" t="str">
        <x:f>IF(OR(N309="",N309&gt;기본입력!$C$34),"",기본입력!$C$6)</x:f>
        <x:v>1교육실(실습겸용강의실)_243089</x:v>
      </x:c>
      <x:c r="I309" s="14" t="str">
        <x:f>IF(OR(O309="",N309&gt;기본입력!$C$34),"",VLOOKUP(O309,기본입력!$A$9:$F$33,6,FALSE))</x:f>
        <x:v>AI개발 기초__1</x:v>
      </x:c>
      <x:c r="J309" s="38" t="str">
        <x:f t="shared" si="30"/>
        <x:v>AI개발 기초</x:v>
      </x:c>
      <x:c r="K309" s="38" t="str">
        <x:f t="shared" si="31"/>
        <x:v>1교육실(실습겸용강의실)</x:v>
      </x:c>
      <x:c r="L309" s="38" t="str">
        <x:f t="shared" si="32"/>
        <x:v>양현수</x:v>
      </x:c>
      <x:c r="M309" s="63"/>
      <x:c r="N309" s="30">
        <x:f>IF(F309="2","",COUNTIF($F$3:$F309,"=1"))</x:f>
        <x:v>273</x:v>
      </x:c>
      <x:c r="O309" s="30">
        <x:f t="shared" si="27"/>
        <x:v>4</x:v>
      </x:c>
      <x:c r="P309" s="30">
        <x:f t="shared" si="29"/>
        <x:v>3</x:v>
      </x:c>
      <x:c r="Q309" s="30">
        <x:f>COUNTIF($P$3:P309,"=3")</x:f>
        <x:v>35</x:v>
      </x:c>
      <x:c r="R309" s="29">
        <x:f>WORKDAY(기본입력!$H$2,Q309-1,공휴일)</x:f>
        <x:v>45975</x:v>
      </x:c>
    </x:row>
    <x:row r="310" spans="1:18">
      <x:c r="A310" s="144" t="str">
        <x:f t="shared" si="28"/>
        <x:v>20251114</x:v>
      </x:c>
      <x:c r="B310" s="6" t="s">
        <x:v>5</x:v>
      </x:c>
      <x:c r="C310" s="6">
        <x:v>1740</x:v>
      </x:c>
      <x:c r="D310" s="5" t="s">
        <x:v>1</x:v>
      </x:c>
      <x:c r="E310" s="6" t="s">
        <x:v>117</x:v>
      </x:c>
      <x:c r="F310" s="6" t="s">
        <x:v>40</x:v>
      </x:c>
      <x:c r="G310" s="14" t="str">
        <x:f>IF(OR(N310="",N310&gt;기본입력!$C$34),"",VLOOKUP(O310,기본입력!$A$9:$F$33,5))</x:f>
        <x:v>양현수_53778</x:v>
      </x:c>
      <x:c r="H310" s="14" t="str">
        <x:f>IF(OR(N310="",N310&gt;기본입력!$C$34),"",기본입력!$C$6)</x:f>
        <x:v>1교육실(실습겸용강의실)_243089</x:v>
      </x:c>
      <x:c r="I310" s="14" t="str">
        <x:f>IF(OR(O310="",N310&gt;기본입력!$C$34),"",VLOOKUP(O310,기본입력!$A$9:$F$33,6,FALSE))</x:f>
        <x:v>AI개발 기초__1</x:v>
      </x:c>
      <x:c r="J310" s="38" t="str">
        <x:f t="shared" si="30"/>
        <x:v>AI개발 기초</x:v>
      </x:c>
      <x:c r="K310" s="38" t="str">
        <x:f t="shared" si="31"/>
        <x:v>1교육실(실습겸용강의실)</x:v>
      </x:c>
      <x:c r="L310" s="38" t="str">
        <x:f t="shared" si="32"/>
        <x:v>양현수</x:v>
      </x:c>
      <x:c r="M310" s="63"/>
      <x:c r="N310" s="30">
        <x:f>IF(F310="2","",COUNTIF($F$3:$F310,"=1"))</x:f>
        <x:v>274</x:v>
      </x:c>
      <x:c r="O310" s="30">
        <x:f t="shared" si="27"/>
        <x:v>4</x:v>
      </x:c>
      <x:c r="P310" s="30">
        <x:f t="shared" si="29"/>
        <x:v>4</x:v>
      </x:c>
      <x:c r="Q310" s="30">
        <x:f>COUNTIF($P$3:P310,"=3")</x:f>
        <x:v>35</x:v>
      </x:c>
      <x:c r="R310" s="29">
        <x:f>WORKDAY(기본입력!$H$2,Q310-1,공휴일)</x:f>
        <x:v>45975</x:v>
      </x:c>
    </x:row>
    <x:row r="311" spans="1:18">
      <x:c r="A311" s="144" t="str">
        <x:f t="shared" si="28"/>
        <x:v>20251114</x:v>
      </x:c>
      <x:c r="B311" s="6" t="s">
        <x:v>5</x:v>
      </x:c>
      <x:c r="C311" s="6">
        <x:v>1740</x:v>
      </x:c>
      <x:c r="D311" s="5" t="s">
        <x:v>1</x:v>
      </x:c>
      <x:c r="E311" s="6" t="s">
        <x:v>87</x:v>
      </x:c>
      <x:c r="F311" s="6" t="s">
        <x:v>40</x:v>
      </x:c>
      <x:c r="G311" s="14" t="str">
        <x:f>IF(OR(N311="",N311&gt;기본입력!$C$34),"",VLOOKUP(O311,기본입력!$A$9:$F$33,5))</x:f>
        <x:v>양현수_53778</x:v>
      </x:c>
      <x:c r="H311" s="14" t="str">
        <x:f>IF(OR(N311="",N311&gt;기본입력!$C$34),"",기본입력!$C$6)</x:f>
        <x:v>1교육실(실습겸용강의실)_243089</x:v>
      </x:c>
      <x:c r="I311" s="14" t="str">
        <x:f>IF(OR(O311="",N311&gt;기본입력!$C$34),"",VLOOKUP(O311,기본입력!$A$9:$F$33,6,FALSE))</x:f>
        <x:v>AI개발 기초__1</x:v>
      </x:c>
      <x:c r="J311" s="38" t="str">
        <x:f t="shared" si="30"/>
        <x:v>AI개발 기초</x:v>
      </x:c>
      <x:c r="K311" s="38" t="str">
        <x:f t="shared" si="31"/>
        <x:v>1교육실(실습겸용강의실)</x:v>
      </x:c>
      <x:c r="L311" s="38" t="str">
        <x:f t="shared" si="32"/>
        <x:v>양현수</x:v>
      </x:c>
      <x:c r="M311" s="63"/>
      <x:c r="N311" s="30">
        <x:f>IF(F311="2","",COUNTIF($F$3:$F311,"=1"))</x:f>
        <x:v>275</x:v>
      </x:c>
      <x:c r="O311" s="30">
        <x:f t="shared" si="27"/>
        <x:v>4</x:v>
      </x:c>
      <x:c r="P311" s="30">
        <x:f t="shared" si="29"/>
        <x:v>5</x:v>
      </x:c>
      <x:c r="Q311" s="30">
        <x:f>COUNTIF($P$3:P311,"=3")</x:f>
        <x:v>35</x:v>
      </x:c>
      <x:c r="R311" s="29">
        <x:f>WORKDAY(기본입력!$H$2,Q311-1,공휴일)</x:f>
        <x:v>45975</x:v>
      </x:c>
    </x:row>
    <x:row r="312" spans="1:18">
      <x:c r="A312" s="144" t="str">
        <x:f t="shared" si="28"/>
        <x:v>20251114</x:v>
      </x:c>
      <x:c r="B312" s="6" t="s">
        <x:v>5</x:v>
      </x:c>
      <x:c r="C312" s="6">
        <x:v>1740</x:v>
      </x:c>
      <x:c r="D312" s="5" t="s">
        <x:v>1</x:v>
      </x:c>
      <x:c r="E312" s="6" t="s">
        <x:v>88</x:v>
      </x:c>
      <x:c r="F312" s="6" t="s">
        <x:v>40</x:v>
      </x:c>
      <x:c r="G312" s="14" t="str">
        <x:f>IF(OR(N312="",N312&gt;기본입력!$C$34),"",VLOOKUP(O312,기본입력!$A$9:$F$33,5))</x:f>
        <x:v>양현수_53778</x:v>
      </x:c>
      <x:c r="H312" s="14" t="str">
        <x:f>IF(OR(N312="",N312&gt;기본입력!$C$34),"",기본입력!$C$6)</x:f>
        <x:v>1교육실(실습겸용강의실)_243089</x:v>
      </x:c>
      <x:c r="I312" s="14" t="str">
        <x:f>IF(OR(O312="",N312&gt;기본입력!$C$34),"",VLOOKUP(O312,기본입력!$A$9:$F$33,6,FALSE))</x:f>
        <x:v>AI개발 기초__1</x:v>
      </x:c>
      <x:c r="J312" s="38" t="str">
        <x:f t="shared" si="30"/>
        <x:v>AI개발 기초</x:v>
      </x:c>
      <x:c r="K312" s="38" t="str">
        <x:f t="shared" si="31"/>
        <x:v>1교육실(실습겸용강의실)</x:v>
      </x:c>
      <x:c r="L312" s="38" t="str">
        <x:f t="shared" si="32"/>
        <x:v>양현수</x:v>
      </x:c>
      <x:c r="M312" s="63"/>
      <x:c r="N312" s="30">
        <x:f>IF(F312="2","",COUNTIF($F$3:$F312,"=1"))</x:f>
        <x:v>276</x:v>
      </x:c>
      <x:c r="O312" s="30">
        <x:f t="shared" si="27"/>
        <x:v>4</x:v>
      </x:c>
      <x:c r="P312" s="30">
        <x:f t="shared" si="29"/>
        <x:v>6</x:v>
      </x:c>
      <x:c r="Q312" s="30">
        <x:f>COUNTIF($P$3:P312,"=3")</x:f>
        <x:v>35</x:v>
      </x:c>
      <x:c r="R312" s="29">
        <x:f>WORKDAY(기본입력!$H$2,Q312-1,공휴일)</x:f>
        <x:v>45975</x:v>
      </x:c>
    </x:row>
    <x:row r="313" spans="1:18">
      <x:c r="A313" s="144" t="str">
        <x:f t="shared" si="28"/>
        <x:v>20251114</x:v>
      </x:c>
      <x:c r="B313" s="6" t="s">
        <x:v>5</x:v>
      </x:c>
      <x:c r="C313" s="6">
        <x:v>1740</x:v>
      </x:c>
      <x:c r="D313" s="5" t="s">
        <x:v>1</x:v>
      </x:c>
      <x:c r="E313" s="6" t="s">
        <x:v>0</x:v>
      </x:c>
      <x:c r="F313" s="6" t="s">
        <x:v>41</x:v>
      </x:c>
      <x:c r="G313" s="14" t="str">
        <x:f>IF(OR(N313="",N313&gt;기본입력!$C$34),"",VLOOKUP(O313,기본입력!$A$9:$F$33,5))</x:f>
        <x:v/>
      </x:c>
      <x:c r="H313" s="14" t="str">
        <x:f>IF(OR(N313="",N313&gt;기본입력!$C$34),"",기본입력!$C$6)</x:f>
        <x:v/>
      </x:c>
      <x:c r="I313" s="14" t="str">
        <x:f>IF(OR(O313="",N313&gt;기본입력!$C$34),"",VLOOKUP(O313,기본입력!$A$9:$F$33,6,FALSE))</x:f>
        <x:v/>
      </x:c>
      <x:c r="J313" s="38" t="str">
        <x:f t="shared" si="30"/>
        <x:v/>
      </x:c>
      <x:c r="K313" s="38" t="str">
        <x:f t="shared" si="31"/>
        <x:v/>
      </x:c>
      <x:c r="L313" s="38" t="str">
        <x:f t="shared" si="32"/>
        <x:v/>
      </x:c>
      <x:c r="M313" s="63"/>
      <x:c r="N313" s="30" t="str">
        <x:f>IF(F313="2","",COUNTIF($F$3:$F313,"=1"))</x:f>
        <x:v/>
      </x:c>
      <x:c r="O313" s="30" t="str">
        <x:f t="shared" si="27"/>
        <x:v/>
      </x:c>
      <x:c r="P313" s="30">
        <x:f t="shared" si="29"/>
        <x:v>7</x:v>
      </x:c>
      <x:c r="Q313" s="30">
        <x:f>COUNTIF($P$3:P313,"=3")</x:f>
        <x:v>35</x:v>
      </x:c>
      <x:c r="R313" s="29">
        <x:f>WORKDAY(기본입력!$H$2,Q313-1,공휴일)</x:f>
        <x:v>45975</x:v>
      </x:c>
    </x:row>
    <x:row r="314" spans="1:18">
      <x:c r="A314" s="144" t="str">
        <x:f t="shared" si="28"/>
        <x:v>20251114</x:v>
      </x:c>
      <x:c r="B314" s="6" t="s">
        <x:v>5</x:v>
      </x:c>
      <x:c r="C314" s="6">
        <x:v>1740</x:v>
      </x:c>
      <x:c r="D314" s="5" t="s">
        <x:v>1</x:v>
      </x:c>
      <x:c r="E314" s="6">
        <x:v>1340</x:v>
      </x:c>
      <x:c r="F314" s="6" t="s">
        <x:v>40</x:v>
      </x:c>
      <x:c r="G314" s="14" t="str">
        <x:f>IF(OR(N314="",N314&gt;기본입력!$C$34),"",VLOOKUP(O314,기본입력!$A$9:$F$33,5))</x:f>
        <x:v>양현수_53778</x:v>
      </x:c>
      <x:c r="H314" s="14" t="str">
        <x:f>IF(OR(N314="",N314&gt;기본입력!$C$34),"",기본입력!$C$6)</x:f>
        <x:v>1교육실(실습겸용강의실)_243089</x:v>
      </x:c>
      <x:c r="I314" s="14" t="str">
        <x:f>IF(OR(O314="",N314&gt;기본입력!$C$34),"",VLOOKUP(O314,기본입력!$A$9:$F$33,6,FALSE))</x:f>
        <x:v>AI개발 기초__1</x:v>
      </x:c>
      <x:c r="J314" s="38" t="str">
        <x:f t="shared" si="30"/>
        <x:v>AI개발 기초</x:v>
      </x:c>
      <x:c r="K314" s="38" t="str">
        <x:f t="shared" si="31"/>
        <x:v>1교육실(실습겸용강의실)</x:v>
      </x:c>
      <x:c r="L314" s="38" t="str">
        <x:f t="shared" si="32"/>
        <x:v>양현수</x:v>
      </x:c>
      <x:c r="M314" s="63"/>
      <x:c r="N314" s="30">
        <x:f>IF(F314="2","",COUNTIF($F$3:$F314,"=1"))</x:f>
        <x:v>277</x:v>
      </x:c>
      <x:c r="O314" s="30">
        <x:f t="shared" si="27"/>
        <x:v>4</x:v>
      </x:c>
      <x:c r="P314" s="30">
        <x:f t="shared" si="29"/>
        <x:v>8</x:v>
      </x:c>
      <x:c r="Q314" s="30">
        <x:f>COUNTIF($P$3:P314,"=3")</x:f>
        <x:v>35</x:v>
      </x:c>
      <x:c r="R314" s="29">
        <x:f>WORKDAY(기본입력!$H$2,Q314-1,공휴일)</x:f>
        <x:v>45975</x:v>
      </x:c>
    </x:row>
    <x:row r="315" spans="1:18">
      <x:c r="A315" s="144" t="str">
        <x:f t="shared" si="28"/>
        <x:v>20251114</x:v>
      </x:c>
      <x:c r="B315" s="6" t="s">
        <x:v>5</x:v>
      </x:c>
      <x:c r="C315" s="6">
        <x:v>1740</x:v>
      </x:c>
      <x:c r="D315" s="5" t="s">
        <x:v>1</x:v>
      </x:c>
      <x:c r="E315" s="6">
        <x:v>1440</x:v>
      </x:c>
      <x:c r="F315" s="6" t="s">
        <x:v>40</x:v>
      </x:c>
      <x:c r="G315" s="14" t="str">
        <x:f>IF(OR(N315="",N315&gt;기본입력!$C$34),"",VLOOKUP(O315,기본입력!$A$9:$F$33,5))</x:f>
        <x:v>양현수_53778</x:v>
      </x:c>
      <x:c r="H315" s="14" t="str">
        <x:f>IF(OR(N315="",N315&gt;기본입력!$C$34),"",기본입력!$C$6)</x:f>
        <x:v>1교육실(실습겸용강의실)_243089</x:v>
      </x:c>
      <x:c r="I315" s="14" t="str">
        <x:f>IF(OR(O315="",N315&gt;기본입력!$C$34),"",VLOOKUP(O315,기본입력!$A$9:$F$33,6,FALSE))</x:f>
        <x:v>AI개발 기초__1</x:v>
      </x:c>
      <x:c r="J315" s="38" t="str">
        <x:f t="shared" si="30"/>
        <x:v>AI개발 기초</x:v>
      </x:c>
      <x:c r="K315" s="38" t="str">
        <x:f t="shared" si="31"/>
        <x:v>1교육실(실습겸용강의실)</x:v>
      </x:c>
      <x:c r="L315" s="38" t="str">
        <x:f t="shared" si="32"/>
        <x:v>양현수</x:v>
      </x:c>
      <x:c r="M315" s="63"/>
      <x:c r="N315" s="30">
        <x:f>IF(F315="2","",COUNTIF($F$3:$F315,"=1"))</x:f>
        <x:v>278</x:v>
      </x:c>
      <x:c r="O315" s="30">
        <x:f t="shared" si="27"/>
        <x:v>4</x:v>
      </x:c>
      <x:c r="P315" s="30">
        <x:f t="shared" si="29"/>
        <x:v>0</x:v>
      </x:c>
      <x:c r="Q315" s="30">
        <x:f>COUNTIF($P$3:P315,"=3")</x:f>
        <x:v>35</x:v>
      </x:c>
      <x:c r="R315" s="29">
        <x:f>WORKDAY(기본입력!$H$2,Q315-1,공휴일)</x:f>
        <x:v>45975</x:v>
      </x:c>
    </x:row>
    <x:row r="316" spans="1:18">
      <x:c r="A316" s="144" t="str">
        <x:f t="shared" si="28"/>
        <x:v>20251114</x:v>
      </x:c>
      <x:c r="B316" s="6" t="s">
        <x:v>5</x:v>
      </x:c>
      <x:c r="C316" s="6">
        <x:v>1740</x:v>
      </x:c>
      <x:c r="D316" s="5" t="s">
        <x:v>1</x:v>
      </x:c>
      <x:c r="E316" s="6">
        <x:v>1540</x:v>
      </x:c>
      <x:c r="F316" s="6" t="s">
        <x:v>40</x:v>
      </x:c>
      <x:c r="G316" s="14" t="str">
        <x:f>IF(OR(N316="",N316&gt;기본입력!$C$34),"",VLOOKUP(O316,기본입력!$A$9:$F$33,5))</x:f>
        <x:v>양현수_53778</x:v>
      </x:c>
      <x:c r="H316" s="14" t="str">
        <x:f>IF(OR(N316="",N316&gt;기본입력!$C$34),"",기본입력!$C$6)</x:f>
        <x:v>1교육실(실습겸용강의실)_243089</x:v>
      </x:c>
      <x:c r="I316" s="14" t="str">
        <x:f>IF(OR(O316="",N316&gt;기본입력!$C$34),"",VLOOKUP(O316,기본입력!$A$9:$F$33,6,FALSE))</x:f>
        <x:v>AI개발 기초__1</x:v>
      </x:c>
      <x:c r="J316" s="38" t="str">
        <x:f t="shared" si="30"/>
        <x:v>AI개발 기초</x:v>
      </x:c>
      <x:c r="K316" s="38" t="str">
        <x:f t="shared" si="31"/>
        <x:v>1교육실(실습겸용강의실)</x:v>
      </x:c>
      <x:c r="L316" s="38" t="str">
        <x:f t="shared" si="32"/>
        <x:v>양현수</x:v>
      </x:c>
      <x:c r="M316" s="63"/>
      <x:c r="N316" s="30">
        <x:f>IF(F316="2","",COUNTIF($F$3:$F316,"=1"))</x:f>
        <x:v>279</x:v>
      </x:c>
      <x:c r="O316" s="30">
        <x:f t="shared" si="27"/>
        <x:v>4</x:v>
      </x:c>
      <x:c r="P316" s="30">
        <x:f t="shared" si="29"/>
        <x:v>1</x:v>
      </x:c>
      <x:c r="Q316" s="30">
        <x:f>COUNTIF($P$3:P316,"=3")</x:f>
        <x:v>35</x:v>
      </x:c>
      <x:c r="R316" s="29">
        <x:f>WORKDAY(기본입력!$H$2,Q316-1,공휴일)</x:f>
        <x:v>45975</x:v>
      </x:c>
    </x:row>
    <x:row r="317" spans="1:18">
      <x:c r="A317" s="144" t="str">
        <x:f t="shared" si="28"/>
        <x:v>20251114</x:v>
      </x:c>
      <x:c r="B317" s="6" t="s">
        <x:v>5</x:v>
      </x:c>
      <x:c r="C317" s="6">
        <x:v>1740</x:v>
      </x:c>
      <x:c r="D317" s="5" t="s">
        <x:v>1</x:v>
      </x:c>
      <x:c r="E317" s="6">
        <x:v>1640</x:v>
      </x:c>
      <x:c r="F317" s="6" t="s">
        <x:v>40</x:v>
      </x:c>
      <x:c r="G317" s="14" t="str">
        <x:f>IF(OR(N317="",N317&gt;기본입력!$C$34),"",VLOOKUP(O317,기본입력!$A$9:$F$33,5))</x:f>
        <x:v>양현수_53778</x:v>
      </x:c>
      <x:c r="H317" s="14" t="str">
        <x:f>IF(OR(N317="",N317&gt;기본입력!$C$34),"",기본입력!$C$6)</x:f>
        <x:v>1교육실(실습겸용강의실)_243089</x:v>
      </x:c>
      <x:c r="I317" s="14" t="str">
        <x:f>IF(OR(O317="",N317&gt;기본입력!$C$34),"",VLOOKUP(O317,기본입력!$A$9:$F$33,6,FALSE))</x:f>
        <x:v>AI개발 기초__1</x:v>
      </x:c>
      <x:c r="J317" s="38" t="str">
        <x:f t="shared" si="30"/>
        <x:v>AI개발 기초</x:v>
      </x:c>
      <x:c r="K317" s="38" t="str">
        <x:f t="shared" si="31"/>
        <x:v>1교육실(실습겸용강의실)</x:v>
      </x:c>
      <x:c r="L317" s="38" t="str">
        <x:f t="shared" si="32"/>
        <x:v>양현수</x:v>
      </x:c>
      <x:c r="M317" s="63"/>
      <x:c r="N317" s="30">
        <x:f>IF(F317="2","",COUNTIF($F$3:$F317,"=1"))</x:f>
        <x:v>280</x:v>
      </x:c>
      <x:c r="O317" s="30">
        <x:f t="shared" si="27"/>
        <x:v>4</x:v>
      </x:c>
      <x:c r="P317" s="30">
        <x:f t="shared" si="29"/>
        <x:v>2</x:v>
      </x:c>
      <x:c r="Q317" s="30">
        <x:f>COUNTIF($P$3:P317,"=3")</x:f>
        <x:v>35</x:v>
      </x:c>
      <x:c r="R317" s="29">
        <x:f>WORKDAY(기본입력!$H$2,Q317-1,공휴일)</x:f>
        <x:v>45975</x:v>
      </x:c>
    </x:row>
    <x:row r="318" spans="1:18">
      <x:c r="A318" s="145" t="str">
        <x:f t="shared" si="28"/>
        <x:v>20251117</x:v>
      </x:c>
      <x:c r="B318" s="8" t="s">
        <x:v>5</x:v>
      </x:c>
      <x:c r="C318" s="8">
        <x:v>1740</x:v>
      </x:c>
      <x:c r="D318" s="7" t="s">
        <x:v>1</x:v>
      </x:c>
      <x:c r="E318" s="8" t="s">
        <x:v>5</x:v>
      </x:c>
      <x:c r="F318" s="8" t="s">
        <x:v>40</x:v>
      </x:c>
      <x:c r="G318" s="15" t="str">
        <x:f>IF(OR(N318="",N318&gt;기본입력!$C$34),"",VLOOKUP(O318,기본입력!$A$9:$F$33,5))</x:f>
        <x:v>양현수_53778</x:v>
      </x:c>
      <x:c r="H318" s="15" t="str">
        <x:f>IF(OR(N318="",N318&gt;기본입력!$C$34),"",기본입력!$C$6)</x:f>
        <x:v>1교육실(실습겸용강의실)_243089</x:v>
      </x:c>
      <x:c r="I318" s="15" t="str">
        <x:f>IF(OR(O318="",N318&gt;기본입력!$C$34),"",VLOOKUP(O318,기본입력!$A$9:$F$33,6,FALSE))</x:f>
        <x:v>AI개발 기초__1</x:v>
      </x:c>
      <x:c r="J318" s="38" t="str">
        <x:f t="shared" si="30"/>
        <x:v>AI개발 기초</x:v>
      </x:c>
      <x:c r="K318" s="38" t="str">
        <x:f t="shared" si="31"/>
        <x:v>1교육실(실습겸용강의실)</x:v>
      </x:c>
      <x:c r="L318" s="38" t="str">
        <x:f t="shared" si="32"/>
        <x:v>양현수</x:v>
      </x:c>
      <x:c r="M318" s="63"/>
      <x:c r="N318" s="30">
        <x:f>IF(F318="2","",COUNTIF($F$3:$F318,"=1"))</x:f>
        <x:v>281</x:v>
      </x:c>
      <x:c r="O318" s="30">
        <x:f t="shared" si="27"/>
        <x:v>4</x:v>
      </x:c>
      <x:c r="P318" s="30">
        <x:f t="shared" si="29"/>
        <x:v>3</x:v>
      </x:c>
      <x:c r="Q318" s="30">
        <x:f>COUNTIF($P$3:P318,"=3")</x:f>
        <x:v>36</x:v>
      </x:c>
      <x:c r="R318" s="29">
        <x:f>WORKDAY(기본입력!$H$2,Q318-1,공휴일)</x:f>
        <x:v>45978</x:v>
      </x:c>
    </x:row>
    <x:row r="319" spans="1:18">
      <x:c r="A319" s="145" t="str">
        <x:f t="shared" si="28"/>
        <x:v>20251117</x:v>
      </x:c>
      <x:c r="B319" s="8" t="s">
        <x:v>5</x:v>
      </x:c>
      <x:c r="C319" s="8">
        <x:v>1740</x:v>
      </x:c>
      <x:c r="D319" s="7" t="s">
        <x:v>1</x:v>
      </x:c>
      <x:c r="E319" s="8" t="s">
        <x:v>117</x:v>
      </x:c>
      <x:c r="F319" s="8" t="s">
        <x:v>40</x:v>
      </x:c>
      <x:c r="G319" s="15" t="str">
        <x:f>IF(OR(N319="",N319&gt;기본입력!$C$34),"",VLOOKUP(O319,기본입력!$A$9:$F$33,5))</x:f>
        <x:v>양현수_53778</x:v>
      </x:c>
      <x:c r="H319" s="15" t="str">
        <x:f>IF(OR(N319="",N319&gt;기본입력!$C$34),"",기본입력!$C$6)</x:f>
        <x:v>1교육실(실습겸용강의실)_243089</x:v>
      </x:c>
      <x:c r="I319" s="15" t="str">
        <x:f>IF(OR(O319="",N319&gt;기본입력!$C$34),"",VLOOKUP(O319,기본입력!$A$9:$F$33,6,FALSE))</x:f>
        <x:v>AI개발 기초__1</x:v>
      </x:c>
      <x:c r="J319" s="38" t="str">
        <x:f t="shared" si="30"/>
        <x:v>AI개발 기초</x:v>
      </x:c>
      <x:c r="K319" s="38" t="str">
        <x:f t="shared" si="31"/>
        <x:v>1교육실(실습겸용강의실)</x:v>
      </x:c>
      <x:c r="L319" s="38" t="str">
        <x:f t="shared" si="32"/>
        <x:v>양현수</x:v>
      </x:c>
      <x:c r="M319" s="63"/>
      <x:c r="N319" s="30">
        <x:f>IF(F319="2","",COUNTIF($F$3:$F319,"=1"))</x:f>
        <x:v>282</x:v>
      </x:c>
      <x:c r="O319" s="30">
        <x:f t="shared" si="27"/>
        <x:v>4</x:v>
      </x:c>
      <x:c r="P319" s="30">
        <x:f t="shared" si="29"/>
        <x:v>4</x:v>
      </x:c>
      <x:c r="Q319" s="30">
        <x:f>COUNTIF($P$3:P319,"=3")</x:f>
        <x:v>36</x:v>
      </x:c>
      <x:c r="R319" s="29">
        <x:f>WORKDAY(기본입력!$H$2,Q319-1,공휴일)</x:f>
        <x:v>45978</x:v>
      </x:c>
    </x:row>
    <x:row r="320" spans="1:18">
      <x:c r="A320" s="145" t="str">
        <x:f t="shared" si="28"/>
        <x:v>20251117</x:v>
      </x:c>
      <x:c r="B320" s="8" t="s">
        <x:v>5</x:v>
      </x:c>
      <x:c r="C320" s="8">
        <x:v>1740</x:v>
      </x:c>
      <x:c r="D320" s="7" t="s">
        <x:v>1</x:v>
      </x:c>
      <x:c r="E320" s="8" t="s">
        <x:v>87</x:v>
      </x:c>
      <x:c r="F320" s="8" t="s">
        <x:v>40</x:v>
      </x:c>
      <x:c r="G320" s="15" t="str">
        <x:f>IF(OR(N320="",N320&gt;기본입력!$C$34),"",VLOOKUP(O320,기본입력!$A$9:$F$33,5))</x:f>
        <x:v>양현수_53778</x:v>
      </x:c>
      <x:c r="H320" s="15" t="str">
        <x:f>IF(OR(N320="",N320&gt;기본입력!$C$34),"",기본입력!$C$6)</x:f>
        <x:v>1교육실(실습겸용강의실)_243089</x:v>
      </x:c>
      <x:c r="I320" s="15" t="str">
        <x:f>IF(OR(O320="",N320&gt;기본입력!$C$34),"",VLOOKUP(O320,기본입력!$A$9:$F$33,6,FALSE))</x:f>
        <x:v>AI개발 기초__1</x:v>
      </x:c>
      <x:c r="J320" s="38" t="str">
        <x:f t="shared" si="30"/>
        <x:v>AI개발 기초</x:v>
      </x:c>
      <x:c r="K320" s="38" t="str">
        <x:f t="shared" si="31"/>
        <x:v>1교육실(실습겸용강의실)</x:v>
      </x:c>
      <x:c r="L320" s="38" t="str">
        <x:f t="shared" si="32"/>
        <x:v>양현수</x:v>
      </x:c>
      <x:c r="M320" s="63"/>
      <x:c r="N320" s="30">
        <x:f>IF(F320="2","",COUNTIF($F$3:$F320,"=1"))</x:f>
        <x:v>283</x:v>
      </x:c>
      <x:c r="O320" s="30">
        <x:f t="shared" si="27"/>
        <x:v>4</x:v>
      </x:c>
      <x:c r="P320" s="30">
        <x:f t="shared" si="29"/>
        <x:v>5</x:v>
      </x:c>
      <x:c r="Q320" s="30">
        <x:f>COUNTIF($P$3:P320,"=3")</x:f>
        <x:v>36</x:v>
      </x:c>
      <x:c r="R320" s="29">
        <x:f>WORKDAY(기본입력!$H$2,Q320-1,공휴일)</x:f>
        <x:v>45978</x:v>
      </x:c>
    </x:row>
    <x:row r="321" spans="1:18">
      <x:c r="A321" s="145" t="str">
        <x:f t="shared" si="28"/>
        <x:v>20251117</x:v>
      </x:c>
      <x:c r="B321" s="8" t="s">
        <x:v>5</x:v>
      </x:c>
      <x:c r="C321" s="8">
        <x:v>1740</x:v>
      </x:c>
      <x:c r="D321" s="7" t="s">
        <x:v>1</x:v>
      </x:c>
      <x:c r="E321" s="8" t="s">
        <x:v>88</x:v>
      </x:c>
      <x:c r="F321" s="8" t="s">
        <x:v>40</x:v>
      </x:c>
      <x:c r="G321" s="15" t="str">
        <x:f>IF(OR(N321="",N321&gt;기본입력!$C$34),"",VLOOKUP(O321,기본입력!$A$9:$F$33,5))</x:f>
        <x:v>양현수_53778</x:v>
      </x:c>
      <x:c r="H321" s="15" t="str">
        <x:f>IF(OR(N321="",N321&gt;기본입력!$C$34),"",기본입력!$C$6)</x:f>
        <x:v>1교육실(실습겸용강의실)_243089</x:v>
      </x:c>
      <x:c r="I321" s="15" t="str">
        <x:f>IF(OR(O321="",N321&gt;기본입력!$C$34),"",VLOOKUP(O321,기본입력!$A$9:$F$33,6,FALSE))</x:f>
        <x:v>AI개발 기초__1</x:v>
      </x:c>
      <x:c r="J321" s="38" t="str">
        <x:f t="shared" si="30"/>
        <x:v>AI개발 기초</x:v>
      </x:c>
      <x:c r="K321" s="38" t="str">
        <x:f t="shared" si="31"/>
        <x:v>1교육실(실습겸용강의실)</x:v>
      </x:c>
      <x:c r="L321" s="38" t="str">
        <x:f t="shared" si="32"/>
        <x:v>양현수</x:v>
      </x:c>
      <x:c r="M321" s="63"/>
      <x:c r="N321" s="30">
        <x:f>IF(F321="2","",COUNTIF($F$3:$F321,"=1"))</x:f>
        <x:v>284</x:v>
      </x:c>
      <x:c r="O321" s="30">
        <x:f t="shared" si="27"/>
        <x:v>4</x:v>
      </x:c>
      <x:c r="P321" s="30">
        <x:f t="shared" si="29"/>
        <x:v>6</x:v>
      </x:c>
      <x:c r="Q321" s="30">
        <x:f>COUNTIF($P$3:P321,"=3")</x:f>
        <x:v>36</x:v>
      </x:c>
      <x:c r="R321" s="29">
        <x:f>WORKDAY(기본입력!$H$2,Q321-1,공휴일)</x:f>
        <x:v>45978</x:v>
      </x:c>
    </x:row>
    <x:row r="322" spans="1:18">
      <x:c r="A322" s="145" t="str">
        <x:f t="shared" si="28"/>
        <x:v>20251117</x:v>
      </x:c>
      <x:c r="B322" s="8" t="s">
        <x:v>5</x:v>
      </x:c>
      <x:c r="C322" s="8">
        <x:v>1740</x:v>
      </x:c>
      <x:c r="D322" s="7" t="s">
        <x:v>1</x:v>
      </x:c>
      <x:c r="E322" s="8" t="s">
        <x:v>0</x:v>
      </x:c>
      <x:c r="F322" s="8" t="s">
        <x:v>41</x:v>
      </x:c>
      <x:c r="G322" s="15" t="str">
        <x:f>IF(OR(N322="",N322&gt;기본입력!$C$34),"",VLOOKUP(O322,기본입력!$A$9:$F$33,5))</x:f>
        <x:v/>
      </x:c>
      <x:c r="H322" s="15" t="str">
        <x:f>IF(OR(N322="",N322&gt;기본입력!$C$34),"",기본입력!$C$6)</x:f>
        <x:v/>
      </x:c>
      <x:c r="I322" s="15" t="str">
        <x:f>IF(OR(O322="",N322&gt;기본입력!$C$34),"",VLOOKUP(O322,기본입력!$A$9:$F$33,6,FALSE))</x:f>
        <x:v/>
      </x:c>
      <x:c r="J322" s="38" t="str">
        <x:f t="shared" si="30"/>
        <x:v/>
      </x:c>
      <x:c r="K322" s="38" t="str">
        <x:f t="shared" si="31"/>
        <x:v/>
      </x:c>
      <x:c r="L322" s="38" t="str">
        <x:f t="shared" si="32"/>
        <x:v/>
      </x:c>
      <x:c r="M322" s="63"/>
      <x:c r="N322" s="30" t="str">
        <x:f>IF(F322="2","",COUNTIF($F$3:$F322,"=1"))</x:f>
        <x:v/>
      </x:c>
      <x:c r="O322" s="30" t="str">
        <x:f t="shared" si="27"/>
        <x:v/>
      </x:c>
      <x:c r="P322" s="30">
        <x:f t="shared" si="29"/>
        <x:v>7</x:v>
      </x:c>
      <x:c r="Q322" s="30">
        <x:f>COUNTIF($P$3:P322,"=3")</x:f>
        <x:v>36</x:v>
      </x:c>
      <x:c r="R322" s="29">
        <x:f>WORKDAY(기본입력!$H$2,Q322-1,공휴일)</x:f>
        <x:v>45978</x:v>
      </x:c>
    </x:row>
    <x:row r="323" spans="1:18">
      <x:c r="A323" s="145" t="str">
        <x:f t="shared" si="28"/>
        <x:v>20251117</x:v>
      </x:c>
      <x:c r="B323" s="8" t="s">
        <x:v>5</x:v>
      </x:c>
      <x:c r="C323" s="8">
        <x:v>1740</x:v>
      </x:c>
      <x:c r="D323" s="7" t="s">
        <x:v>1</x:v>
      </x:c>
      <x:c r="E323" s="8">
        <x:v>1340</x:v>
      </x:c>
      <x:c r="F323" s="8" t="s">
        <x:v>40</x:v>
      </x:c>
      <x:c r="G323" s="15" t="str">
        <x:f>IF(OR(N323="",N323&gt;기본입력!$C$34),"",VLOOKUP(O323,기본입력!$A$9:$F$33,5))</x:f>
        <x:v>양현수_53778</x:v>
      </x:c>
      <x:c r="H323" s="15" t="str">
        <x:f>IF(OR(N323="",N323&gt;기본입력!$C$34),"",기본입력!$C$6)</x:f>
        <x:v>1교육실(실습겸용강의실)_243089</x:v>
      </x:c>
      <x:c r="I323" s="15" t="str">
        <x:f>IF(OR(O323="",N323&gt;기본입력!$C$34),"",VLOOKUP(O323,기본입력!$A$9:$F$33,6,FALSE))</x:f>
        <x:v>AI개발 기초__1</x:v>
      </x:c>
      <x:c r="J323" s="38" t="str">
        <x:f t="shared" si="30"/>
        <x:v>AI개발 기초</x:v>
      </x:c>
      <x:c r="K323" s="38" t="str">
        <x:f t="shared" si="31"/>
        <x:v>1교육실(실습겸용강의실)</x:v>
      </x:c>
      <x:c r="L323" s="38" t="str">
        <x:f t="shared" si="32"/>
        <x:v>양현수</x:v>
      </x:c>
      <x:c r="M323" s="63"/>
      <x:c r="N323" s="30">
        <x:f>IF(F323="2","",COUNTIF($F$3:$F323,"=1"))</x:f>
        <x:v>285</x:v>
      </x:c>
      <x:c r="O323" s="30">
        <x:f t="shared" ref="O323:O386" si="33">IF(F323="2","",IF(N323&lt;=누적시수1,1,IF(N323&lt;=누적시수2,2,IF(N323&lt;=누적시수3,3,IF(N323&lt;=누적시수4,4,IF(N323&lt;=누적시수5,5,IF(N323&lt;=누적시수6,6,IF(N323&lt;=누적시수7,7,IF(N323&lt;=누적시수8,8,IF(N323&lt;=누적시수9,9,IF(N323&lt;=누적시수10,10,IF(N323&lt;=누적시수11,11,IF(N323&lt;=누적시수12,12,IF(N323&lt;=누적시수13,13,IF(N323&lt;=누적시수14,14,IF(N323&lt;=누적시수15,15,IF(N323&lt;=누적시수16,16,IF(N323&lt;=누적시수17,17,IF(N323&lt;=누적시수18,18,IF(N323&lt;=누적시수19,19,IF(N323&lt;=누적시수20,20,IF(N323&lt;=누적시수21,21,IF(N323&lt;=누적시수22,22,IF(N323&lt;=누적시수23,23,IF(N323&lt;=누적시수24,24,IF(N323&lt;=누적시수25,25,0))))))))))))))))))))))))))</x:f>
        <x:v>4</x:v>
      </x:c>
      <x:c r="P323" s="30">
        <x:f t="shared" si="29"/>
        <x:v>8</x:v>
      </x:c>
      <x:c r="Q323" s="30">
        <x:f>COUNTIF($P$3:P323,"=3")</x:f>
        <x:v>36</x:v>
      </x:c>
      <x:c r="R323" s="29">
        <x:f>WORKDAY(기본입력!$H$2,Q323-1,공휴일)</x:f>
        <x:v>45978</x:v>
      </x:c>
    </x:row>
    <x:row r="324" spans="1:18">
      <x:c r="A324" s="145" t="str">
        <x:f t="shared" ref="A324:A387" si="34">TEXT(R324,"yyyymmdd")</x:f>
        <x:v>20251117</x:v>
      </x:c>
      <x:c r="B324" s="8" t="s">
        <x:v>5</x:v>
      </x:c>
      <x:c r="C324" s="8">
        <x:v>1740</x:v>
      </x:c>
      <x:c r="D324" s="7" t="s">
        <x:v>1</x:v>
      </x:c>
      <x:c r="E324" s="8">
        <x:v>1440</x:v>
      </x:c>
      <x:c r="F324" s="8" t="s">
        <x:v>40</x:v>
      </x:c>
      <x:c r="G324" s="15" t="str">
        <x:f>IF(OR(N324="",N324&gt;기본입력!$C$34),"",VLOOKUP(O324,기본입력!$A$9:$F$33,5))</x:f>
        <x:v>양현수_53778</x:v>
      </x:c>
      <x:c r="H324" s="15" t="str">
        <x:f>IF(OR(N324="",N324&gt;기본입력!$C$34),"",기본입력!$C$6)</x:f>
        <x:v>1교육실(실습겸용강의실)_243089</x:v>
      </x:c>
      <x:c r="I324" s="15" t="str">
        <x:f>IF(OR(O324="",N324&gt;기본입력!$C$34),"",VLOOKUP(O324,기본입력!$A$9:$F$33,6,FALSE))</x:f>
        <x:v>AI개발 기초__1</x:v>
      </x:c>
      <x:c r="J324" s="38" t="str">
        <x:f t="shared" si="30"/>
        <x:v>AI개발 기초</x:v>
      </x:c>
      <x:c r="K324" s="38" t="str">
        <x:f t="shared" si="31"/>
        <x:v>1교육실(실습겸용강의실)</x:v>
      </x:c>
      <x:c r="L324" s="38" t="str">
        <x:f t="shared" si="32"/>
        <x:v>양현수</x:v>
      </x:c>
      <x:c r="M324" s="63"/>
      <x:c r="N324" s="30">
        <x:f>IF(F324="2","",COUNTIF($F$3:$F324,"=1"))</x:f>
        <x:v>286</x:v>
      </x:c>
      <x:c r="O324" s="30">
        <x:f t="shared" si="33"/>
        <x:v>4</x:v>
      </x:c>
      <x:c r="P324" s="30">
        <x:f t="shared" ref="P324:P387" si="35">MOD(ROW(),9)</x:f>
        <x:v>0</x:v>
      </x:c>
      <x:c r="Q324" s="30">
        <x:f>COUNTIF($P$3:P324,"=3")</x:f>
        <x:v>36</x:v>
      </x:c>
      <x:c r="R324" s="29">
        <x:f>WORKDAY(기본입력!$H$2,Q324-1,공휴일)</x:f>
        <x:v>45978</x:v>
      </x:c>
    </x:row>
    <x:row r="325" spans="1:18">
      <x:c r="A325" s="145" t="str">
        <x:f t="shared" si="34"/>
        <x:v>20251117</x:v>
      </x:c>
      <x:c r="B325" s="8" t="s">
        <x:v>5</x:v>
      </x:c>
      <x:c r="C325" s="8">
        <x:v>1740</x:v>
      </x:c>
      <x:c r="D325" s="7" t="s">
        <x:v>1</x:v>
      </x:c>
      <x:c r="E325" s="8">
        <x:v>1540</x:v>
      </x:c>
      <x:c r="F325" s="8" t="s">
        <x:v>40</x:v>
      </x:c>
      <x:c r="G325" s="15" t="str">
        <x:f>IF(OR(N325="",N325&gt;기본입력!$C$34),"",VLOOKUP(O325,기본입력!$A$9:$F$33,5))</x:f>
        <x:v>양현수_53778</x:v>
      </x:c>
      <x:c r="H325" s="15" t="str">
        <x:f>IF(OR(N325="",N325&gt;기본입력!$C$34),"",기본입력!$C$6)</x:f>
        <x:v>1교육실(실습겸용강의실)_243089</x:v>
      </x:c>
      <x:c r="I325" s="15" t="str">
        <x:f>IF(OR(O325="",N325&gt;기본입력!$C$34),"",VLOOKUP(O325,기본입력!$A$9:$F$33,6,FALSE))</x:f>
        <x:v>AI개발 기초__1</x:v>
      </x:c>
      <x:c r="J325" s="38" t="str">
        <x:f t="shared" si="30"/>
        <x:v>AI개발 기초</x:v>
      </x:c>
      <x:c r="K325" s="38" t="str">
        <x:f t="shared" si="31"/>
        <x:v>1교육실(실습겸용강의실)</x:v>
      </x:c>
      <x:c r="L325" s="38" t="str">
        <x:f t="shared" si="32"/>
        <x:v>양현수</x:v>
      </x:c>
      <x:c r="M325" s="63"/>
      <x:c r="N325" s="30">
        <x:f>IF(F325="2","",COUNTIF($F$3:$F325,"=1"))</x:f>
        <x:v>287</x:v>
      </x:c>
      <x:c r="O325" s="30">
        <x:f t="shared" si="33"/>
        <x:v>4</x:v>
      </x:c>
      <x:c r="P325" s="30">
        <x:f t="shared" si="35"/>
        <x:v>1</x:v>
      </x:c>
      <x:c r="Q325" s="30">
        <x:f>COUNTIF($P$3:P325,"=3")</x:f>
        <x:v>36</x:v>
      </x:c>
      <x:c r="R325" s="29">
        <x:f>WORKDAY(기본입력!$H$2,Q325-1,공휴일)</x:f>
        <x:v>45978</x:v>
      </x:c>
    </x:row>
    <x:row r="326" spans="1:18">
      <x:c r="A326" s="145" t="str">
        <x:f t="shared" si="34"/>
        <x:v>20251117</x:v>
      </x:c>
      <x:c r="B326" s="8" t="s">
        <x:v>5</x:v>
      </x:c>
      <x:c r="C326" s="8">
        <x:v>1740</x:v>
      </x:c>
      <x:c r="D326" s="7" t="s">
        <x:v>1</x:v>
      </x:c>
      <x:c r="E326" s="8">
        <x:v>1640</x:v>
      </x:c>
      <x:c r="F326" s="8" t="s">
        <x:v>40</x:v>
      </x:c>
      <x:c r="G326" s="15" t="str">
        <x:f>IF(OR(N326="",N326&gt;기본입력!$C$34),"",VLOOKUP(O326,기본입력!$A$9:$F$33,5))</x:f>
        <x:v>양현수_53778</x:v>
      </x:c>
      <x:c r="H326" s="15" t="str">
        <x:f>IF(OR(N326="",N326&gt;기본입력!$C$34),"",기본입력!$C$6)</x:f>
        <x:v>1교육실(실습겸용강의실)_243089</x:v>
      </x:c>
      <x:c r="I326" s="15" t="str">
        <x:f>IF(OR(O326="",N326&gt;기본입력!$C$34),"",VLOOKUP(O326,기본입력!$A$9:$F$33,6,FALSE))</x:f>
        <x:v>AI개발 기초__1</x:v>
      </x:c>
      <x:c r="J326" s="38" t="str">
        <x:f t="shared" si="30"/>
        <x:v>AI개발 기초</x:v>
      </x:c>
      <x:c r="K326" s="38" t="str">
        <x:f t="shared" si="31"/>
        <x:v>1교육실(실습겸용강의실)</x:v>
      </x:c>
      <x:c r="L326" s="38" t="str">
        <x:f t="shared" si="32"/>
        <x:v>양현수</x:v>
      </x:c>
      <x:c r="M326" s="63"/>
      <x:c r="N326" s="30">
        <x:f>IF(F326="2","",COUNTIF($F$3:$F326,"=1"))</x:f>
        <x:v>288</x:v>
      </x:c>
      <x:c r="O326" s="30">
        <x:f t="shared" si="33"/>
        <x:v>4</x:v>
      </x:c>
      <x:c r="P326" s="30">
        <x:f t="shared" si="35"/>
        <x:v>2</x:v>
      </x:c>
      <x:c r="Q326" s="30">
        <x:f>COUNTIF($P$3:P326,"=3")</x:f>
        <x:v>36</x:v>
      </x:c>
      <x:c r="R326" s="29">
        <x:f>WORKDAY(기본입력!$H$2,Q326-1,공휴일)</x:f>
        <x:v>45978</x:v>
      </x:c>
    </x:row>
    <x:row r="327" spans="1:18">
      <x:c r="A327" s="144" t="str">
        <x:f t="shared" si="34"/>
        <x:v>20251118</x:v>
      </x:c>
      <x:c r="B327" s="6" t="s">
        <x:v>5</x:v>
      </x:c>
      <x:c r="C327" s="6">
        <x:v>1740</x:v>
      </x:c>
      <x:c r="D327" s="5" t="s">
        <x:v>1</x:v>
      </x:c>
      <x:c r="E327" s="6" t="s">
        <x:v>5</x:v>
      </x:c>
      <x:c r="F327" s="6" t="s">
        <x:v>40</x:v>
      </x:c>
      <x:c r="G327" s="14" t="str">
        <x:f>IF(OR(N327="",N327&gt;기본입력!$C$34),"",VLOOKUP(O327,기본입력!$A$9:$F$33,5))</x:f>
        <x:v>양현수_53778</x:v>
      </x:c>
      <x:c r="H327" s="14" t="str">
        <x:f>IF(OR(N327="",N327&gt;기본입력!$C$34),"",기본입력!$C$6)</x:f>
        <x:v>1교육실(실습겸용강의실)_243089</x:v>
      </x:c>
      <x:c r="I327" s="14" t="str">
        <x:f>IF(OR(O327="",N327&gt;기본입력!$C$34),"",VLOOKUP(O327,기본입력!$A$9:$F$33,6,FALSE))</x:f>
        <x:v>AI개발 기초__1</x:v>
      </x:c>
      <x:c r="J327" s="38" t="str">
        <x:f t="shared" si="30"/>
        <x:v>AI개발 기초</x:v>
      </x:c>
      <x:c r="K327" s="38" t="str">
        <x:f t="shared" si="31"/>
        <x:v>1교육실(실습겸용강의실)</x:v>
      </x:c>
      <x:c r="L327" s="38" t="str">
        <x:f t="shared" si="32"/>
        <x:v>양현수</x:v>
      </x:c>
      <x:c r="M327" s="63"/>
      <x:c r="N327" s="30">
        <x:f>IF(F327="2","",COUNTIF($F$3:$F327,"=1"))</x:f>
        <x:v>289</x:v>
      </x:c>
      <x:c r="O327" s="30">
        <x:f t="shared" si="33"/>
        <x:v>4</x:v>
      </x:c>
      <x:c r="P327" s="30">
        <x:f t="shared" si="35"/>
        <x:v>3</x:v>
      </x:c>
      <x:c r="Q327" s="30">
        <x:f>COUNTIF($P$3:P327,"=3")</x:f>
        <x:v>37</x:v>
      </x:c>
      <x:c r="R327" s="29">
        <x:f>WORKDAY(기본입력!$H$2,Q327-1,공휴일)</x:f>
        <x:v>45979</x:v>
      </x:c>
    </x:row>
    <x:row r="328" spans="1:18">
      <x:c r="A328" s="144" t="str">
        <x:f t="shared" si="34"/>
        <x:v>20251118</x:v>
      </x:c>
      <x:c r="B328" s="6" t="s">
        <x:v>5</x:v>
      </x:c>
      <x:c r="C328" s="6">
        <x:v>1740</x:v>
      </x:c>
      <x:c r="D328" s="5" t="s">
        <x:v>1</x:v>
      </x:c>
      <x:c r="E328" s="6" t="s">
        <x:v>117</x:v>
      </x:c>
      <x:c r="F328" s="6" t="s">
        <x:v>40</x:v>
      </x:c>
      <x:c r="G328" s="14" t="str">
        <x:f>IF(OR(N328="",N328&gt;기본입력!$C$34),"",VLOOKUP(O328,기본입력!$A$9:$F$33,5))</x:f>
        <x:v>양현수_53778</x:v>
      </x:c>
      <x:c r="H328" s="14" t="str">
        <x:f>IF(OR(N328="",N328&gt;기본입력!$C$34),"",기본입력!$C$6)</x:f>
        <x:v>1교육실(실습겸용강의실)_243089</x:v>
      </x:c>
      <x:c r="I328" s="14" t="str">
        <x:f>IF(OR(O328="",N328&gt;기본입력!$C$34),"",VLOOKUP(O328,기본입력!$A$9:$F$33,6,FALSE))</x:f>
        <x:v>AI개발 기초__1</x:v>
      </x:c>
      <x:c r="J328" s="38" t="str">
        <x:f t="shared" si="30"/>
        <x:v>AI개발 기초</x:v>
      </x:c>
      <x:c r="K328" s="38" t="str">
        <x:f t="shared" si="31"/>
        <x:v>1교육실(실습겸용강의실)</x:v>
      </x:c>
      <x:c r="L328" s="38" t="str">
        <x:f t="shared" si="32"/>
        <x:v>양현수</x:v>
      </x:c>
      <x:c r="M328" s="63"/>
      <x:c r="N328" s="30">
        <x:f>IF(F328="2","",COUNTIF($F$3:$F328,"=1"))</x:f>
        <x:v>290</x:v>
      </x:c>
      <x:c r="O328" s="30">
        <x:f t="shared" si="33"/>
        <x:v>4</x:v>
      </x:c>
      <x:c r="P328" s="30">
        <x:f t="shared" si="35"/>
        <x:v>4</x:v>
      </x:c>
      <x:c r="Q328" s="30">
        <x:f>COUNTIF($P$3:P328,"=3")</x:f>
        <x:v>37</x:v>
      </x:c>
      <x:c r="R328" s="29">
        <x:f>WORKDAY(기본입력!$H$2,Q328-1,공휴일)</x:f>
        <x:v>45979</x:v>
      </x:c>
    </x:row>
    <x:row r="329" spans="1:18">
      <x:c r="A329" s="144" t="str">
        <x:f t="shared" si="34"/>
        <x:v>20251118</x:v>
      </x:c>
      <x:c r="B329" s="6" t="s">
        <x:v>5</x:v>
      </x:c>
      <x:c r="C329" s="6">
        <x:v>1740</x:v>
      </x:c>
      <x:c r="D329" s="5" t="s">
        <x:v>1</x:v>
      </x:c>
      <x:c r="E329" s="6" t="s">
        <x:v>87</x:v>
      </x:c>
      <x:c r="F329" s="6" t="s">
        <x:v>40</x:v>
      </x:c>
      <x:c r="G329" s="14" t="str">
        <x:f>IF(OR(N329="",N329&gt;기본입력!$C$34),"",VLOOKUP(O329,기본입력!$A$9:$F$33,5))</x:f>
        <x:v>양현수_53778</x:v>
      </x:c>
      <x:c r="H329" s="14" t="str">
        <x:f>IF(OR(N329="",N329&gt;기본입력!$C$34),"",기본입력!$C$6)</x:f>
        <x:v>1교육실(실습겸용강의실)_243089</x:v>
      </x:c>
      <x:c r="I329" s="14" t="str">
        <x:f>IF(OR(O329="",N329&gt;기본입력!$C$34),"",VLOOKUP(O329,기본입력!$A$9:$F$33,6,FALSE))</x:f>
        <x:v>AI개발 기초__1</x:v>
      </x:c>
      <x:c r="J329" s="38" t="str">
        <x:f t="shared" si="30"/>
        <x:v>AI개발 기초</x:v>
      </x:c>
      <x:c r="K329" s="38" t="str">
        <x:f t="shared" si="31"/>
        <x:v>1교육실(실습겸용강의실)</x:v>
      </x:c>
      <x:c r="L329" s="38" t="str">
        <x:f t="shared" si="32"/>
        <x:v>양현수</x:v>
      </x:c>
      <x:c r="M329" s="63"/>
      <x:c r="N329" s="30">
        <x:f>IF(F329="2","",COUNTIF($F$3:$F329,"=1"))</x:f>
        <x:v>291</x:v>
      </x:c>
      <x:c r="O329" s="30">
        <x:f t="shared" si="33"/>
        <x:v>4</x:v>
      </x:c>
      <x:c r="P329" s="30">
        <x:f t="shared" si="35"/>
        <x:v>5</x:v>
      </x:c>
      <x:c r="Q329" s="30">
        <x:f>COUNTIF($P$3:P329,"=3")</x:f>
        <x:v>37</x:v>
      </x:c>
      <x:c r="R329" s="29">
        <x:f>WORKDAY(기본입력!$H$2,Q329-1,공휴일)</x:f>
        <x:v>45979</x:v>
      </x:c>
    </x:row>
    <x:row r="330" spans="1:18">
      <x:c r="A330" s="144" t="str">
        <x:f t="shared" si="34"/>
        <x:v>20251118</x:v>
      </x:c>
      <x:c r="B330" s="6" t="s">
        <x:v>5</x:v>
      </x:c>
      <x:c r="C330" s="6">
        <x:v>1740</x:v>
      </x:c>
      <x:c r="D330" s="5" t="s">
        <x:v>1</x:v>
      </x:c>
      <x:c r="E330" s="6" t="s">
        <x:v>88</x:v>
      </x:c>
      <x:c r="F330" s="6" t="s">
        <x:v>40</x:v>
      </x:c>
      <x:c r="G330" s="14" t="str">
        <x:f>IF(OR(N330="",N330&gt;기본입력!$C$34),"",VLOOKUP(O330,기본입력!$A$9:$F$33,5))</x:f>
        <x:v>양현수_53778</x:v>
      </x:c>
      <x:c r="H330" s="14" t="str">
        <x:f>IF(OR(N330="",N330&gt;기본입력!$C$34),"",기본입력!$C$6)</x:f>
        <x:v>1교육실(실습겸용강의실)_243089</x:v>
      </x:c>
      <x:c r="I330" s="14" t="str">
        <x:f>IF(OR(O330="",N330&gt;기본입력!$C$34),"",VLOOKUP(O330,기본입력!$A$9:$F$33,6,FALSE))</x:f>
        <x:v>AI개발 기초__1</x:v>
      </x:c>
      <x:c r="J330" s="38" t="str">
        <x:f t="shared" si="30"/>
        <x:v>AI개발 기초</x:v>
      </x:c>
      <x:c r="K330" s="38" t="str">
        <x:f t="shared" si="31"/>
        <x:v>1교육실(실습겸용강의실)</x:v>
      </x:c>
      <x:c r="L330" s="38" t="str">
        <x:f t="shared" si="32"/>
        <x:v>양현수</x:v>
      </x:c>
      <x:c r="M330" s="63"/>
      <x:c r="N330" s="30">
        <x:f>IF(F330="2","",COUNTIF($F$3:$F330,"=1"))</x:f>
        <x:v>292</x:v>
      </x:c>
      <x:c r="O330" s="30">
        <x:f t="shared" si="33"/>
        <x:v>4</x:v>
      </x:c>
      <x:c r="P330" s="30">
        <x:f t="shared" si="35"/>
        <x:v>6</x:v>
      </x:c>
      <x:c r="Q330" s="30">
        <x:f>COUNTIF($P$3:P330,"=3")</x:f>
        <x:v>37</x:v>
      </x:c>
      <x:c r="R330" s="29">
        <x:f>WORKDAY(기본입력!$H$2,Q330-1,공휴일)</x:f>
        <x:v>45979</x:v>
      </x:c>
    </x:row>
    <x:row r="331" spans="1:18">
      <x:c r="A331" s="144" t="str">
        <x:f t="shared" si="34"/>
        <x:v>20251118</x:v>
      </x:c>
      <x:c r="B331" s="6" t="s">
        <x:v>5</x:v>
      </x:c>
      <x:c r="C331" s="6">
        <x:v>1740</x:v>
      </x:c>
      <x:c r="D331" s="5" t="s">
        <x:v>1</x:v>
      </x:c>
      <x:c r="E331" s="6" t="s">
        <x:v>0</x:v>
      </x:c>
      <x:c r="F331" s="6" t="s">
        <x:v>41</x:v>
      </x:c>
      <x:c r="G331" s="14" t="str">
        <x:f>IF(OR(N331="",N331&gt;기본입력!$C$34),"",VLOOKUP(O331,기본입력!$A$9:$F$33,5))</x:f>
        <x:v/>
      </x:c>
      <x:c r="H331" s="14" t="str">
        <x:f>IF(OR(N331="",N331&gt;기본입력!$C$34),"",기본입력!$C$6)</x:f>
        <x:v/>
      </x:c>
      <x:c r="I331" s="14" t="str">
        <x:f>IF(OR(O331="",N331&gt;기본입력!$C$34),"",VLOOKUP(O331,기본입력!$A$9:$F$33,6,FALSE))</x:f>
        <x:v/>
      </x:c>
      <x:c r="J331" s="38" t="str">
        <x:f t="shared" si="30"/>
        <x:v/>
      </x:c>
      <x:c r="K331" s="38" t="str">
        <x:f t="shared" si="31"/>
        <x:v/>
      </x:c>
      <x:c r="L331" s="38" t="str">
        <x:f t="shared" si="32"/>
        <x:v/>
      </x:c>
      <x:c r="M331" s="63"/>
      <x:c r="N331" s="30" t="str">
        <x:f>IF(F331="2","",COUNTIF($F$3:$F331,"=1"))</x:f>
        <x:v/>
      </x:c>
      <x:c r="O331" s="30" t="str">
        <x:f t="shared" si="33"/>
        <x:v/>
      </x:c>
      <x:c r="P331" s="30">
        <x:f t="shared" si="35"/>
        <x:v>7</x:v>
      </x:c>
      <x:c r="Q331" s="30">
        <x:f>COUNTIF($P$3:P331,"=3")</x:f>
        <x:v>37</x:v>
      </x:c>
      <x:c r="R331" s="29">
        <x:f>WORKDAY(기본입력!$H$2,Q331-1,공휴일)</x:f>
        <x:v>45979</x:v>
      </x:c>
    </x:row>
    <x:row r="332" spans="1:18">
      <x:c r="A332" s="144" t="str">
        <x:f t="shared" si="34"/>
        <x:v>20251118</x:v>
      </x:c>
      <x:c r="B332" s="6" t="s">
        <x:v>5</x:v>
      </x:c>
      <x:c r="C332" s="6">
        <x:v>1740</x:v>
      </x:c>
      <x:c r="D332" s="5" t="s">
        <x:v>1</x:v>
      </x:c>
      <x:c r="E332" s="6">
        <x:v>1340</x:v>
      </x:c>
      <x:c r="F332" s="6" t="s">
        <x:v>40</x:v>
      </x:c>
      <x:c r="G332" s="14" t="str">
        <x:f>IF(OR(N332="",N332&gt;기본입력!$C$34),"",VLOOKUP(O332,기본입력!$A$9:$F$33,5))</x:f>
        <x:v>양현수_53778</x:v>
      </x:c>
      <x:c r="H332" s="14" t="str">
        <x:f>IF(OR(N332="",N332&gt;기본입력!$C$34),"",기본입력!$C$6)</x:f>
        <x:v>1교육실(실습겸용강의실)_243089</x:v>
      </x:c>
      <x:c r="I332" s="14" t="str">
        <x:f>IF(OR(O332="",N332&gt;기본입력!$C$34),"",VLOOKUP(O332,기본입력!$A$9:$F$33,6,FALSE))</x:f>
        <x:v>인공지능 프로그래밍__2</x:v>
      </x:c>
      <x:c r="J332" s="38" t="str">
        <x:f t="shared" si="30"/>
        <x:v>인공지능 프로그래밍</x:v>
      </x:c>
      <x:c r="K332" s="38" t="str">
        <x:f t="shared" si="31"/>
        <x:v>1교육실(실습겸용강의실)</x:v>
      </x:c>
      <x:c r="L332" s="38" t="str">
        <x:f t="shared" si="32"/>
        <x:v>양현수</x:v>
      </x:c>
      <x:c r="M332" s="63"/>
      <x:c r="N332" s="30">
        <x:f>IF(F332="2","",COUNTIF($F$3:$F332,"=1"))</x:f>
        <x:v>293</x:v>
      </x:c>
      <x:c r="O332" s="30">
        <x:f t="shared" si="33"/>
        <x:v>5</x:v>
      </x:c>
      <x:c r="P332" s="30">
        <x:f t="shared" si="35"/>
        <x:v>8</x:v>
      </x:c>
      <x:c r="Q332" s="30">
        <x:f>COUNTIF($P$3:P332,"=3")</x:f>
        <x:v>37</x:v>
      </x:c>
      <x:c r="R332" s="29">
        <x:f>WORKDAY(기본입력!$H$2,Q332-1,공휴일)</x:f>
        <x:v>45979</x:v>
      </x:c>
    </x:row>
    <x:row r="333" spans="1:18">
      <x:c r="A333" s="144" t="str">
        <x:f t="shared" si="34"/>
        <x:v>20251118</x:v>
      </x:c>
      <x:c r="B333" s="6" t="s">
        <x:v>5</x:v>
      </x:c>
      <x:c r="C333" s="6">
        <x:v>1740</x:v>
      </x:c>
      <x:c r="D333" s="5" t="s">
        <x:v>1</x:v>
      </x:c>
      <x:c r="E333" s="6">
        <x:v>1440</x:v>
      </x:c>
      <x:c r="F333" s="6" t="s">
        <x:v>40</x:v>
      </x:c>
      <x:c r="G333" s="14" t="str">
        <x:f>IF(OR(N333="",N333&gt;기본입력!$C$34),"",VLOOKUP(O333,기본입력!$A$9:$F$33,5))</x:f>
        <x:v>양현수_53778</x:v>
      </x:c>
      <x:c r="H333" s="14" t="str">
        <x:f>IF(OR(N333="",N333&gt;기본입력!$C$34),"",기본입력!$C$6)</x:f>
        <x:v>1교육실(실습겸용강의실)_243089</x:v>
      </x:c>
      <x:c r="I333" s="14" t="str">
        <x:f>IF(OR(O333="",N333&gt;기본입력!$C$34),"",VLOOKUP(O333,기본입력!$A$9:$F$33,6,FALSE))</x:f>
        <x:v>인공지능 프로그래밍__2</x:v>
      </x:c>
      <x:c r="J333" s="38" t="str">
        <x:f t="shared" si="30"/>
        <x:v>인공지능 프로그래밍</x:v>
      </x:c>
      <x:c r="K333" s="38" t="str">
        <x:f t="shared" si="31"/>
        <x:v>1교육실(실습겸용강의실)</x:v>
      </x:c>
      <x:c r="L333" s="38" t="str">
        <x:f t="shared" si="32"/>
        <x:v>양현수</x:v>
      </x:c>
      <x:c r="M333" s="63"/>
      <x:c r="N333" s="30">
        <x:f>IF(F333="2","",COUNTIF($F$3:$F333,"=1"))</x:f>
        <x:v>294</x:v>
      </x:c>
      <x:c r="O333" s="30">
        <x:f t="shared" si="33"/>
        <x:v>5</x:v>
      </x:c>
      <x:c r="P333" s="30">
        <x:f t="shared" si="35"/>
        <x:v>0</x:v>
      </x:c>
      <x:c r="Q333" s="30">
        <x:f>COUNTIF($P$3:P333,"=3")</x:f>
        <x:v>37</x:v>
      </x:c>
      <x:c r="R333" s="29">
        <x:f>WORKDAY(기본입력!$H$2,Q333-1,공휴일)</x:f>
        <x:v>45979</x:v>
      </x:c>
    </x:row>
    <x:row r="334" spans="1:18">
      <x:c r="A334" s="144" t="str">
        <x:f t="shared" si="34"/>
        <x:v>20251118</x:v>
      </x:c>
      <x:c r="B334" s="6" t="s">
        <x:v>5</x:v>
      </x:c>
      <x:c r="C334" s="6">
        <x:v>1740</x:v>
      </x:c>
      <x:c r="D334" s="5" t="s">
        <x:v>1</x:v>
      </x:c>
      <x:c r="E334" s="6">
        <x:v>1540</x:v>
      </x:c>
      <x:c r="F334" s="6" t="s">
        <x:v>40</x:v>
      </x:c>
      <x:c r="G334" s="14" t="str">
        <x:f>IF(OR(N334="",N334&gt;기본입력!$C$34),"",VLOOKUP(O334,기본입력!$A$9:$F$33,5))</x:f>
        <x:v>양현수_53778</x:v>
      </x:c>
      <x:c r="H334" s="14" t="str">
        <x:f>IF(OR(N334="",N334&gt;기본입력!$C$34),"",기본입력!$C$6)</x:f>
        <x:v>1교육실(실습겸용강의실)_243089</x:v>
      </x:c>
      <x:c r="I334" s="14" t="str">
        <x:f>IF(OR(O334="",N334&gt;기본입력!$C$34),"",VLOOKUP(O334,기본입력!$A$9:$F$33,6,FALSE))</x:f>
        <x:v>인공지능 프로그래밍__2</x:v>
      </x:c>
      <x:c r="J334" s="38" t="str">
        <x:f t="shared" si="30"/>
        <x:v>인공지능 프로그래밍</x:v>
      </x:c>
      <x:c r="K334" s="38" t="str">
        <x:f t="shared" si="31"/>
        <x:v>1교육실(실습겸용강의실)</x:v>
      </x:c>
      <x:c r="L334" s="38" t="str">
        <x:f t="shared" si="32"/>
        <x:v>양현수</x:v>
      </x:c>
      <x:c r="M334" s="63"/>
      <x:c r="N334" s="30">
        <x:f>IF(F334="2","",COUNTIF($F$3:$F334,"=1"))</x:f>
        <x:v>295</x:v>
      </x:c>
      <x:c r="O334" s="30">
        <x:f t="shared" si="33"/>
        <x:v>5</x:v>
      </x:c>
      <x:c r="P334" s="30">
        <x:f t="shared" si="35"/>
        <x:v>1</x:v>
      </x:c>
      <x:c r="Q334" s="30">
        <x:f>COUNTIF($P$3:P334,"=3")</x:f>
        <x:v>37</x:v>
      </x:c>
      <x:c r="R334" s="29">
        <x:f>WORKDAY(기본입력!$H$2,Q334-1,공휴일)</x:f>
        <x:v>45979</x:v>
      </x:c>
    </x:row>
    <x:row r="335" spans="1:18">
      <x:c r="A335" s="144" t="str">
        <x:f t="shared" si="34"/>
        <x:v>20251118</x:v>
      </x:c>
      <x:c r="B335" s="6" t="s">
        <x:v>5</x:v>
      </x:c>
      <x:c r="C335" s="6">
        <x:v>1740</x:v>
      </x:c>
      <x:c r="D335" s="5" t="s">
        <x:v>1</x:v>
      </x:c>
      <x:c r="E335" s="6">
        <x:v>1640</x:v>
      </x:c>
      <x:c r="F335" s="6" t="s">
        <x:v>40</x:v>
      </x:c>
      <x:c r="G335" s="14" t="str">
        <x:f>IF(OR(N335="",N335&gt;기본입력!$C$34),"",VLOOKUP(O335,기본입력!$A$9:$F$33,5))</x:f>
        <x:v>양현수_53778</x:v>
      </x:c>
      <x:c r="H335" s="14" t="str">
        <x:f>IF(OR(N335="",N335&gt;기본입력!$C$34),"",기본입력!$C$6)</x:f>
        <x:v>1교육실(실습겸용강의실)_243089</x:v>
      </x:c>
      <x:c r="I335" s="14" t="str">
        <x:f>IF(OR(O335="",N335&gt;기본입력!$C$34),"",VLOOKUP(O335,기본입력!$A$9:$F$33,6,FALSE))</x:f>
        <x:v>인공지능 프로그래밍__2</x:v>
      </x:c>
      <x:c r="J335" s="38" t="str">
        <x:f t="shared" si="30"/>
        <x:v>인공지능 프로그래밍</x:v>
      </x:c>
      <x:c r="K335" s="38" t="str">
        <x:f t="shared" si="31"/>
        <x:v>1교육실(실습겸용강의실)</x:v>
      </x:c>
      <x:c r="L335" s="38" t="str">
        <x:f t="shared" si="32"/>
        <x:v>양현수</x:v>
      </x:c>
      <x:c r="M335" s="63"/>
      <x:c r="N335" s="30">
        <x:f>IF(F335="2","",COUNTIF($F$3:$F335,"=1"))</x:f>
        <x:v>296</x:v>
      </x:c>
      <x:c r="O335" s="30">
        <x:f t="shared" si="33"/>
        <x:v>5</x:v>
      </x:c>
      <x:c r="P335" s="30">
        <x:f t="shared" si="35"/>
        <x:v>2</x:v>
      </x:c>
      <x:c r="Q335" s="30">
        <x:f>COUNTIF($P$3:P335,"=3")</x:f>
        <x:v>37</x:v>
      </x:c>
      <x:c r="R335" s="29">
        <x:f>WORKDAY(기본입력!$H$2,Q335-1,공휴일)</x:f>
        <x:v>45979</x:v>
      </x:c>
    </x:row>
    <x:row r="336" spans="1:18">
      <x:c r="A336" s="145" t="str">
        <x:f t="shared" si="34"/>
        <x:v>20251119</x:v>
      </x:c>
      <x:c r="B336" s="8" t="s">
        <x:v>5</x:v>
      </x:c>
      <x:c r="C336" s="8">
        <x:v>1740</x:v>
      </x:c>
      <x:c r="D336" s="7" t="s">
        <x:v>1</x:v>
      </x:c>
      <x:c r="E336" s="8" t="s">
        <x:v>5</x:v>
      </x:c>
      <x:c r="F336" s="8" t="s">
        <x:v>40</x:v>
      </x:c>
      <x:c r="G336" s="15" t="str">
        <x:f>IF(OR(N336="",N336&gt;기본입력!$C$34),"",VLOOKUP(O336,기본입력!$A$9:$F$33,5))</x:f>
        <x:v>양현수_53778</x:v>
      </x:c>
      <x:c r="H336" s="15" t="str">
        <x:f>IF(OR(N336="",N336&gt;기본입력!$C$34),"",기본입력!$C$6)</x:f>
        <x:v>1교육실(실습겸용강의실)_243089</x:v>
      </x:c>
      <x:c r="I336" s="15" t="str">
        <x:f>IF(OR(O336="",N336&gt;기본입력!$C$34),"",VLOOKUP(O336,기본입력!$A$9:$F$33,6,FALSE))</x:f>
        <x:v>인공지능 프로그래밍__2</x:v>
      </x:c>
      <x:c r="J336" s="38" t="str">
        <x:f t="shared" si="30"/>
        <x:v>인공지능 프로그래밍</x:v>
      </x:c>
      <x:c r="K336" s="38" t="str">
        <x:f t="shared" si="31"/>
        <x:v>1교육실(실습겸용강의실)</x:v>
      </x:c>
      <x:c r="L336" s="38" t="str">
        <x:f t="shared" si="32"/>
        <x:v>양현수</x:v>
      </x:c>
      <x:c r="M336" s="63"/>
      <x:c r="N336" s="30">
        <x:f>IF(F336="2","",COUNTIF($F$3:$F336,"=1"))</x:f>
        <x:v>297</x:v>
      </x:c>
      <x:c r="O336" s="30">
        <x:f t="shared" si="33"/>
        <x:v>5</x:v>
      </x:c>
      <x:c r="P336" s="30">
        <x:f t="shared" si="35"/>
        <x:v>3</x:v>
      </x:c>
      <x:c r="Q336" s="30">
        <x:f>COUNTIF($P$3:P336,"=3")</x:f>
        <x:v>38</x:v>
      </x:c>
      <x:c r="R336" s="29">
        <x:f>WORKDAY(기본입력!$H$2,Q336-1,공휴일)</x:f>
        <x:v>45980</x:v>
      </x:c>
    </x:row>
    <x:row r="337" spans="1:18">
      <x:c r="A337" s="145" t="str">
        <x:f t="shared" si="34"/>
        <x:v>20251119</x:v>
      </x:c>
      <x:c r="B337" s="8" t="s">
        <x:v>5</x:v>
      </x:c>
      <x:c r="C337" s="8">
        <x:v>1740</x:v>
      </x:c>
      <x:c r="D337" s="7" t="s">
        <x:v>1</x:v>
      </x:c>
      <x:c r="E337" s="8" t="s">
        <x:v>117</x:v>
      </x:c>
      <x:c r="F337" s="8" t="s">
        <x:v>40</x:v>
      </x:c>
      <x:c r="G337" s="15" t="str">
        <x:f>IF(OR(N337="",N337&gt;기본입력!$C$34),"",VLOOKUP(O337,기본입력!$A$9:$F$33,5))</x:f>
        <x:v>양현수_53778</x:v>
      </x:c>
      <x:c r="H337" s="15" t="str">
        <x:f>IF(OR(N337="",N337&gt;기본입력!$C$34),"",기본입력!$C$6)</x:f>
        <x:v>1교육실(실습겸용강의실)_243089</x:v>
      </x:c>
      <x:c r="I337" s="15" t="str">
        <x:f>IF(OR(O337="",N337&gt;기본입력!$C$34),"",VLOOKUP(O337,기본입력!$A$9:$F$33,6,FALSE))</x:f>
        <x:v>인공지능 프로그래밍__2</x:v>
      </x:c>
      <x:c r="J337" s="38" t="str">
        <x:f t="shared" si="30"/>
        <x:v>인공지능 프로그래밍</x:v>
      </x:c>
      <x:c r="K337" s="38" t="str">
        <x:f t="shared" si="31"/>
        <x:v>1교육실(실습겸용강의실)</x:v>
      </x:c>
      <x:c r="L337" s="38" t="str">
        <x:f t="shared" si="32"/>
        <x:v>양현수</x:v>
      </x:c>
      <x:c r="M337" s="63"/>
      <x:c r="N337" s="30">
        <x:f>IF(F337="2","",COUNTIF($F$3:$F337,"=1"))</x:f>
        <x:v>298</x:v>
      </x:c>
      <x:c r="O337" s="30">
        <x:f t="shared" si="33"/>
        <x:v>5</x:v>
      </x:c>
      <x:c r="P337" s="30">
        <x:f t="shared" si="35"/>
        <x:v>4</x:v>
      </x:c>
      <x:c r="Q337" s="30">
        <x:f>COUNTIF($P$3:P337,"=3")</x:f>
        <x:v>38</x:v>
      </x:c>
      <x:c r="R337" s="29">
        <x:f>WORKDAY(기본입력!$H$2,Q337-1,공휴일)</x:f>
        <x:v>45980</x:v>
      </x:c>
    </x:row>
    <x:row r="338" spans="1:18">
      <x:c r="A338" s="145" t="str">
        <x:f t="shared" si="34"/>
        <x:v>20251119</x:v>
      </x:c>
      <x:c r="B338" s="8" t="s">
        <x:v>5</x:v>
      </x:c>
      <x:c r="C338" s="8">
        <x:v>1740</x:v>
      </x:c>
      <x:c r="D338" s="7" t="s">
        <x:v>1</x:v>
      </x:c>
      <x:c r="E338" s="8" t="s">
        <x:v>87</x:v>
      </x:c>
      <x:c r="F338" s="8" t="s">
        <x:v>40</x:v>
      </x:c>
      <x:c r="G338" s="15" t="str">
        <x:f>IF(OR(N338="",N338&gt;기본입력!$C$34),"",VLOOKUP(O338,기본입력!$A$9:$F$33,5))</x:f>
        <x:v>양현수_53778</x:v>
      </x:c>
      <x:c r="H338" s="15" t="str">
        <x:f>IF(OR(N338="",N338&gt;기본입력!$C$34),"",기본입력!$C$6)</x:f>
        <x:v>1교육실(실습겸용강의실)_243089</x:v>
      </x:c>
      <x:c r="I338" s="15" t="str">
        <x:f>IF(OR(O338="",N338&gt;기본입력!$C$34),"",VLOOKUP(O338,기본입력!$A$9:$F$33,6,FALSE))</x:f>
        <x:v>인공지능 프로그래밍__2</x:v>
      </x:c>
      <x:c r="J338" s="38" t="str">
        <x:f t="shared" si="30"/>
        <x:v>인공지능 프로그래밍</x:v>
      </x:c>
      <x:c r="K338" s="38" t="str">
        <x:f t="shared" si="31"/>
        <x:v>1교육실(실습겸용강의실)</x:v>
      </x:c>
      <x:c r="L338" s="38" t="str">
        <x:f t="shared" si="32"/>
        <x:v>양현수</x:v>
      </x:c>
      <x:c r="M338" s="63"/>
      <x:c r="N338" s="30">
        <x:f>IF(F338="2","",COUNTIF($F$3:$F338,"=1"))</x:f>
        <x:v>299</x:v>
      </x:c>
      <x:c r="O338" s="30">
        <x:f t="shared" si="33"/>
        <x:v>5</x:v>
      </x:c>
      <x:c r="P338" s="30">
        <x:f t="shared" si="35"/>
        <x:v>5</x:v>
      </x:c>
      <x:c r="Q338" s="30">
        <x:f>COUNTIF($P$3:P338,"=3")</x:f>
        <x:v>38</x:v>
      </x:c>
      <x:c r="R338" s="29">
        <x:f>WORKDAY(기본입력!$H$2,Q338-1,공휴일)</x:f>
        <x:v>45980</x:v>
      </x:c>
    </x:row>
    <x:row r="339" spans="1:18">
      <x:c r="A339" s="145" t="str">
        <x:f t="shared" si="34"/>
        <x:v>20251119</x:v>
      </x:c>
      <x:c r="B339" s="8" t="s">
        <x:v>5</x:v>
      </x:c>
      <x:c r="C339" s="8">
        <x:v>1740</x:v>
      </x:c>
      <x:c r="D339" s="7" t="s">
        <x:v>1</x:v>
      </x:c>
      <x:c r="E339" s="8" t="s">
        <x:v>88</x:v>
      </x:c>
      <x:c r="F339" s="8" t="s">
        <x:v>40</x:v>
      </x:c>
      <x:c r="G339" s="15" t="str">
        <x:f>IF(OR(N339="",N339&gt;기본입력!$C$34),"",VLOOKUP(O339,기본입력!$A$9:$F$33,5))</x:f>
        <x:v>양현수_53778</x:v>
      </x:c>
      <x:c r="H339" s="15" t="str">
        <x:f>IF(OR(N339="",N339&gt;기본입력!$C$34),"",기본입력!$C$6)</x:f>
        <x:v>1교육실(실습겸용강의실)_243089</x:v>
      </x:c>
      <x:c r="I339" s="15" t="str">
        <x:f>IF(OR(O339="",N339&gt;기본입력!$C$34),"",VLOOKUP(O339,기본입력!$A$9:$F$33,6,FALSE))</x:f>
        <x:v>인공지능 프로그래밍__2</x:v>
      </x:c>
      <x:c r="J339" s="38" t="str">
        <x:f t="shared" si="30"/>
        <x:v>인공지능 프로그래밍</x:v>
      </x:c>
      <x:c r="K339" s="38" t="str">
        <x:f t="shared" si="31"/>
        <x:v>1교육실(실습겸용강의실)</x:v>
      </x:c>
      <x:c r="L339" s="38" t="str">
        <x:f t="shared" si="32"/>
        <x:v>양현수</x:v>
      </x:c>
      <x:c r="M339" s="63"/>
      <x:c r="N339" s="30">
        <x:f>IF(F339="2","",COUNTIF($F$3:$F339,"=1"))</x:f>
        <x:v>300</x:v>
      </x:c>
      <x:c r="O339" s="30">
        <x:f t="shared" si="33"/>
        <x:v>5</x:v>
      </x:c>
      <x:c r="P339" s="30">
        <x:f t="shared" si="35"/>
        <x:v>6</x:v>
      </x:c>
      <x:c r="Q339" s="30">
        <x:f>COUNTIF($P$3:P339,"=3")</x:f>
        <x:v>38</x:v>
      </x:c>
      <x:c r="R339" s="29">
        <x:f>WORKDAY(기본입력!$H$2,Q339-1,공휴일)</x:f>
        <x:v>45980</x:v>
      </x:c>
    </x:row>
    <x:row r="340" spans="1:18">
      <x:c r="A340" s="145" t="str">
        <x:f t="shared" si="34"/>
        <x:v>20251119</x:v>
      </x:c>
      <x:c r="B340" s="8" t="s">
        <x:v>5</x:v>
      </x:c>
      <x:c r="C340" s="8">
        <x:v>1740</x:v>
      </x:c>
      <x:c r="D340" s="7" t="s">
        <x:v>1</x:v>
      </x:c>
      <x:c r="E340" s="8" t="s">
        <x:v>0</x:v>
      </x:c>
      <x:c r="F340" s="8" t="s">
        <x:v>41</x:v>
      </x:c>
      <x:c r="G340" s="15" t="str">
        <x:f>IF(OR(N340="",N340&gt;기본입력!$C$34),"",VLOOKUP(O340,기본입력!$A$9:$F$33,5))</x:f>
        <x:v/>
      </x:c>
      <x:c r="H340" s="15" t="str">
        <x:f>IF(OR(N340="",N340&gt;기본입력!$C$34),"",기본입력!$C$6)</x:f>
        <x:v/>
      </x:c>
      <x:c r="I340" s="15" t="str">
        <x:f>IF(OR(O340="",N340&gt;기본입력!$C$34),"",VLOOKUP(O340,기본입력!$A$9:$F$33,6,FALSE))</x:f>
        <x:v/>
      </x:c>
      <x:c r="J340" s="38" t="str">
        <x:f t="shared" si="30"/>
        <x:v/>
      </x:c>
      <x:c r="K340" s="38" t="str">
        <x:f t="shared" si="31"/>
        <x:v/>
      </x:c>
      <x:c r="L340" s="38" t="str">
        <x:f t="shared" si="32"/>
        <x:v/>
      </x:c>
      <x:c r="M340" s="63"/>
      <x:c r="N340" s="30" t="str">
        <x:f>IF(F340="2","",COUNTIF($F$3:$F340,"=1"))</x:f>
        <x:v/>
      </x:c>
      <x:c r="O340" s="30" t="str">
        <x:f t="shared" si="33"/>
        <x:v/>
      </x:c>
      <x:c r="P340" s="30">
        <x:f t="shared" si="35"/>
        <x:v>7</x:v>
      </x:c>
      <x:c r="Q340" s="30">
        <x:f>COUNTIF($P$3:P340,"=3")</x:f>
        <x:v>38</x:v>
      </x:c>
      <x:c r="R340" s="29">
        <x:f>WORKDAY(기본입력!$H$2,Q340-1,공휴일)</x:f>
        <x:v>45980</x:v>
      </x:c>
    </x:row>
    <x:row r="341" spans="1:18">
      <x:c r="A341" s="145" t="str">
        <x:f t="shared" si="34"/>
        <x:v>20251119</x:v>
      </x:c>
      <x:c r="B341" s="8" t="s">
        <x:v>5</x:v>
      </x:c>
      <x:c r="C341" s="8">
        <x:v>1740</x:v>
      </x:c>
      <x:c r="D341" s="7" t="s">
        <x:v>1</x:v>
      </x:c>
      <x:c r="E341" s="8">
        <x:v>1340</x:v>
      </x:c>
      <x:c r="F341" s="8" t="s">
        <x:v>40</x:v>
      </x:c>
      <x:c r="G341" s="15" t="str">
        <x:f>IF(OR(N341="",N341&gt;기본입력!$C$34),"",VLOOKUP(O341,기본입력!$A$9:$F$33,5))</x:f>
        <x:v>양현수_53778</x:v>
      </x:c>
      <x:c r="H341" s="15" t="str">
        <x:f>IF(OR(N341="",N341&gt;기본입력!$C$34),"",기본입력!$C$6)</x:f>
        <x:v>1교육실(실습겸용강의실)_243089</x:v>
      </x:c>
      <x:c r="I341" s="15" t="str">
        <x:f>IF(OR(O341="",N341&gt;기본입력!$C$34),"",VLOOKUP(O341,기본입력!$A$9:$F$33,6,FALSE))</x:f>
        <x:v>인공지능 프로그래밍__2</x:v>
      </x:c>
      <x:c r="J341" s="38" t="str">
        <x:f t="shared" si="30"/>
        <x:v>인공지능 프로그래밍</x:v>
      </x:c>
      <x:c r="K341" s="38" t="str">
        <x:f t="shared" si="31"/>
        <x:v>1교육실(실습겸용강의실)</x:v>
      </x:c>
      <x:c r="L341" s="38" t="str">
        <x:f t="shared" si="32"/>
        <x:v>양현수</x:v>
      </x:c>
      <x:c r="M341" s="63"/>
      <x:c r="N341" s="30">
        <x:f>IF(F341="2","",COUNTIF($F$3:$F341,"=1"))</x:f>
        <x:v>301</x:v>
      </x:c>
      <x:c r="O341" s="30">
        <x:f t="shared" si="33"/>
        <x:v>5</x:v>
      </x:c>
      <x:c r="P341" s="30">
        <x:f t="shared" si="35"/>
        <x:v>8</x:v>
      </x:c>
      <x:c r="Q341" s="30">
        <x:f>COUNTIF($P$3:P341,"=3")</x:f>
        <x:v>38</x:v>
      </x:c>
      <x:c r="R341" s="29">
        <x:f>WORKDAY(기본입력!$H$2,Q341-1,공휴일)</x:f>
        <x:v>45980</x:v>
      </x:c>
    </x:row>
    <x:row r="342" spans="1:18">
      <x:c r="A342" s="145" t="str">
        <x:f t="shared" si="34"/>
        <x:v>20251119</x:v>
      </x:c>
      <x:c r="B342" s="8" t="s">
        <x:v>5</x:v>
      </x:c>
      <x:c r="C342" s="8">
        <x:v>1740</x:v>
      </x:c>
      <x:c r="D342" s="7" t="s">
        <x:v>1</x:v>
      </x:c>
      <x:c r="E342" s="8">
        <x:v>1440</x:v>
      </x:c>
      <x:c r="F342" s="8" t="s">
        <x:v>40</x:v>
      </x:c>
      <x:c r="G342" s="15" t="str">
        <x:f>IF(OR(N342="",N342&gt;기본입력!$C$34),"",VLOOKUP(O342,기본입력!$A$9:$F$33,5))</x:f>
        <x:v>양현수_53778</x:v>
      </x:c>
      <x:c r="H342" s="15" t="str">
        <x:f>IF(OR(N342="",N342&gt;기본입력!$C$34),"",기본입력!$C$6)</x:f>
        <x:v>1교육실(실습겸용강의실)_243089</x:v>
      </x:c>
      <x:c r="I342" s="15" t="str">
        <x:f>IF(OR(O342="",N342&gt;기본입력!$C$34),"",VLOOKUP(O342,기본입력!$A$9:$F$33,6,FALSE))</x:f>
        <x:v>인공지능 프로그래밍__2</x:v>
      </x:c>
      <x:c r="J342" s="38" t="str">
        <x:f t="shared" si="30"/>
        <x:v>인공지능 프로그래밍</x:v>
      </x:c>
      <x:c r="K342" s="38" t="str">
        <x:f t="shared" si="31"/>
        <x:v>1교육실(실습겸용강의실)</x:v>
      </x:c>
      <x:c r="L342" s="38" t="str">
        <x:f t="shared" si="32"/>
        <x:v>양현수</x:v>
      </x:c>
      <x:c r="M342" s="63"/>
      <x:c r="N342" s="30">
        <x:f>IF(F342="2","",COUNTIF($F$3:$F342,"=1"))</x:f>
        <x:v>302</x:v>
      </x:c>
      <x:c r="O342" s="30">
        <x:f t="shared" si="33"/>
        <x:v>5</x:v>
      </x:c>
      <x:c r="P342" s="30">
        <x:f t="shared" si="35"/>
        <x:v>0</x:v>
      </x:c>
      <x:c r="Q342" s="30">
        <x:f>COUNTIF($P$3:P342,"=3")</x:f>
        <x:v>38</x:v>
      </x:c>
      <x:c r="R342" s="29">
        <x:f>WORKDAY(기본입력!$H$2,Q342-1,공휴일)</x:f>
        <x:v>45980</x:v>
      </x:c>
    </x:row>
    <x:row r="343" spans="1:18">
      <x:c r="A343" s="145" t="str">
        <x:f t="shared" si="34"/>
        <x:v>20251119</x:v>
      </x:c>
      <x:c r="B343" s="8" t="s">
        <x:v>5</x:v>
      </x:c>
      <x:c r="C343" s="8">
        <x:v>1740</x:v>
      </x:c>
      <x:c r="D343" s="7" t="s">
        <x:v>1</x:v>
      </x:c>
      <x:c r="E343" s="8">
        <x:v>1540</x:v>
      </x:c>
      <x:c r="F343" s="8" t="s">
        <x:v>40</x:v>
      </x:c>
      <x:c r="G343" s="15" t="str">
        <x:f>IF(OR(N343="",N343&gt;기본입력!$C$34),"",VLOOKUP(O343,기본입력!$A$9:$F$33,5))</x:f>
        <x:v>양현수_53778</x:v>
      </x:c>
      <x:c r="H343" s="15" t="str">
        <x:f>IF(OR(N343="",N343&gt;기본입력!$C$34),"",기본입력!$C$6)</x:f>
        <x:v>1교육실(실습겸용강의실)_243089</x:v>
      </x:c>
      <x:c r="I343" s="15" t="str">
        <x:f>IF(OR(O343="",N343&gt;기본입력!$C$34),"",VLOOKUP(O343,기본입력!$A$9:$F$33,6,FALSE))</x:f>
        <x:v>인공지능 프로그래밍__2</x:v>
      </x:c>
      <x:c r="J343" s="38" t="str">
        <x:f t="shared" si="30"/>
        <x:v>인공지능 프로그래밍</x:v>
      </x:c>
      <x:c r="K343" s="38" t="str">
        <x:f t="shared" si="31"/>
        <x:v>1교육실(실습겸용강의실)</x:v>
      </x:c>
      <x:c r="L343" s="38" t="str">
        <x:f t="shared" si="32"/>
        <x:v>양현수</x:v>
      </x:c>
      <x:c r="M343" s="63"/>
      <x:c r="N343" s="30">
        <x:f>IF(F343="2","",COUNTIF($F$3:$F343,"=1"))</x:f>
        <x:v>303</x:v>
      </x:c>
      <x:c r="O343" s="30">
        <x:f t="shared" si="33"/>
        <x:v>5</x:v>
      </x:c>
      <x:c r="P343" s="30">
        <x:f t="shared" si="35"/>
        <x:v>1</x:v>
      </x:c>
      <x:c r="Q343" s="30">
        <x:f>COUNTIF($P$3:P343,"=3")</x:f>
        <x:v>38</x:v>
      </x:c>
      <x:c r="R343" s="29">
        <x:f>WORKDAY(기본입력!$H$2,Q343-1,공휴일)</x:f>
        <x:v>45980</x:v>
      </x:c>
    </x:row>
    <x:row r="344" spans="1:18">
      <x:c r="A344" s="145" t="str">
        <x:f t="shared" si="34"/>
        <x:v>20251119</x:v>
      </x:c>
      <x:c r="B344" s="8" t="s">
        <x:v>5</x:v>
      </x:c>
      <x:c r="C344" s="8">
        <x:v>1740</x:v>
      </x:c>
      <x:c r="D344" s="7" t="s">
        <x:v>1</x:v>
      </x:c>
      <x:c r="E344" s="8">
        <x:v>1640</x:v>
      </x:c>
      <x:c r="F344" s="8" t="s">
        <x:v>40</x:v>
      </x:c>
      <x:c r="G344" s="15" t="str">
        <x:f>IF(OR(N344="",N344&gt;기본입력!$C$34),"",VLOOKUP(O344,기본입력!$A$9:$F$33,5))</x:f>
        <x:v>양현수_53778</x:v>
      </x:c>
      <x:c r="H344" s="15" t="str">
        <x:f>IF(OR(N344="",N344&gt;기본입력!$C$34),"",기본입력!$C$6)</x:f>
        <x:v>1교육실(실습겸용강의실)_243089</x:v>
      </x:c>
      <x:c r="I344" s="15" t="str">
        <x:f>IF(OR(O344="",N344&gt;기본입력!$C$34),"",VLOOKUP(O344,기본입력!$A$9:$F$33,6,FALSE))</x:f>
        <x:v>인공지능 프로그래밍__2</x:v>
      </x:c>
      <x:c r="J344" s="38" t="str">
        <x:f t="shared" si="30"/>
        <x:v>인공지능 프로그래밍</x:v>
      </x:c>
      <x:c r="K344" s="38" t="str">
        <x:f t="shared" si="31"/>
        <x:v>1교육실(실습겸용강의실)</x:v>
      </x:c>
      <x:c r="L344" s="38" t="str">
        <x:f t="shared" si="32"/>
        <x:v>양현수</x:v>
      </x:c>
      <x:c r="M344" s="63"/>
      <x:c r="N344" s="30">
        <x:f>IF(F344="2","",COUNTIF($F$3:$F344,"=1"))</x:f>
        <x:v>304</x:v>
      </x:c>
      <x:c r="O344" s="30">
        <x:f t="shared" si="33"/>
        <x:v>5</x:v>
      </x:c>
      <x:c r="P344" s="30">
        <x:f t="shared" si="35"/>
        <x:v>2</x:v>
      </x:c>
      <x:c r="Q344" s="30">
        <x:f>COUNTIF($P$3:P344,"=3")</x:f>
        <x:v>38</x:v>
      </x:c>
      <x:c r="R344" s="29">
        <x:f>WORKDAY(기본입력!$H$2,Q344-1,공휴일)</x:f>
        <x:v>45980</x:v>
      </x:c>
    </x:row>
    <x:row r="345" spans="1:18">
      <x:c r="A345" s="144" t="str">
        <x:f t="shared" si="34"/>
        <x:v>20251120</x:v>
      </x:c>
      <x:c r="B345" s="6" t="s">
        <x:v>5</x:v>
      </x:c>
      <x:c r="C345" s="6">
        <x:v>1740</x:v>
      </x:c>
      <x:c r="D345" s="5" t="s">
        <x:v>1</x:v>
      </x:c>
      <x:c r="E345" s="6" t="s">
        <x:v>5</x:v>
      </x:c>
      <x:c r="F345" s="6" t="s">
        <x:v>40</x:v>
      </x:c>
      <x:c r="G345" s="14" t="str">
        <x:f>IF(OR(N345="",N345&gt;기본입력!$C$34),"",VLOOKUP(O345,기본입력!$A$9:$F$33,5))</x:f>
        <x:v>양현수_53778</x:v>
      </x:c>
      <x:c r="H345" s="14" t="str">
        <x:f>IF(OR(N345="",N345&gt;기본입력!$C$34),"",기본입력!$C$6)</x:f>
        <x:v>1교육실(실습겸용강의실)_243089</x:v>
      </x:c>
      <x:c r="I345" s="14" t="str">
        <x:f>IF(OR(O345="",N345&gt;기본입력!$C$34),"",VLOOKUP(O345,기본입력!$A$9:$F$33,6,FALSE))</x:f>
        <x:v>인공지능 프로그래밍__2</x:v>
      </x:c>
      <x:c r="J345" s="38" t="str">
        <x:f t="shared" si="30"/>
        <x:v>인공지능 프로그래밍</x:v>
      </x:c>
      <x:c r="K345" s="38" t="str">
        <x:f t="shared" si="31"/>
        <x:v>1교육실(실습겸용강의실)</x:v>
      </x:c>
      <x:c r="L345" s="38" t="str">
        <x:f t="shared" si="32"/>
        <x:v>양현수</x:v>
      </x:c>
      <x:c r="M345" s="63"/>
      <x:c r="N345" s="30">
        <x:f>IF(F345="2","",COUNTIF($F$3:$F345,"=1"))</x:f>
        <x:v>305</x:v>
      </x:c>
      <x:c r="O345" s="30">
        <x:f t="shared" si="33"/>
        <x:v>5</x:v>
      </x:c>
      <x:c r="P345" s="30">
        <x:f t="shared" si="35"/>
        <x:v>3</x:v>
      </x:c>
      <x:c r="Q345" s="30">
        <x:f>COUNTIF($P$3:P345,"=3")</x:f>
        <x:v>39</x:v>
      </x:c>
      <x:c r="R345" s="29">
        <x:f>WORKDAY(기본입력!$H$2,Q345-1,공휴일)</x:f>
        <x:v>45981</x:v>
      </x:c>
    </x:row>
    <x:row r="346" spans="1:18">
      <x:c r="A346" s="144" t="str">
        <x:f t="shared" si="34"/>
        <x:v>20251120</x:v>
      </x:c>
      <x:c r="B346" s="6" t="s">
        <x:v>5</x:v>
      </x:c>
      <x:c r="C346" s="6">
        <x:v>1740</x:v>
      </x:c>
      <x:c r="D346" s="5" t="s">
        <x:v>1</x:v>
      </x:c>
      <x:c r="E346" s="6" t="s">
        <x:v>117</x:v>
      </x:c>
      <x:c r="F346" s="6" t="s">
        <x:v>40</x:v>
      </x:c>
      <x:c r="G346" s="14" t="str">
        <x:f>IF(OR(N346="",N346&gt;기본입력!$C$34),"",VLOOKUP(O346,기본입력!$A$9:$F$33,5))</x:f>
        <x:v>양현수_53778</x:v>
      </x:c>
      <x:c r="H346" s="14" t="str">
        <x:f>IF(OR(N346="",N346&gt;기본입력!$C$34),"",기본입력!$C$6)</x:f>
        <x:v>1교육실(실습겸용강의실)_243089</x:v>
      </x:c>
      <x:c r="I346" s="14" t="str">
        <x:f>IF(OR(O346="",N346&gt;기본입력!$C$34),"",VLOOKUP(O346,기본입력!$A$9:$F$33,6,FALSE))</x:f>
        <x:v>인공지능 프로그래밍__2</x:v>
      </x:c>
      <x:c r="J346" s="38" t="str">
        <x:f t="shared" si="30"/>
        <x:v>인공지능 프로그래밍</x:v>
      </x:c>
      <x:c r="K346" s="38" t="str">
        <x:f t="shared" si="31"/>
        <x:v>1교육실(실습겸용강의실)</x:v>
      </x:c>
      <x:c r="L346" s="38" t="str">
        <x:f t="shared" si="32"/>
        <x:v>양현수</x:v>
      </x:c>
      <x:c r="M346" s="63"/>
      <x:c r="N346" s="30">
        <x:f>IF(F346="2","",COUNTIF($F$3:$F346,"=1"))</x:f>
        <x:v>306</x:v>
      </x:c>
      <x:c r="O346" s="30">
        <x:f t="shared" si="33"/>
        <x:v>5</x:v>
      </x:c>
      <x:c r="P346" s="30">
        <x:f t="shared" si="35"/>
        <x:v>4</x:v>
      </x:c>
      <x:c r="Q346" s="30">
        <x:f>COUNTIF($P$3:P346,"=3")</x:f>
        <x:v>39</x:v>
      </x:c>
      <x:c r="R346" s="29">
        <x:f>WORKDAY(기본입력!$H$2,Q346-1,공휴일)</x:f>
        <x:v>45981</x:v>
      </x:c>
    </x:row>
    <x:row r="347" spans="1:18">
      <x:c r="A347" s="144" t="str">
        <x:f t="shared" si="34"/>
        <x:v>20251120</x:v>
      </x:c>
      <x:c r="B347" s="6" t="s">
        <x:v>5</x:v>
      </x:c>
      <x:c r="C347" s="6">
        <x:v>1740</x:v>
      </x:c>
      <x:c r="D347" s="5" t="s">
        <x:v>1</x:v>
      </x:c>
      <x:c r="E347" s="6" t="s">
        <x:v>87</x:v>
      </x:c>
      <x:c r="F347" s="6" t="s">
        <x:v>40</x:v>
      </x:c>
      <x:c r="G347" s="14" t="str">
        <x:f>IF(OR(N347="",N347&gt;기본입력!$C$34),"",VLOOKUP(O347,기본입력!$A$9:$F$33,5))</x:f>
        <x:v>양현수_53778</x:v>
      </x:c>
      <x:c r="H347" s="14" t="str">
        <x:f>IF(OR(N347="",N347&gt;기본입력!$C$34),"",기본입력!$C$6)</x:f>
        <x:v>1교육실(실습겸용강의실)_243089</x:v>
      </x:c>
      <x:c r="I347" s="14" t="str">
        <x:f>IF(OR(O347="",N347&gt;기본입력!$C$34),"",VLOOKUP(O347,기본입력!$A$9:$F$33,6,FALSE))</x:f>
        <x:v>인공지능 프로그래밍__2</x:v>
      </x:c>
      <x:c r="J347" s="38" t="str">
        <x:f t="shared" si="30"/>
        <x:v>인공지능 프로그래밍</x:v>
      </x:c>
      <x:c r="K347" s="38" t="str">
        <x:f t="shared" si="31"/>
        <x:v>1교육실(실습겸용강의실)</x:v>
      </x:c>
      <x:c r="L347" s="38" t="str">
        <x:f t="shared" si="32"/>
        <x:v>양현수</x:v>
      </x:c>
      <x:c r="M347" s="63"/>
      <x:c r="N347" s="30">
        <x:f>IF(F347="2","",COUNTIF($F$3:$F347,"=1"))</x:f>
        <x:v>307</x:v>
      </x:c>
      <x:c r="O347" s="30">
        <x:f t="shared" si="33"/>
        <x:v>5</x:v>
      </x:c>
      <x:c r="P347" s="30">
        <x:f t="shared" si="35"/>
        <x:v>5</x:v>
      </x:c>
      <x:c r="Q347" s="30">
        <x:f>COUNTIF($P$3:P347,"=3")</x:f>
        <x:v>39</x:v>
      </x:c>
      <x:c r="R347" s="29">
        <x:f>WORKDAY(기본입력!$H$2,Q347-1,공휴일)</x:f>
        <x:v>45981</x:v>
      </x:c>
    </x:row>
    <x:row r="348" spans="1:18">
      <x:c r="A348" s="144" t="str">
        <x:f t="shared" si="34"/>
        <x:v>20251120</x:v>
      </x:c>
      <x:c r="B348" s="6" t="s">
        <x:v>5</x:v>
      </x:c>
      <x:c r="C348" s="6">
        <x:v>1740</x:v>
      </x:c>
      <x:c r="D348" s="5" t="s">
        <x:v>1</x:v>
      </x:c>
      <x:c r="E348" s="6" t="s">
        <x:v>88</x:v>
      </x:c>
      <x:c r="F348" s="6" t="s">
        <x:v>40</x:v>
      </x:c>
      <x:c r="G348" s="14" t="str">
        <x:f>IF(OR(N348="",N348&gt;기본입력!$C$34),"",VLOOKUP(O348,기본입력!$A$9:$F$33,5))</x:f>
        <x:v>양현수_53778</x:v>
      </x:c>
      <x:c r="H348" s="14" t="str">
        <x:f>IF(OR(N348="",N348&gt;기본입력!$C$34),"",기본입력!$C$6)</x:f>
        <x:v>1교육실(실습겸용강의실)_243089</x:v>
      </x:c>
      <x:c r="I348" s="14" t="str">
        <x:f>IF(OR(O348="",N348&gt;기본입력!$C$34),"",VLOOKUP(O348,기본입력!$A$9:$F$33,6,FALSE))</x:f>
        <x:v>인공지능 프로그래밍__2</x:v>
      </x:c>
      <x:c r="J348" s="38" t="str">
        <x:f t="shared" si="30"/>
        <x:v>인공지능 프로그래밍</x:v>
      </x:c>
      <x:c r="K348" s="38" t="str">
        <x:f t="shared" si="31"/>
        <x:v>1교육실(실습겸용강의실)</x:v>
      </x:c>
      <x:c r="L348" s="38" t="str">
        <x:f t="shared" si="32"/>
        <x:v>양현수</x:v>
      </x:c>
      <x:c r="M348" s="63"/>
      <x:c r="N348" s="30">
        <x:f>IF(F348="2","",COUNTIF($F$3:$F348,"=1"))</x:f>
        <x:v>308</x:v>
      </x:c>
      <x:c r="O348" s="30">
        <x:f t="shared" si="33"/>
        <x:v>5</x:v>
      </x:c>
      <x:c r="P348" s="30">
        <x:f t="shared" si="35"/>
        <x:v>6</x:v>
      </x:c>
      <x:c r="Q348" s="30">
        <x:f>COUNTIF($P$3:P348,"=3")</x:f>
        <x:v>39</x:v>
      </x:c>
      <x:c r="R348" s="29">
        <x:f>WORKDAY(기본입력!$H$2,Q348-1,공휴일)</x:f>
        <x:v>45981</x:v>
      </x:c>
    </x:row>
    <x:row r="349" spans="1:18">
      <x:c r="A349" s="144" t="str">
        <x:f t="shared" si="34"/>
        <x:v>20251120</x:v>
      </x:c>
      <x:c r="B349" s="6" t="s">
        <x:v>5</x:v>
      </x:c>
      <x:c r="C349" s="6">
        <x:v>1740</x:v>
      </x:c>
      <x:c r="D349" s="5" t="s">
        <x:v>1</x:v>
      </x:c>
      <x:c r="E349" s="6" t="s">
        <x:v>0</x:v>
      </x:c>
      <x:c r="F349" s="6" t="s">
        <x:v>41</x:v>
      </x:c>
      <x:c r="G349" s="14" t="str">
        <x:f>IF(OR(N349="",N349&gt;기본입력!$C$34),"",VLOOKUP(O349,기본입력!$A$9:$F$33,5))</x:f>
        <x:v/>
      </x:c>
      <x:c r="H349" s="14" t="str">
        <x:f>IF(OR(N349="",N349&gt;기본입력!$C$34),"",기본입력!$C$6)</x:f>
        <x:v/>
      </x:c>
      <x:c r="I349" s="14" t="str">
        <x:f>IF(OR(O349="",N349&gt;기본입력!$C$34),"",VLOOKUP(O349,기본입력!$A$9:$F$33,6,FALSE))</x:f>
        <x:v/>
      </x:c>
      <x:c r="J349" s="38" t="str">
        <x:f t="shared" si="30"/>
        <x:v/>
      </x:c>
      <x:c r="K349" s="38" t="str">
        <x:f t="shared" si="31"/>
        <x:v/>
      </x:c>
      <x:c r="L349" s="38" t="str">
        <x:f t="shared" si="32"/>
        <x:v/>
      </x:c>
      <x:c r="M349" s="63"/>
      <x:c r="N349" s="30" t="str">
        <x:f>IF(F349="2","",COUNTIF($F$3:$F349,"=1"))</x:f>
        <x:v/>
      </x:c>
      <x:c r="O349" s="30" t="str">
        <x:f t="shared" si="33"/>
        <x:v/>
      </x:c>
      <x:c r="P349" s="30">
        <x:f t="shared" si="35"/>
        <x:v>7</x:v>
      </x:c>
      <x:c r="Q349" s="30">
        <x:f>COUNTIF($P$3:P349,"=3")</x:f>
        <x:v>39</x:v>
      </x:c>
      <x:c r="R349" s="29">
        <x:f>WORKDAY(기본입력!$H$2,Q349-1,공휴일)</x:f>
        <x:v>45981</x:v>
      </x:c>
    </x:row>
    <x:row r="350" spans="1:18">
      <x:c r="A350" s="144" t="str">
        <x:f t="shared" si="34"/>
        <x:v>20251120</x:v>
      </x:c>
      <x:c r="B350" s="6" t="s">
        <x:v>5</x:v>
      </x:c>
      <x:c r="C350" s="6">
        <x:v>1740</x:v>
      </x:c>
      <x:c r="D350" s="5" t="s">
        <x:v>1</x:v>
      </x:c>
      <x:c r="E350" s="6">
        <x:v>1340</x:v>
      </x:c>
      <x:c r="F350" s="6" t="s">
        <x:v>40</x:v>
      </x:c>
      <x:c r="G350" s="14" t="str">
        <x:f>IF(OR(N350="",N350&gt;기본입력!$C$34),"",VLOOKUP(O350,기본입력!$A$9:$F$33,5))</x:f>
        <x:v>양현수_53778</x:v>
      </x:c>
      <x:c r="H350" s="14" t="str">
        <x:f>IF(OR(N350="",N350&gt;기본입력!$C$34),"",기본입력!$C$6)</x:f>
        <x:v>1교육실(실습겸용강의실)_243089</x:v>
      </x:c>
      <x:c r="I350" s="14" t="str">
        <x:f>IF(OR(O350="",N350&gt;기본입력!$C$34),"",VLOOKUP(O350,기본입력!$A$9:$F$33,6,FALSE))</x:f>
        <x:v>인공지능 프로그래밍__2</x:v>
      </x:c>
      <x:c r="J350" s="38" t="str">
        <x:f t="shared" si="30"/>
        <x:v>인공지능 프로그래밍</x:v>
      </x:c>
      <x:c r="K350" s="38" t="str">
        <x:f t="shared" si="31"/>
        <x:v>1교육실(실습겸용강의실)</x:v>
      </x:c>
      <x:c r="L350" s="38" t="str">
        <x:f t="shared" si="32"/>
        <x:v>양현수</x:v>
      </x:c>
      <x:c r="M350" s="63"/>
      <x:c r="N350" s="30">
        <x:f>IF(F350="2","",COUNTIF($F$3:$F350,"=1"))</x:f>
        <x:v>309</x:v>
      </x:c>
      <x:c r="O350" s="30">
        <x:f t="shared" si="33"/>
        <x:v>5</x:v>
      </x:c>
      <x:c r="P350" s="30">
        <x:f t="shared" si="35"/>
        <x:v>8</x:v>
      </x:c>
      <x:c r="Q350" s="30">
        <x:f>COUNTIF($P$3:P350,"=3")</x:f>
        <x:v>39</x:v>
      </x:c>
      <x:c r="R350" s="29">
        <x:f>WORKDAY(기본입력!$H$2,Q350-1,공휴일)</x:f>
        <x:v>45981</x:v>
      </x:c>
    </x:row>
    <x:row r="351" spans="1:18">
      <x:c r="A351" s="144" t="str">
        <x:f t="shared" si="34"/>
        <x:v>20251120</x:v>
      </x:c>
      <x:c r="B351" s="6" t="s">
        <x:v>5</x:v>
      </x:c>
      <x:c r="C351" s="6">
        <x:v>1740</x:v>
      </x:c>
      <x:c r="D351" s="5" t="s">
        <x:v>1</x:v>
      </x:c>
      <x:c r="E351" s="6">
        <x:v>1440</x:v>
      </x:c>
      <x:c r="F351" s="6" t="s">
        <x:v>40</x:v>
      </x:c>
      <x:c r="G351" s="14" t="str">
        <x:f>IF(OR(N351="",N351&gt;기본입력!$C$34),"",VLOOKUP(O351,기본입력!$A$9:$F$33,5))</x:f>
        <x:v>양현수_53778</x:v>
      </x:c>
      <x:c r="H351" s="14" t="str">
        <x:f>IF(OR(N351="",N351&gt;기본입력!$C$34),"",기본입력!$C$6)</x:f>
        <x:v>1교육실(실습겸용강의실)_243089</x:v>
      </x:c>
      <x:c r="I351" s="14" t="str">
        <x:f>IF(OR(O351="",N351&gt;기본입력!$C$34),"",VLOOKUP(O351,기본입력!$A$9:$F$33,6,FALSE))</x:f>
        <x:v>인공지능 프로그래밍__2</x:v>
      </x:c>
      <x:c r="J351" s="38" t="str">
        <x:f t="shared" si="30"/>
        <x:v>인공지능 프로그래밍</x:v>
      </x:c>
      <x:c r="K351" s="38" t="str">
        <x:f t="shared" si="31"/>
        <x:v>1교육실(실습겸용강의실)</x:v>
      </x:c>
      <x:c r="L351" s="38" t="str">
        <x:f t="shared" si="32"/>
        <x:v>양현수</x:v>
      </x:c>
      <x:c r="M351" s="63"/>
      <x:c r="N351" s="30">
        <x:f>IF(F351="2","",COUNTIF($F$3:$F351,"=1"))</x:f>
        <x:v>310</x:v>
      </x:c>
      <x:c r="O351" s="30">
        <x:f t="shared" si="33"/>
        <x:v>5</x:v>
      </x:c>
      <x:c r="P351" s="30">
        <x:f t="shared" si="35"/>
        <x:v>0</x:v>
      </x:c>
      <x:c r="Q351" s="30">
        <x:f>COUNTIF($P$3:P351,"=3")</x:f>
        <x:v>39</x:v>
      </x:c>
      <x:c r="R351" s="29">
        <x:f>WORKDAY(기본입력!$H$2,Q351-1,공휴일)</x:f>
        <x:v>45981</x:v>
      </x:c>
    </x:row>
    <x:row r="352" spans="1:18">
      <x:c r="A352" s="144" t="str">
        <x:f t="shared" si="34"/>
        <x:v>20251120</x:v>
      </x:c>
      <x:c r="B352" s="6" t="s">
        <x:v>5</x:v>
      </x:c>
      <x:c r="C352" s="6">
        <x:v>1740</x:v>
      </x:c>
      <x:c r="D352" s="5" t="s">
        <x:v>1</x:v>
      </x:c>
      <x:c r="E352" s="6">
        <x:v>1540</x:v>
      </x:c>
      <x:c r="F352" s="6" t="s">
        <x:v>40</x:v>
      </x:c>
      <x:c r="G352" s="14" t="str">
        <x:f>IF(OR(N352="",N352&gt;기본입력!$C$34),"",VLOOKUP(O352,기본입력!$A$9:$F$33,5))</x:f>
        <x:v>양현수_53778</x:v>
      </x:c>
      <x:c r="H352" s="14" t="str">
        <x:f>IF(OR(N352="",N352&gt;기본입력!$C$34),"",기본입력!$C$6)</x:f>
        <x:v>1교육실(실습겸용강의실)_243089</x:v>
      </x:c>
      <x:c r="I352" s="14" t="str">
        <x:f>IF(OR(O352="",N352&gt;기본입력!$C$34),"",VLOOKUP(O352,기본입력!$A$9:$F$33,6,FALSE))</x:f>
        <x:v>인공지능 프로그래밍__2</x:v>
      </x:c>
      <x:c r="J352" s="38" t="str">
        <x:f t="shared" si="30"/>
        <x:v>인공지능 프로그래밍</x:v>
      </x:c>
      <x:c r="K352" s="38" t="str">
        <x:f t="shared" si="31"/>
        <x:v>1교육실(실습겸용강의실)</x:v>
      </x:c>
      <x:c r="L352" s="38" t="str">
        <x:f t="shared" si="32"/>
        <x:v>양현수</x:v>
      </x:c>
      <x:c r="M352" s="63"/>
      <x:c r="N352" s="30">
        <x:f>IF(F352="2","",COUNTIF($F$3:$F352,"=1"))</x:f>
        <x:v>311</x:v>
      </x:c>
      <x:c r="O352" s="30">
        <x:f t="shared" si="33"/>
        <x:v>5</x:v>
      </x:c>
      <x:c r="P352" s="30">
        <x:f t="shared" si="35"/>
        <x:v>1</x:v>
      </x:c>
      <x:c r="Q352" s="30">
        <x:f>COUNTIF($P$3:P352,"=3")</x:f>
        <x:v>39</x:v>
      </x:c>
      <x:c r="R352" s="29">
        <x:f>WORKDAY(기본입력!$H$2,Q352-1,공휴일)</x:f>
        <x:v>45981</x:v>
      </x:c>
    </x:row>
    <x:row r="353" spans="1:18">
      <x:c r="A353" s="144" t="str">
        <x:f t="shared" si="34"/>
        <x:v>20251120</x:v>
      </x:c>
      <x:c r="B353" s="6" t="s">
        <x:v>5</x:v>
      </x:c>
      <x:c r="C353" s="6">
        <x:v>1740</x:v>
      </x:c>
      <x:c r="D353" s="5" t="s">
        <x:v>1</x:v>
      </x:c>
      <x:c r="E353" s="6">
        <x:v>1640</x:v>
      </x:c>
      <x:c r="F353" s="6" t="s">
        <x:v>40</x:v>
      </x:c>
      <x:c r="G353" s="14" t="str">
        <x:f>IF(OR(N353="",N353&gt;기본입력!$C$34),"",VLOOKUP(O353,기본입력!$A$9:$F$33,5))</x:f>
        <x:v>양현수_53778</x:v>
      </x:c>
      <x:c r="H353" s="14" t="str">
        <x:f>IF(OR(N353="",N353&gt;기본입력!$C$34),"",기본입력!$C$6)</x:f>
        <x:v>1교육실(실습겸용강의실)_243089</x:v>
      </x:c>
      <x:c r="I353" s="14" t="str">
        <x:f>IF(OR(O353="",N353&gt;기본입력!$C$34),"",VLOOKUP(O353,기본입력!$A$9:$F$33,6,FALSE))</x:f>
        <x:v>인공지능 프로그래밍__2</x:v>
      </x:c>
      <x:c r="J353" s="38" t="str">
        <x:f t="shared" si="30"/>
        <x:v>인공지능 프로그래밍</x:v>
      </x:c>
      <x:c r="K353" s="38" t="str">
        <x:f t="shared" si="31"/>
        <x:v>1교육실(실습겸용강의실)</x:v>
      </x:c>
      <x:c r="L353" s="38" t="str">
        <x:f t="shared" si="32"/>
        <x:v>양현수</x:v>
      </x:c>
      <x:c r="M353" s="63"/>
      <x:c r="N353" s="30">
        <x:f>IF(F353="2","",COUNTIF($F$3:$F353,"=1"))</x:f>
        <x:v>312</x:v>
      </x:c>
      <x:c r="O353" s="30">
        <x:f t="shared" si="33"/>
        <x:v>5</x:v>
      </x:c>
      <x:c r="P353" s="30">
        <x:f t="shared" si="35"/>
        <x:v>2</x:v>
      </x:c>
      <x:c r="Q353" s="30">
        <x:f>COUNTIF($P$3:P353,"=3")</x:f>
        <x:v>39</x:v>
      </x:c>
      <x:c r="R353" s="29">
        <x:f>WORKDAY(기본입력!$H$2,Q353-1,공휴일)</x:f>
        <x:v>45981</x:v>
      </x:c>
    </x:row>
    <x:row r="354" spans="1:18">
      <x:c r="A354" s="145" t="str">
        <x:f t="shared" si="34"/>
        <x:v>20251121</x:v>
      </x:c>
      <x:c r="B354" s="8" t="s">
        <x:v>5</x:v>
      </x:c>
      <x:c r="C354" s="8">
        <x:v>1740</x:v>
      </x:c>
      <x:c r="D354" s="7" t="s">
        <x:v>1</x:v>
      </x:c>
      <x:c r="E354" s="8" t="s">
        <x:v>5</x:v>
      </x:c>
      <x:c r="F354" s="8" t="s">
        <x:v>40</x:v>
      </x:c>
      <x:c r="G354" s="15" t="str">
        <x:f>IF(OR(N354="",N354&gt;기본입력!$C$34),"",VLOOKUP(O354,기본입력!$A$9:$F$33,5))</x:f>
        <x:v>양현수_53778</x:v>
      </x:c>
      <x:c r="H354" s="15" t="str">
        <x:f>IF(OR(N354="",N354&gt;기본입력!$C$34),"",기본입력!$C$6)</x:f>
        <x:v>1교육실(실습겸용강의실)_243089</x:v>
      </x:c>
      <x:c r="I354" s="15" t="str">
        <x:f>IF(OR(O354="",N354&gt;기본입력!$C$34),"",VLOOKUP(O354,기본입력!$A$9:$F$33,6,FALSE))</x:f>
        <x:v>인공지능 프로그래밍__2</x:v>
      </x:c>
      <x:c r="J354" s="38" t="str">
        <x:f t="shared" si="30"/>
        <x:v>인공지능 프로그래밍</x:v>
      </x:c>
      <x:c r="K354" s="38" t="str">
        <x:f t="shared" si="31"/>
        <x:v>1교육실(실습겸용강의실)</x:v>
      </x:c>
      <x:c r="L354" s="38" t="str">
        <x:f t="shared" si="32"/>
        <x:v>양현수</x:v>
      </x:c>
      <x:c r="M354" s="63"/>
      <x:c r="N354" s="30">
        <x:f>IF(F354="2","",COUNTIF($F$3:$F354,"=1"))</x:f>
        <x:v>313</x:v>
      </x:c>
      <x:c r="O354" s="30">
        <x:f t="shared" si="33"/>
        <x:v>5</x:v>
      </x:c>
      <x:c r="P354" s="30">
        <x:f t="shared" si="35"/>
        <x:v>3</x:v>
      </x:c>
      <x:c r="Q354" s="30">
        <x:f>COUNTIF($P$3:P354,"=3")</x:f>
        <x:v>40</x:v>
      </x:c>
      <x:c r="R354" s="29">
        <x:f>WORKDAY(기본입력!$H$2,Q354-1,공휴일)</x:f>
        <x:v>45982</x:v>
      </x:c>
    </x:row>
    <x:row r="355" spans="1:18">
      <x:c r="A355" s="145" t="str">
        <x:f t="shared" si="34"/>
        <x:v>20251121</x:v>
      </x:c>
      <x:c r="B355" s="8" t="s">
        <x:v>5</x:v>
      </x:c>
      <x:c r="C355" s="8">
        <x:v>1740</x:v>
      </x:c>
      <x:c r="D355" s="7" t="s">
        <x:v>1</x:v>
      </x:c>
      <x:c r="E355" s="8" t="s">
        <x:v>117</x:v>
      </x:c>
      <x:c r="F355" s="8" t="s">
        <x:v>40</x:v>
      </x:c>
      <x:c r="G355" s="15" t="str">
        <x:f>IF(OR(N355="",N355&gt;기본입력!$C$34),"",VLOOKUP(O355,기본입력!$A$9:$F$33,5))</x:f>
        <x:v>양현수_53778</x:v>
      </x:c>
      <x:c r="H355" s="15" t="str">
        <x:f>IF(OR(N355="",N355&gt;기본입력!$C$34),"",기본입력!$C$6)</x:f>
        <x:v>1교육실(실습겸용강의실)_243089</x:v>
      </x:c>
      <x:c r="I355" s="15" t="str">
        <x:f>IF(OR(O355="",N355&gt;기본입력!$C$34),"",VLOOKUP(O355,기본입력!$A$9:$F$33,6,FALSE))</x:f>
        <x:v>인공지능 프로그래밍__2</x:v>
      </x:c>
      <x:c r="J355" s="38" t="str">
        <x:f t="shared" si="30"/>
        <x:v>인공지능 프로그래밍</x:v>
      </x:c>
      <x:c r="K355" s="38" t="str">
        <x:f t="shared" si="31"/>
        <x:v>1교육실(실습겸용강의실)</x:v>
      </x:c>
      <x:c r="L355" s="38" t="str">
        <x:f t="shared" si="32"/>
        <x:v>양현수</x:v>
      </x:c>
      <x:c r="M355" s="63"/>
      <x:c r="N355" s="30">
        <x:f>IF(F355="2","",COUNTIF($F$3:$F355,"=1"))</x:f>
        <x:v>314</x:v>
      </x:c>
      <x:c r="O355" s="30">
        <x:f t="shared" si="33"/>
        <x:v>5</x:v>
      </x:c>
      <x:c r="P355" s="30">
        <x:f t="shared" si="35"/>
        <x:v>4</x:v>
      </x:c>
      <x:c r="Q355" s="30">
        <x:f>COUNTIF($P$3:P355,"=3")</x:f>
        <x:v>40</x:v>
      </x:c>
      <x:c r="R355" s="29">
        <x:f>WORKDAY(기본입력!$H$2,Q355-1,공휴일)</x:f>
        <x:v>45982</x:v>
      </x:c>
    </x:row>
    <x:row r="356" spans="1:18">
      <x:c r="A356" s="145" t="str">
        <x:f t="shared" si="34"/>
        <x:v>20251121</x:v>
      </x:c>
      <x:c r="B356" s="8" t="s">
        <x:v>5</x:v>
      </x:c>
      <x:c r="C356" s="8">
        <x:v>1740</x:v>
      </x:c>
      <x:c r="D356" s="7" t="s">
        <x:v>1</x:v>
      </x:c>
      <x:c r="E356" s="8" t="s">
        <x:v>87</x:v>
      </x:c>
      <x:c r="F356" s="8" t="s">
        <x:v>40</x:v>
      </x:c>
      <x:c r="G356" s="15" t="str">
        <x:f>IF(OR(N356="",N356&gt;기본입력!$C$34),"",VLOOKUP(O356,기본입력!$A$9:$F$33,5))</x:f>
        <x:v>양현수_53778</x:v>
      </x:c>
      <x:c r="H356" s="15" t="str">
        <x:f>IF(OR(N356="",N356&gt;기본입력!$C$34),"",기본입력!$C$6)</x:f>
        <x:v>1교육실(실습겸용강의실)_243089</x:v>
      </x:c>
      <x:c r="I356" s="15" t="str">
        <x:f>IF(OR(O356="",N356&gt;기본입력!$C$34),"",VLOOKUP(O356,기본입력!$A$9:$F$33,6,FALSE))</x:f>
        <x:v>인공지능 프로그래밍__2</x:v>
      </x:c>
      <x:c r="J356" s="38" t="str">
        <x:f t="shared" si="30"/>
        <x:v>인공지능 프로그래밍</x:v>
      </x:c>
      <x:c r="K356" s="38" t="str">
        <x:f t="shared" si="31"/>
        <x:v>1교육실(실습겸용강의실)</x:v>
      </x:c>
      <x:c r="L356" s="38" t="str">
        <x:f t="shared" si="32"/>
        <x:v>양현수</x:v>
      </x:c>
      <x:c r="M356" s="63"/>
      <x:c r="N356" s="30">
        <x:f>IF(F356="2","",COUNTIF($F$3:$F356,"=1"))</x:f>
        <x:v>315</x:v>
      </x:c>
      <x:c r="O356" s="30">
        <x:f t="shared" si="33"/>
        <x:v>5</x:v>
      </x:c>
      <x:c r="P356" s="30">
        <x:f t="shared" si="35"/>
        <x:v>5</x:v>
      </x:c>
      <x:c r="Q356" s="30">
        <x:f>COUNTIF($P$3:P356,"=3")</x:f>
        <x:v>40</x:v>
      </x:c>
      <x:c r="R356" s="29">
        <x:f>WORKDAY(기본입력!$H$2,Q356-1,공휴일)</x:f>
        <x:v>45982</x:v>
      </x:c>
    </x:row>
    <x:row r="357" spans="1:18">
      <x:c r="A357" s="145" t="str">
        <x:f t="shared" si="34"/>
        <x:v>20251121</x:v>
      </x:c>
      <x:c r="B357" s="8" t="s">
        <x:v>5</x:v>
      </x:c>
      <x:c r="C357" s="8">
        <x:v>1740</x:v>
      </x:c>
      <x:c r="D357" s="7" t="s">
        <x:v>1</x:v>
      </x:c>
      <x:c r="E357" s="8" t="s">
        <x:v>88</x:v>
      </x:c>
      <x:c r="F357" s="8" t="s">
        <x:v>40</x:v>
      </x:c>
      <x:c r="G357" s="15" t="str">
        <x:f>IF(OR(N357="",N357&gt;기본입력!$C$34),"",VLOOKUP(O357,기본입력!$A$9:$F$33,5))</x:f>
        <x:v>양현수_53778</x:v>
      </x:c>
      <x:c r="H357" s="15" t="str">
        <x:f>IF(OR(N357="",N357&gt;기본입력!$C$34),"",기본입력!$C$6)</x:f>
        <x:v>1교육실(실습겸용강의실)_243089</x:v>
      </x:c>
      <x:c r="I357" s="15" t="str">
        <x:f>IF(OR(O357="",N357&gt;기본입력!$C$34),"",VLOOKUP(O357,기본입력!$A$9:$F$33,6,FALSE))</x:f>
        <x:v>인공지능 프로그래밍__2</x:v>
      </x:c>
      <x:c r="J357" s="38" t="str">
        <x:f t="shared" si="30"/>
        <x:v>인공지능 프로그래밍</x:v>
      </x:c>
      <x:c r="K357" s="38" t="str">
        <x:f t="shared" si="31"/>
        <x:v>1교육실(실습겸용강의실)</x:v>
      </x:c>
      <x:c r="L357" s="38" t="str">
        <x:f t="shared" si="32"/>
        <x:v>양현수</x:v>
      </x:c>
      <x:c r="M357" s="63"/>
      <x:c r="N357" s="30">
        <x:f>IF(F357="2","",COUNTIF($F$3:$F357,"=1"))</x:f>
        <x:v>316</x:v>
      </x:c>
      <x:c r="O357" s="30">
        <x:f t="shared" si="33"/>
        <x:v>5</x:v>
      </x:c>
      <x:c r="P357" s="30">
        <x:f t="shared" si="35"/>
        <x:v>6</x:v>
      </x:c>
      <x:c r="Q357" s="30">
        <x:f>COUNTIF($P$3:P357,"=3")</x:f>
        <x:v>40</x:v>
      </x:c>
      <x:c r="R357" s="29">
        <x:f>WORKDAY(기본입력!$H$2,Q357-1,공휴일)</x:f>
        <x:v>45982</x:v>
      </x:c>
    </x:row>
    <x:row r="358" spans="1:18">
      <x:c r="A358" s="145" t="str">
        <x:f t="shared" si="34"/>
        <x:v>20251121</x:v>
      </x:c>
      <x:c r="B358" s="8" t="s">
        <x:v>5</x:v>
      </x:c>
      <x:c r="C358" s="8">
        <x:v>1740</x:v>
      </x:c>
      <x:c r="D358" s="7" t="s">
        <x:v>1</x:v>
      </x:c>
      <x:c r="E358" s="8" t="s">
        <x:v>0</x:v>
      </x:c>
      <x:c r="F358" s="8" t="s">
        <x:v>41</x:v>
      </x:c>
      <x:c r="G358" s="15" t="str">
        <x:f>IF(OR(N358="",N358&gt;기본입력!$C$34),"",VLOOKUP(O358,기본입력!$A$9:$F$33,5))</x:f>
        <x:v/>
      </x:c>
      <x:c r="H358" s="15" t="str">
        <x:f>IF(OR(N358="",N358&gt;기본입력!$C$34),"",기본입력!$C$6)</x:f>
        <x:v/>
      </x:c>
      <x:c r="I358" s="15" t="str">
        <x:f>IF(OR(O358="",N358&gt;기본입력!$C$34),"",VLOOKUP(O358,기본입력!$A$9:$F$33,6,FALSE))</x:f>
        <x:v/>
      </x:c>
      <x:c r="J358" s="38" t="str">
        <x:f t="shared" si="30"/>
        <x:v/>
      </x:c>
      <x:c r="K358" s="38" t="str">
        <x:f t="shared" si="31"/>
        <x:v/>
      </x:c>
      <x:c r="L358" s="38" t="str">
        <x:f t="shared" si="32"/>
        <x:v/>
      </x:c>
      <x:c r="M358" s="63"/>
      <x:c r="N358" s="30" t="str">
        <x:f>IF(F358="2","",COUNTIF($F$3:$F358,"=1"))</x:f>
        <x:v/>
      </x:c>
      <x:c r="O358" s="30" t="str">
        <x:f t="shared" si="33"/>
        <x:v/>
      </x:c>
      <x:c r="P358" s="30">
        <x:f t="shared" si="35"/>
        <x:v>7</x:v>
      </x:c>
      <x:c r="Q358" s="30">
        <x:f>COUNTIF($P$3:P358,"=3")</x:f>
        <x:v>40</x:v>
      </x:c>
      <x:c r="R358" s="29">
        <x:f>WORKDAY(기본입력!$H$2,Q358-1,공휴일)</x:f>
        <x:v>45982</x:v>
      </x:c>
    </x:row>
    <x:row r="359" spans="1:18">
      <x:c r="A359" s="145" t="str">
        <x:f t="shared" si="34"/>
        <x:v>20251121</x:v>
      </x:c>
      <x:c r="B359" s="8" t="s">
        <x:v>5</x:v>
      </x:c>
      <x:c r="C359" s="8">
        <x:v>1740</x:v>
      </x:c>
      <x:c r="D359" s="7" t="s">
        <x:v>1</x:v>
      </x:c>
      <x:c r="E359" s="8">
        <x:v>1340</x:v>
      </x:c>
      <x:c r="F359" s="8" t="s">
        <x:v>40</x:v>
      </x:c>
      <x:c r="G359" s="15" t="str">
        <x:f>IF(OR(N359="",N359&gt;기본입력!$C$34),"",VLOOKUP(O359,기본입력!$A$9:$F$33,5))</x:f>
        <x:v>양현수_53778</x:v>
      </x:c>
      <x:c r="H359" s="15" t="str">
        <x:f>IF(OR(N359="",N359&gt;기본입력!$C$34),"",기본입력!$C$6)</x:f>
        <x:v>1교육실(실습겸용강의실)_243089</x:v>
      </x:c>
      <x:c r="I359" s="15" t="str">
        <x:f>IF(OR(O359="",N359&gt;기본입력!$C$34),"",VLOOKUP(O359,기본입력!$A$9:$F$33,6,FALSE))</x:f>
        <x:v>인공지능 프로그래밍__2</x:v>
      </x:c>
      <x:c r="J359" s="38" t="str">
        <x:f t="shared" si="30"/>
        <x:v>인공지능 프로그래밍</x:v>
      </x:c>
      <x:c r="K359" s="38" t="str">
        <x:f t="shared" si="31"/>
        <x:v>1교육실(실습겸용강의실)</x:v>
      </x:c>
      <x:c r="L359" s="38" t="str">
        <x:f t="shared" si="32"/>
        <x:v>양현수</x:v>
      </x:c>
      <x:c r="M359" s="63"/>
      <x:c r="N359" s="30">
        <x:f>IF(F359="2","",COUNTIF($F$3:$F359,"=1"))</x:f>
        <x:v>317</x:v>
      </x:c>
      <x:c r="O359" s="30">
        <x:f t="shared" si="33"/>
        <x:v>5</x:v>
      </x:c>
      <x:c r="P359" s="30">
        <x:f t="shared" si="35"/>
        <x:v>8</x:v>
      </x:c>
      <x:c r="Q359" s="30">
        <x:f>COUNTIF($P$3:P359,"=3")</x:f>
        <x:v>40</x:v>
      </x:c>
      <x:c r="R359" s="29">
        <x:f>WORKDAY(기본입력!$H$2,Q359-1,공휴일)</x:f>
        <x:v>45982</x:v>
      </x:c>
    </x:row>
    <x:row r="360" spans="1:18">
      <x:c r="A360" s="145" t="str">
        <x:f t="shared" si="34"/>
        <x:v>20251121</x:v>
      </x:c>
      <x:c r="B360" s="8" t="s">
        <x:v>5</x:v>
      </x:c>
      <x:c r="C360" s="8">
        <x:v>1740</x:v>
      </x:c>
      <x:c r="D360" s="7" t="s">
        <x:v>1</x:v>
      </x:c>
      <x:c r="E360" s="8">
        <x:v>1440</x:v>
      </x:c>
      <x:c r="F360" s="8" t="s">
        <x:v>40</x:v>
      </x:c>
      <x:c r="G360" s="15" t="str">
        <x:f>IF(OR(N360="",N360&gt;기본입력!$C$34),"",VLOOKUP(O360,기본입력!$A$9:$F$33,5))</x:f>
        <x:v>양현수_53778</x:v>
      </x:c>
      <x:c r="H360" s="15" t="str">
        <x:f>IF(OR(N360="",N360&gt;기본입력!$C$34),"",기본입력!$C$6)</x:f>
        <x:v>1교육실(실습겸용강의실)_243089</x:v>
      </x:c>
      <x:c r="I360" s="15" t="str">
        <x:f>IF(OR(O360="",N360&gt;기본입력!$C$34),"",VLOOKUP(O360,기본입력!$A$9:$F$33,6,FALSE))</x:f>
        <x:v>인공지능 프로그래밍__2</x:v>
      </x:c>
      <x:c r="J360" s="38" t="str">
        <x:f t="shared" si="30"/>
        <x:v>인공지능 프로그래밍</x:v>
      </x:c>
      <x:c r="K360" s="38" t="str">
        <x:f t="shared" si="31"/>
        <x:v>1교육실(실습겸용강의실)</x:v>
      </x:c>
      <x:c r="L360" s="38" t="str">
        <x:f t="shared" si="32"/>
        <x:v>양현수</x:v>
      </x:c>
      <x:c r="M360" s="63"/>
      <x:c r="N360" s="30">
        <x:f>IF(F360="2","",COUNTIF($F$3:$F360,"=1"))</x:f>
        <x:v>318</x:v>
      </x:c>
      <x:c r="O360" s="30">
        <x:f t="shared" si="33"/>
        <x:v>5</x:v>
      </x:c>
      <x:c r="P360" s="30">
        <x:f t="shared" si="35"/>
        <x:v>0</x:v>
      </x:c>
      <x:c r="Q360" s="30">
        <x:f>COUNTIF($P$3:P360,"=3")</x:f>
        <x:v>40</x:v>
      </x:c>
      <x:c r="R360" s="29">
        <x:f>WORKDAY(기본입력!$H$2,Q360-1,공휴일)</x:f>
        <x:v>45982</x:v>
      </x:c>
    </x:row>
    <x:row r="361" spans="1:18">
      <x:c r="A361" s="145" t="str">
        <x:f t="shared" si="34"/>
        <x:v>20251121</x:v>
      </x:c>
      <x:c r="B361" s="8" t="s">
        <x:v>5</x:v>
      </x:c>
      <x:c r="C361" s="8">
        <x:v>1740</x:v>
      </x:c>
      <x:c r="D361" s="7" t="s">
        <x:v>1</x:v>
      </x:c>
      <x:c r="E361" s="8">
        <x:v>1540</x:v>
      </x:c>
      <x:c r="F361" s="8" t="s">
        <x:v>40</x:v>
      </x:c>
      <x:c r="G361" s="15" t="str">
        <x:f>IF(OR(N361="",N361&gt;기본입력!$C$34),"",VLOOKUP(O361,기본입력!$A$9:$F$33,5))</x:f>
        <x:v>양현수_53778</x:v>
      </x:c>
      <x:c r="H361" s="15" t="str">
        <x:f>IF(OR(N361="",N361&gt;기본입력!$C$34),"",기본입력!$C$6)</x:f>
        <x:v>1교육실(실습겸용강의실)_243089</x:v>
      </x:c>
      <x:c r="I361" s="15" t="str">
        <x:f>IF(OR(O361="",N361&gt;기본입력!$C$34),"",VLOOKUP(O361,기본입력!$A$9:$F$33,6,FALSE))</x:f>
        <x:v>인공지능 프로그래밍__2</x:v>
      </x:c>
      <x:c r="J361" s="38" t="str">
        <x:f t="shared" si="30"/>
        <x:v>인공지능 프로그래밍</x:v>
      </x:c>
      <x:c r="K361" s="38" t="str">
        <x:f t="shared" si="31"/>
        <x:v>1교육실(실습겸용강의실)</x:v>
      </x:c>
      <x:c r="L361" s="38" t="str">
        <x:f t="shared" si="32"/>
        <x:v>양현수</x:v>
      </x:c>
      <x:c r="M361" s="63"/>
      <x:c r="N361" s="30">
        <x:f>IF(F361="2","",COUNTIF($F$3:$F361,"=1"))</x:f>
        <x:v>319</x:v>
      </x:c>
      <x:c r="O361" s="30">
        <x:f t="shared" si="33"/>
        <x:v>5</x:v>
      </x:c>
      <x:c r="P361" s="30">
        <x:f t="shared" si="35"/>
        <x:v>1</x:v>
      </x:c>
      <x:c r="Q361" s="30">
        <x:f>COUNTIF($P$3:P361,"=3")</x:f>
        <x:v>40</x:v>
      </x:c>
      <x:c r="R361" s="29">
        <x:f>WORKDAY(기본입력!$H$2,Q361-1,공휴일)</x:f>
        <x:v>45982</x:v>
      </x:c>
    </x:row>
    <x:row r="362" spans="1:18">
      <x:c r="A362" s="145" t="str">
        <x:f t="shared" si="34"/>
        <x:v>20251121</x:v>
      </x:c>
      <x:c r="B362" s="8" t="s">
        <x:v>5</x:v>
      </x:c>
      <x:c r="C362" s="8">
        <x:v>1740</x:v>
      </x:c>
      <x:c r="D362" s="7" t="s">
        <x:v>1</x:v>
      </x:c>
      <x:c r="E362" s="8">
        <x:v>1640</x:v>
      </x:c>
      <x:c r="F362" s="8" t="s">
        <x:v>40</x:v>
      </x:c>
      <x:c r="G362" s="15" t="str">
        <x:f>IF(OR(N362="",N362&gt;기본입력!$C$34),"",VLOOKUP(O362,기본입력!$A$9:$F$33,5))</x:f>
        <x:v>양현수_53778</x:v>
      </x:c>
      <x:c r="H362" s="15" t="str">
        <x:f>IF(OR(N362="",N362&gt;기본입력!$C$34),"",기본입력!$C$6)</x:f>
        <x:v>1교육실(실습겸용강의실)_243089</x:v>
      </x:c>
      <x:c r="I362" s="15" t="str">
        <x:f>IF(OR(O362="",N362&gt;기본입력!$C$34),"",VLOOKUP(O362,기본입력!$A$9:$F$33,6,FALSE))</x:f>
        <x:v>인공지능 프로그래밍__2</x:v>
      </x:c>
      <x:c r="J362" s="38" t="str">
        <x:f t="shared" si="30"/>
        <x:v>인공지능 프로그래밍</x:v>
      </x:c>
      <x:c r="K362" s="38" t="str">
        <x:f t="shared" si="31"/>
        <x:v>1교육실(실습겸용강의실)</x:v>
      </x:c>
      <x:c r="L362" s="38" t="str">
        <x:f t="shared" si="32"/>
        <x:v>양현수</x:v>
      </x:c>
      <x:c r="M362" s="63"/>
      <x:c r="N362" s="30">
        <x:f>IF(F362="2","",COUNTIF($F$3:$F362,"=1"))</x:f>
        <x:v>320</x:v>
      </x:c>
      <x:c r="O362" s="30">
        <x:f t="shared" si="33"/>
        <x:v>5</x:v>
      </x:c>
      <x:c r="P362" s="30">
        <x:f t="shared" si="35"/>
        <x:v>2</x:v>
      </x:c>
      <x:c r="Q362" s="30">
        <x:f>COUNTIF($P$3:P362,"=3")</x:f>
        <x:v>40</x:v>
      </x:c>
      <x:c r="R362" s="29">
        <x:f>WORKDAY(기본입력!$H$2,Q362-1,공휴일)</x:f>
        <x:v>45982</x:v>
      </x:c>
    </x:row>
    <x:row r="363" spans="1:18">
      <x:c r="A363" s="144" t="str">
        <x:f t="shared" si="34"/>
        <x:v>20251124</x:v>
      </x:c>
      <x:c r="B363" s="6" t="s">
        <x:v>5</x:v>
      </x:c>
      <x:c r="C363" s="6">
        <x:v>1740</x:v>
      </x:c>
      <x:c r="D363" s="5" t="s">
        <x:v>1</x:v>
      </x:c>
      <x:c r="E363" s="6" t="s">
        <x:v>5</x:v>
      </x:c>
      <x:c r="F363" s="6" t="s">
        <x:v>40</x:v>
      </x:c>
      <x:c r="G363" s="14" t="str">
        <x:f>IF(OR(N363="",N363&gt;기본입력!$C$34),"",VLOOKUP(O363,기본입력!$A$9:$F$33,5))</x:f>
        <x:v>양현수_53778</x:v>
      </x:c>
      <x:c r="H363" s="14" t="str">
        <x:f>IF(OR(N363="",N363&gt;기본입력!$C$34),"",기본입력!$C$6)</x:f>
        <x:v>1교육실(실습겸용강의실)_243089</x:v>
      </x:c>
      <x:c r="I363" s="14" t="str">
        <x:f>IF(OR(O363="",N363&gt;기본입력!$C$34),"",VLOOKUP(O363,기본입력!$A$9:$F$33,6,FALSE))</x:f>
        <x:v>인공지능 프로그래밍__2</x:v>
      </x:c>
      <x:c r="J363" s="38" t="str">
        <x:f t="shared" si="30"/>
        <x:v>인공지능 프로그래밍</x:v>
      </x:c>
      <x:c r="K363" s="38" t="str">
        <x:f t="shared" si="31"/>
        <x:v>1교육실(실습겸용강의실)</x:v>
      </x:c>
      <x:c r="L363" s="38" t="str">
        <x:f t="shared" si="32"/>
        <x:v>양현수</x:v>
      </x:c>
      <x:c r="M363" s="63"/>
      <x:c r="N363" s="30">
        <x:f>IF(F363="2","",COUNTIF($F$3:$F363,"=1"))</x:f>
        <x:v>321</x:v>
      </x:c>
      <x:c r="O363" s="30">
        <x:f t="shared" si="33"/>
        <x:v>5</x:v>
      </x:c>
      <x:c r="P363" s="30">
        <x:f t="shared" si="35"/>
        <x:v>3</x:v>
      </x:c>
      <x:c r="Q363" s="30">
        <x:f>COUNTIF($P$3:P363,"=3")</x:f>
        <x:v>41</x:v>
      </x:c>
      <x:c r="R363" s="29">
        <x:f>WORKDAY(기본입력!$H$2,Q363-1,공휴일)</x:f>
        <x:v>45985</x:v>
      </x:c>
    </x:row>
    <x:row r="364" spans="1:18">
      <x:c r="A364" s="144" t="str">
        <x:f t="shared" si="34"/>
        <x:v>20251124</x:v>
      </x:c>
      <x:c r="B364" s="6" t="s">
        <x:v>5</x:v>
      </x:c>
      <x:c r="C364" s="6">
        <x:v>1740</x:v>
      </x:c>
      <x:c r="D364" s="5" t="s">
        <x:v>1</x:v>
      </x:c>
      <x:c r="E364" s="6" t="s">
        <x:v>117</x:v>
      </x:c>
      <x:c r="F364" s="6" t="s">
        <x:v>40</x:v>
      </x:c>
      <x:c r="G364" s="14" t="str">
        <x:f>IF(OR(N364="",N364&gt;기본입력!$C$34),"",VLOOKUP(O364,기본입력!$A$9:$F$33,5))</x:f>
        <x:v>양현수_53778</x:v>
      </x:c>
      <x:c r="H364" s="14" t="str">
        <x:f>IF(OR(N364="",N364&gt;기본입력!$C$34),"",기본입력!$C$6)</x:f>
        <x:v>1교육실(실습겸용강의실)_243089</x:v>
      </x:c>
      <x:c r="I364" s="14" t="str">
        <x:f>IF(OR(O364="",N364&gt;기본입력!$C$34),"",VLOOKUP(O364,기본입력!$A$9:$F$33,6,FALSE))</x:f>
        <x:v>인공지능 프로그래밍__2</x:v>
      </x:c>
      <x:c r="J364" s="38" t="str">
        <x:f t="shared" si="30"/>
        <x:v>인공지능 프로그래밍</x:v>
      </x:c>
      <x:c r="K364" s="38" t="str">
        <x:f t="shared" si="31"/>
        <x:v>1교육실(실습겸용강의실)</x:v>
      </x:c>
      <x:c r="L364" s="38" t="str">
        <x:f t="shared" si="32"/>
        <x:v>양현수</x:v>
      </x:c>
      <x:c r="M364" s="63"/>
      <x:c r="N364" s="30">
        <x:f>IF(F364="2","",COUNTIF($F$3:$F364,"=1"))</x:f>
        <x:v>322</x:v>
      </x:c>
      <x:c r="O364" s="30">
        <x:f t="shared" si="33"/>
        <x:v>5</x:v>
      </x:c>
      <x:c r="P364" s="30">
        <x:f t="shared" si="35"/>
        <x:v>4</x:v>
      </x:c>
      <x:c r="Q364" s="30">
        <x:f>COUNTIF($P$3:P364,"=3")</x:f>
        <x:v>41</x:v>
      </x:c>
      <x:c r="R364" s="29">
        <x:f>WORKDAY(기본입력!$H$2,Q364-1,공휴일)</x:f>
        <x:v>45985</x:v>
      </x:c>
    </x:row>
    <x:row r="365" spans="1:18">
      <x:c r="A365" s="144" t="str">
        <x:f t="shared" si="34"/>
        <x:v>20251124</x:v>
      </x:c>
      <x:c r="B365" s="6" t="s">
        <x:v>5</x:v>
      </x:c>
      <x:c r="C365" s="6">
        <x:v>1740</x:v>
      </x:c>
      <x:c r="D365" s="5" t="s">
        <x:v>1</x:v>
      </x:c>
      <x:c r="E365" s="6" t="s">
        <x:v>87</x:v>
      </x:c>
      <x:c r="F365" s="6" t="s">
        <x:v>40</x:v>
      </x:c>
      <x:c r="G365" s="14" t="str">
        <x:f>IF(OR(N365="",N365&gt;기본입력!$C$34),"",VLOOKUP(O365,기본입력!$A$9:$F$33,5))</x:f>
        <x:v>양현수_53778</x:v>
      </x:c>
      <x:c r="H365" s="14" t="str">
        <x:f>IF(OR(N365="",N365&gt;기본입력!$C$34),"",기본입력!$C$6)</x:f>
        <x:v>1교육실(실습겸용강의실)_243089</x:v>
      </x:c>
      <x:c r="I365" s="14" t="str">
        <x:f>IF(OR(O365="",N365&gt;기본입력!$C$34),"",VLOOKUP(O365,기본입력!$A$9:$F$33,6,FALSE))</x:f>
        <x:v>인공지능 프로그래밍__2</x:v>
      </x:c>
      <x:c r="J365" s="38" t="str">
        <x:f t="shared" si="30"/>
        <x:v>인공지능 프로그래밍</x:v>
      </x:c>
      <x:c r="K365" s="38" t="str">
        <x:f t="shared" si="31"/>
        <x:v>1교육실(실습겸용강의실)</x:v>
      </x:c>
      <x:c r="L365" s="38" t="str">
        <x:f t="shared" si="32"/>
        <x:v>양현수</x:v>
      </x:c>
      <x:c r="M365" s="63"/>
      <x:c r="N365" s="30">
        <x:f>IF(F365="2","",COUNTIF($F$3:$F365,"=1"))</x:f>
        <x:v>323</x:v>
      </x:c>
      <x:c r="O365" s="30">
        <x:f t="shared" si="33"/>
        <x:v>5</x:v>
      </x:c>
      <x:c r="P365" s="30">
        <x:f t="shared" si="35"/>
        <x:v>5</x:v>
      </x:c>
      <x:c r="Q365" s="30">
        <x:f>COUNTIF($P$3:P365,"=3")</x:f>
        <x:v>41</x:v>
      </x:c>
      <x:c r="R365" s="29">
        <x:f>WORKDAY(기본입력!$H$2,Q365-1,공휴일)</x:f>
        <x:v>45985</x:v>
      </x:c>
    </x:row>
    <x:row r="366" spans="1:18">
      <x:c r="A366" s="144" t="str">
        <x:f t="shared" si="34"/>
        <x:v>20251124</x:v>
      </x:c>
      <x:c r="B366" s="6" t="s">
        <x:v>5</x:v>
      </x:c>
      <x:c r="C366" s="6">
        <x:v>1740</x:v>
      </x:c>
      <x:c r="D366" s="5" t="s">
        <x:v>1</x:v>
      </x:c>
      <x:c r="E366" s="6" t="s">
        <x:v>88</x:v>
      </x:c>
      <x:c r="F366" s="6" t="s">
        <x:v>40</x:v>
      </x:c>
      <x:c r="G366" s="14" t="str">
        <x:f>IF(OR(N366="",N366&gt;기본입력!$C$34),"",VLOOKUP(O366,기본입력!$A$9:$F$33,5))</x:f>
        <x:v>양현수_53778</x:v>
      </x:c>
      <x:c r="H366" s="14" t="str">
        <x:f>IF(OR(N366="",N366&gt;기본입력!$C$34),"",기본입력!$C$6)</x:f>
        <x:v>1교육실(실습겸용강의실)_243089</x:v>
      </x:c>
      <x:c r="I366" s="14" t="str">
        <x:f>IF(OR(O366="",N366&gt;기본입력!$C$34),"",VLOOKUP(O366,기본입력!$A$9:$F$33,6,FALSE))</x:f>
        <x:v>인공지능 프로그래밍__2</x:v>
      </x:c>
      <x:c r="J366" s="38" t="str">
        <x:f t="shared" si="30"/>
        <x:v>인공지능 프로그래밍</x:v>
      </x:c>
      <x:c r="K366" s="38" t="str">
        <x:f t="shared" si="31"/>
        <x:v>1교육실(실습겸용강의실)</x:v>
      </x:c>
      <x:c r="L366" s="38" t="str">
        <x:f t="shared" si="32"/>
        <x:v>양현수</x:v>
      </x:c>
      <x:c r="M366" s="63"/>
      <x:c r="N366" s="30">
        <x:f>IF(F366="2","",COUNTIF($F$3:$F366,"=1"))</x:f>
        <x:v>324</x:v>
      </x:c>
      <x:c r="O366" s="30">
        <x:f t="shared" si="33"/>
        <x:v>5</x:v>
      </x:c>
      <x:c r="P366" s="30">
        <x:f t="shared" si="35"/>
        <x:v>6</x:v>
      </x:c>
      <x:c r="Q366" s="30">
        <x:f>COUNTIF($P$3:P366,"=3")</x:f>
        <x:v>41</x:v>
      </x:c>
      <x:c r="R366" s="29">
        <x:f>WORKDAY(기본입력!$H$2,Q366-1,공휴일)</x:f>
        <x:v>45985</x:v>
      </x:c>
    </x:row>
    <x:row r="367" spans="1:18">
      <x:c r="A367" s="144" t="str">
        <x:f t="shared" si="34"/>
        <x:v>20251124</x:v>
      </x:c>
      <x:c r="B367" s="6" t="s">
        <x:v>5</x:v>
      </x:c>
      <x:c r="C367" s="6">
        <x:v>1740</x:v>
      </x:c>
      <x:c r="D367" s="5" t="s">
        <x:v>1</x:v>
      </x:c>
      <x:c r="E367" s="6" t="s">
        <x:v>0</x:v>
      </x:c>
      <x:c r="F367" s="6" t="s">
        <x:v>41</x:v>
      </x:c>
      <x:c r="G367" s="14" t="str">
        <x:f>IF(OR(N367="",N367&gt;기본입력!$C$34),"",VLOOKUP(O367,기본입력!$A$9:$F$33,5))</x:f>
        <x:v/>
      </x:c>
      <x:c r="H367" s="14" t="str">
        <x:f>IF(OR(N367="",N367&gt;기본입력!$C$34),"",기본입력!$C$6)</x:f>
        <x:v/>
      </x:c>
      <x:c r="I367" s="14" t="str">
        <x:f>IF(OR(O367="",N367&gt;기본입력!$C$34),"",VLOOKUP(O367,기본입력!$A$9:$F$33,6,FALSE))</x:f>
        <x:v/>
      </x:c>
      <x:c r="J367" s="38" t="str">
        <x:f t="shared" si="30"/>
        <x:v/>
      </x:c>
      <x:c r="K367" s="38" t="str">
        <x:f t="shared" si="31"/>
        <x:v/>
      </x:c>
      <x:c r="L367" s="38" t="str">
        <x:f t="shared" si="32"/>
        <x:v/>
      </x:c>
      <x:c r="M367" s="63"/>
      <x:c r="N367" s="30" t="str">
        <x:f>IF(F367="2","",COUNTIF($F$3:$F367,"=1"))</x:f>
        <x:v/>
      </x:c>
      <x:c r="O367" s="30" t="str">
        <x:f t="shared" si="33"/>
        <x:v/>
      </x:c>
      <x:c r="P367" s="30">
        <x:f t="shared" si="35"/>
        <x:v>7</x:v>
      </x:c>
      <x:c r="Q367" s="30">
        <x:f>COUNTIF($P$3:P367,"=3")</x:f>
        <x:v>41</x:v>
      </x:c>
      <x:c r="R367" s="29">
        <x:f>WORKDAY(기본입력!$H$2,Q367-1,공휴일)</x:f>
        <x:v>45985</x:v>
      </x:c>
    </x:row>
    <x:row r="368" spans="1:18">
      <x:c r="A368" s="144" t="str">
        <x:f t="shared" si="34"/>
        <x:v>20251124</x:v>
      </x:c>
      <x:c r="B368" s="6" t="s">
        <x:v>5</x:v>
      </x:c>
      <x:c r="C368" s="6">
        <x:v>1740</x:v>
      </x:c>
      <x:c r="D368" s="5" t="s">
        <x:v>1</x:v>
      </x:c>
      <x:c r="E368" s="6">
        <x:v>1340</x:v>
      </x:c>
      <x:c r="F368" s="6" t="s">
        <x:v>40</x:v>
      </x:c>
      <x:c r="G368" s="14" t="str">
        <x:f>IF(OR(N368="",N368&gt;기본입력!$C$34),"",VLOOKUP(O368,기본입력!$A$9:$F$33,5))</x:f>
        <x:v>양현수_53778</x:v>
      </x:c>
      <x:c r="H368" s="14" t="str">
        <x:f>IF(OR(N368="",N368&gt;기본입력!$C$34),"",기본입력!$C$6)</x:f>
        <x:v>1교육실(실습겸용강의실)_243089</x:v>
      </x:c>
      <x:c r="I368" s="14" t="str">
        <x:f>IF(OR(O368="",N368&gt;기본입력!$C$34),"",VLOOKUP(O368,기본입력!$A$9:$F$33,6,FALSE))</x:f>
        <x:v>인공지능 프로그래밍__2</x:v>
      </x:c>
      <x:c r="J368" s="38" t="str">
        <x:f t="shared" si="30"/>
        <x:v>인공지능 프로그래밍</x:v>
      </x:c>
      <x:c r="K368" s="38" t="str">
        <x:f t="shared" si="31"/>
        <x:v>1교육실(실습겸용강의실)</x:v>
      </x:c>
      <x:c r="L368" s="38" t="str">
        <x:f t="shared" si="32"/>
        <x:v>양현수</x:v>
      </x:c>
      <x:c r="M368" s="63"/>
      <x:c r="N368" s="30">
        <x:f>IF(F368="2","",COUNTIF($F$3:$F368,"=1"))</x:f>
        <x:v>325</x:v>
      </x:c>
      <x:c r="O368" s="30">
        <x:f t="shared" si="33"/>
        <x:v>5</x:v>
      </x:c>
      <x:c r="P368" s="30">
        <x:f t="shared" si="35"/>
        <x:v>8</x:v>
      </x:c>
      <x:c r="Q368" s="30">
        <x:f>COUNTIF($P$3:P368,"=3")</x:f>
        <x:v>41</x:v>
      </x:c>
      <x:c r="R368" s="29">
        <x:f>WORKDAY(기본입력!$H$2,Q368-1,공휴일)</x:f>
        <x:v>45985</x:v>
      </x:c>
    </x:row>
    <x:row r="369" spans="1:18">
      <x:c r="A369" s="144" t="str">
        <x:f t="shared" si="34"/>
        <x:v>20251124</x:v>
      </x:c>
      <x:c r="B369" s="6" t="s">
        <x:v>5</x:v>
      </x:c>
      <x:c r="C369" s="6">
        <x:v>1740</x:v>
      </x:c>
      <x:c r="D369" s="5" t="s">
        <x:v>1</x:v>
      </x:c>
      <x:c r="E369" s="6">
        <x:v>1440</x:v>
      </x:c>
      <x:c r="F369" s="6" t="s">
        <x:v>40</x:v>
      </x:c>
      <x:c r="G369" s="14" t="str">
        <x:f>IF(OR(N369="",N369&gt;기본입력!$C$34),"",VLOOKUP(O369,기본입력!$A$9:$F$33,5))</x:f>
        <x:v>양현수_53778</x:v>
      </x:c>
      <x:c r="H369" s="14" t="str">
        <x:f>IF(OR(N369="",N369&gt;기본입력!$C$34),"",기본입력!$C$6)</x:f>
        <x:v>1교육실(실습겸용강의실)_243089</x:v>
      </x:c>
      <x:c r="I369" s="14" t="str">
        <x:f>IF(OR(O369="",N369&gt;기본입력!$C$34),"",VLOOKUP(O369,기본입력!$A$9:$F$33,6,FALSE))</x:f>
        <x:v>인공지능 프로그래밍__2</x:v>
      </x:c>
      <x:c r="J369" s="38" t="str">
        <x:f t="shared" si="30"/>
        <x:v>인공지능 프로그래밍</x:v>
      </x:c>
      <x:c r="K369" s="38" t="str">
        <x:f t="shared" si="31"/>
        <x:v>1교육실(실습겸용강의실)</x:v>
      </x:c>
      <x:c r="L369" s="38" t="str">
        <x:f t="shared" si="32"/>
        <x:v>양현수</x:v>
      </x:c>
      <x:c r="M369" s="63"/>
      <x:c r="N369" s="30">
        <x:f>IF(F369="2","",COUNTIF($F$3:$F369,"=1"))</x:f>
        <x:v>326</x:v>
      </x:c>
      <x:c r="O369" s="30">
        <x:f t="shared" si="33"/>
        <x:v>5</x:v>
      </x:c>
      <x:c r="P369" s="30">
        <x:f t="shared" si="35"/>
        <x:v>0</x:v>
      </x:c>
      <x:c r="Q369" s="30">
        <x:f>COUNTIF($P$3:P369,"=3")</x:f>
        <x:v>41</x:v>
      </x:c>
      <x:c r="R369" s="29">
        <x:f>WORKDAY(기본입력!$H$2,Q369-1,공휴일)</x:f>
        <x:v>45985</x:v>
      </x:c>
    </x:row>
    <x:row r="370" spans="1:18">
      <x:c r="A370" s="144" t="str">
        <x:f t="shared" si="34"/>
        <x:v>20251124</x:v>
      </x:c>
      <x:c r="B370" s="6" t="s">
        <x:v>5</x:v>
      </x:c>
      <x:c r="C370" s="6">
        <x:v>1740</x:v>
      </x:c>
      <x:c r="D370" s="5" t="s">
        <x:v>1</x:v>
      </x:c>
      <x:c r="E370" s="6">
        <x:v>1540</x:v>
      </x:c>
      <x:c r="F370" s="6" t="s">
        <x:v>40</x:v>
      </x:c>
      <x:c r="G370" s="14" t="str">
        <x:f>IF(OR(N370="",N370&gt;기본입력!$C$34),"",VLOOKUP(O370,기본입력!$A$9:$F$33,5))</x:f>
        <x:v>양현수_53778</x:v>
      </x:c>
      <x:c r="H370" s="14" t="str">
        <x:f>IF(OR(N370="",N370&gt;기본입력!$C$34),"",기본입력!$C$6)</x:f>
        <x:v>1교육실(실습겸용강의실)_243089</x:v>
      </x:c>
      <x:c r="I370" s="14" t="str">
        <x:f>IF(OR(O370="",N370&gt;기본입력!$C$34),"",VLOOKUP(O370,기본입력!$A$9:$F$33,6,FALSE))</x:f>
        <x:v>인공지능 프로그래밍__2</x:v>
      </x:c>
      <x:c r="J370" s="38" t="str">
        <x:f t="shared" ref="J370:J433" si="36">IF(F370="2","",LEFT(I370,FIND("_",I370,2)-1))</x:f>
        <x:v>인공지능 프로그래밍</x:v>
      </x:c>
      <x:c r="K370" s="38" t="str">
        <x:f t="shared" ref="K370:K433" si="37">IF(F370="2","",LEFT(H370,FIND("_",H370,2)-1))</x:f>
        <x:v>1교육실(실습겸용강의실)</x:v>
      </x:c>
      <x:c r="L370" s="38" t="str">
        <x:f t="shared" ref="L370:L433" si="38">IF(F370="2","",LEFT(G370,FIND("_",G370,2)-1))</x:f>
        <x:v>양현수</x:v>
      </x:c>
      <x:c r="M370" s="63"/>
      <x:c r="N370" s="30">
        <x:f>IF(F370="2","",COUNTIF($F$3:$F370,"=1"))</x:f>
        <x:v>327</x:v>
      </x:c>
      <x:c r="O370" s="30">
        <x:f t="shared" si="33"/>
        <x:v>5</x:v>
      </x:c>
      <x:c r="P370" s="30">
        <x:f t="shared" si="35"/>
        <x:v>1</x:v>
      </x:c>
      <x:c r="Q370" s="30">
        <x:f>COUNTIF($P$3:P370,"=3")</x:f>
        <x:v>41</x:v>
      </x:c>
      <x:c r="R370" s="29">
        <x:f>WORKDAY(기본입력!$H$2,Q370-1,공휴일)</x:f>
        <x:v>45985</x:v>
      </x:c>
    </x:row>
    <x:row r="371" spans="1:18">
      <x:c r="A371" s="144" t="str">
        <x:f t="shared" si="34"/>
        <x:v>20251124</x:v>
      </x:c>
      <x:c r="B371" s="6" t="s">
        <x:v>5</x:v>
      </x:c>
      <x:c r="C371" s="6">
        <x:v>1740</x:v>
      </x:c>
      <x:c r="D371" s="5" t="s">
        <x:v>1</x:v>
      </x:c>
      <x:c r="E371" s="6">
        <x:v>1640</x:v>
      </x:c>
      <x:c r="F371" s="6" t="s">
        <x:v>40</x:v>
      </x:c>
      <x:c r="G371" s="14" t="str">
        <x:f>IF(OR(N371="",N371&gt;기본입력!$C$34),"",VLOOKUP(O371,기본입력!$A$9:$F$33,5))</x:f>
        <x:v>양현수_53778</x:v>
      </x:c>
      <x:c r="H371" s="14" t="str">
        <x:f>IF(OR(N371="",N371&gt;기본입력!$C$34),"",기본입력!$C$6)</x:f>
        <x:v>1교육실(실습겸용강의실)_243089</x:v>
      </x:c>
      <x:c r="I371" s="14" t="str">
        <x:f>IF(OR(O371="",N371&gt;기본입력!$C$34),"",VLOOKUP(O371,기본입력!$A$9:$F$33,6,FALSE))</x:f>
        <x:v>인공지능 프로그래밍__2</x:v>
      </x:c>
      <x:c r="J371" s="38" t="str">
        <x:f t="shared" si="36"/>
        <x:v>인공지능 프로그래밍</x:v>
      </x:c>
      <x:c r="K371" s="38" t="str">
        <x:f t="shared" si="37"/>
        <x:v>1교육실(실습겸용강의실)</x:v>
      </x:c>
      <x:c r="L371" s="38" t="str">
        <x:f t="shared" si="38"/>
        <x:v>양현수</x:v>
      </x:c>
      <x:c r="M371" s="63"/>
      <x:c r="N371" s="30">
        <x:f>IF(F371="2","",COUNTIF($F$3:$F371,"=1"))</x:f>
        <x:v>328</x:v>
      </x:c>
      <x:c r="O371" s="30">
        <x:f t="shared" si="33"/>
        <x:v>5</x:v>
      </x:c>
      <x:c r="P371" s="30">
        <x:f t="shared" si="35"/>
        <x:v>2</x:v>
      </x:c>
      <x:c r="Q371" s="30">
        <x:f>COUNTIF($P$3:P371,"=3")</x:f>
        <x:v>41</x:v>
      </x:c>
      <x:c r="R371" s="29">
        <x:f>WORKDAY(기본입력!$H$2,Q371-1,공휴일)</x:f>
        <x:v>45985</x:v>
      </x:c>
    </x:row>
    <x:row r="372" spans="1:18">
      <x:c r="A372" s="145" t="str">
        <x:f t="shared" si="34"/>
        <x:v>20251125</x:v>
      </x:c>
      <x:c r="B372" s="8" t="s">
        <x:v>5</x:v>
      </x:c>
      <x:c r="C372" s="8">
        <x:v>1740</x:v>
      </x:c>
      <x:c r="D372" s="7" t="s">
        <x:v>1</x:v>
      </x:c>
      <x:c r="E372" s="8" t="s">
        <x:v>5</x:v>
      </x:c>
      <x:c r="F372" s="8" t="s">
        <x:v>40</x:v>
      </x:c>
      <x:c r="G372" s="15" t="str">
        <x:f>IF(OR(N372="",N372&gt;기본입력!$C$34),"",VLOOKUP(O372,기본입력!$A$9:$F$33,5))</x:f>
        <x:v>양현수_53778</x:v>
      </x:c>
      <x:c r="H372" s="15" t="str">
        <x:f>IF(OR(N372="",N372&gt;기본입력!$C$34),"",기본입력!$C$6)</x:f>
        <x:v>1교육실(실습겸용강의실)_243089</x:v>
      </x:c>
      <x:c r="I372" s="15" t="str">
        <x:f>IF(OR(O372="",N372&gt;기본입력!$C$34),"",VLOOKUP(O372,기본입력!$A$9:$F$33,6,FALSE))</x:f>
        <x:v>인공지능 프로그래밍__2</x:v>
      </x:c>
      <x:c r="J372" s="38" t="str">
        <x:f t="shared" si="36"/>
        <x:v>인공지능 프로그래밍</x:v>
      </x:c>
      <x:c r="K372" s="38" t="str">
        <x:f t="shared" si="37"/>
        <x:v>1교육실(실습겸용강의실)</x:v>
      </x:c>
      <x:c r="L372" s="38" t="str">
        <x:f t="shared" si="38"/>
        <x:v>양현수</x:v>
      </x:c>
      <x:c r="M372" s="63"/>
      <x:c r="N372" s="30">
        <x:f>IF(F372="2","",COUNTIF($F$3:$F372,"=1"))</x:f>
        <x:v>329</x:v>
      </x:c>
      <x:c r="O372" s="30">
        <x:f t="shared" si="33"/>
        <x:v>5</x:v>
      </x:c>
      <x:c r="P372" s="30">
        <x:f t="shared" si="35"/>
        <x:v>3</x:v>
      </x:c>
      <x:c r="Q372" s="30">
        <x:f>COUNTIF($P$3:P372,"=3")</x:f>
        <x:v>42</x:v>
      </x:c>
      <x:c r="R372" s="29">
        <x:f>WORKDAY(기본입력!$H$2,Q372-1,공휴일)</x:f>
        <x:v>45986</x:v>
      </x:c>
    </x:row>
    <x:row r="373" spans="1:18">
      <x:c r="A373" s="145" t="str">
        <x:f t="shared" si="34"/>
        <x:v>20251125</x:v>
      </x:c>
      <x:c r="B373" s="8" t="s">
        <x:v>5</x:v>
      </x:c>
      <x:c r="C373" s="8">
        <x:v>1740</x:v>
      </x:c>
      <x:c r="D373" s="7" t="s">
        <x:v>1</x:v>
      </x:c>
      <x:c r="E373" s="8" t="s">
        <x:v>117</x:v>
      </x:c>
      <x:c r="F373" s="8" t="s">
        <x:v>40</x:v>
      </x:c>
      <x:c r="G373" s="15" t="str">
        <x:f>IF(OR(N373="",N373&gt;기본입력!$C$34),"",VLOOKUP(O373,기본입력!$A$9:$F$33,5))</x:f>
        <x:v>양현수_53778</x:v>
      </x:c>
      <x:c r="H373" s="15" t="str">
        <x:f>IF(OR(N373="",N373&gt;기본입력!$C$34),"",기본입력!$C$6)</x:f>
        <x:v>1교육실(실습겸용강의실)_243089</x:v>
      </x:c>
      <x:c r="I373" s="15" t="str">
        <x:f>IF(OR(O373="",N373&gt;기본입력!$C$34),"",VLOOKUP(O373,기본입력!$A$9:$F$33,6,FALSE))</x:f>
        <x:v>인공지능 프로그래밍__2</x:v>
      </x:c>
      <x:c r="J373" s="38" t="str">
        <x:f t="shared" si="36"/>
        <x:v>인공지능 프로그래밍</x:v>
      </x:c>
      <x:c r="K373" s="38" t="str">
        <x:f t="shared" si="37"/>
        <x:v>1교육실(실습겸용강의실)</x:v>
      </x:c>
      <x:c r="L373" s="38" t="str">
        <x:f t="shared" si="38"/>
        <x:v>양현수</x:v>
      </x:c>
      <x:c r="M373" s="63"/>
      <x:c r="N373" s="30">
        <x:f>IF(F373="2","",COUNTIF($F$3:$F373,"=1"))</x:f>
        <x:v>330</x:v>
      </x:c>
      <x:c r="O373" s="30">
        <x:f t="shared" si="33"/>
        <x:v>5</x:v>
      </x:c>
      <x:c r="P373" s="30">
        <x:f t="shared" si="35"/>
        <x:v>4</x:v>
      </x:c>
      <x:c r="Q373" s="30">
        <x:f>COUNTIF($P$3:P373,"=3")</x:f>
        <x:v>42</x:v>
      </x:c>
      <x:c r="R373" s="29">
        <x:f>WORKDAY(기본입력!$H$2,Q373-1,공휴일)</x:f>
        <x:v>45986</x:v>
      </x:c>
    </x:row>
    <x:row r="374" spans="1:18">
      <x:c r="A374" s="145" t="str">
        <x:f t="shared" si="34"/>
        <x:v>20251125</x:v>
      </x:c>
      <x:c r="B374" s="8" t="s">
        <x:v>5</x:v>
      </x:c>
      <x:c r="C374" s="8">
        <x:v>1740</x:v>
      </x:c>
      <x:c r="D374" s="7" t="s">
        <x:v>1</x:v>
      </x:c>
      <x:c r="E374" s="8" t="s">
        <x:v>87</x:v>
      </x:c>
      <x:c r="F374" s="8" t="s">
        <x:v>40</x:v>
      </x:c>
      <x:c r="G374" s="15" t="str">
        <x:f>IF(OR(N374="",N374&gt;기본입력!$C$34),"",VLOOKUP(O374,기본입력!$A$9:$F$33,5))</x:f>
        <x:v>양현수_53778</x:v>
      </x:c>
      <x:c r="H374" s="15" t="str">
        <x:f>IF(OR(N374="",N374&gt;기본입력!$C$34),"",기본입력!$C$6)</x:f>
        <x:v>1교육실(실습겸용강의실)_243089</x:v>
      </x:c>
      <x:c r="I374" s="15" t="str">
        <x:f>IF(OR(O374="",N374&gt;기본입력!$C$34),"",VLOOKUP(O374,기본입력!$A$9:$F$33,6,FALSE))</x:f>
        <x:v>인공지능 프로그래밍__2</x:v>
      </x:c>
      <x:c r="J374" s="38" t="str">
        <x:f t="shared" si="36"/>
        <x:v>인공지능 프로그래밍</x:v>
      </x:c>
      <x:c r="K374" s="38" t="str">
        <x:f t="shared" si="37"/>
        <x:v>1교육실(실습겸용강의실)</x:v>
      </x:c>
      <x:c r="L374" s="38" t="str">
        <x:f t="shared" si="38"/>
        <x:v>양현수</x:v>
      </x:c>
      <x:c r="M374" s="63"/>
      <x:c r="N374" s="30">
        <x:f>IF(F374="2","",COUNTIF($F$3:$F374,"=1"))</x:f>
        <x:v>331</x:v>
      </x:c>
      <x:c r="O374" s="30">
        <x:f t="shared" si="33"/>
        <x:v>5</x:v>
      </x:c>
      <x:c r="P374" s="30">
        <x:f t="shared" si="35"/>
        <x:v>5</x:v>
      </x:c>
      <x:c r="Q374" s="30">
        <x:f>COUNTIF($P$3:P374,"=3")</x:f>
        <x:v>42</x:v>
      </x:c>
      <x:c r="R374" s="29">
        <x:f>WORKDAY(기본입력!$H$2,Q374-1,공휴일)</x:f>
        <x:v>45986</x:v>
      </x:c>
    </x:row>
    <x:row r="375" spans="1:18">
      <x:c r="A375" s="145" t="str">
        <x:f t="shared" si="34"/>
        <x:v>20251125</x:v>
      </x:c>
      <x:c r="B375" s="8" t="s">
        <x:v>5</x:v>
      </x:c>
      <x:c r="C375" s="8">
        <x:v>1740</x:v>
      </x:c>
      <x:c r="D375" s="7" t="s">
        <x:v>1</x:v>
      </x:c>
      <x:c r="E375" s="8" t="s">
        <x:v>88</x:v>
      </x:c>
      <x:c r="F375" s="8" t="s">
        <x:v>40</x:v>
      </x:c>
      <x:c r="G375" s="15" t="str">
        <x:f>IF(OR(N375="",N375&gt;기본입력!$C$34),"",VLOOKUP(O375,기본입력!$A$9:$F$33,5))</x:f>
        <x:v>양현수_53778</x:v>
      </x:c>
      <x:c r="H375" s="15" t="str">
        <x:f>IF(OR(N375="",N375&gt;기본입력!$C$34),"",기본입력!$C$6)</x:f>
        <x:v>1교육실(실습겸용강의실)_243089</x:v>
      </x:c>
      <x:c r="I375" s="15" t="str">
        <x:f>IF(OR(O375="",N375&gt;기본입력!$C$34),"",VLOOKUP(O375,기본입력!$A$9:$F$33,6,FALSE))</x:f>
        <x:v>인공지능 프로그래밍__2</x:v>
      </x:c>
      <x:c r="J375" s="38" t="str">
        <x:f t="shared" si="36"/>
        <x:v>인공지능 프로그래밍</x:v>
      </x:c>
      <x:c r="K375" s="38" t="str">
        <x:f t="shared" si="37"/>
        <x:v>1교육실(실습겸용강의실)</x:v>
      </x:c>
      <x:c r="L375" s="38" t="str">
        <x:f t="shared" si="38"/>
        <x:v>양현수</x:v>
      </x:c>
      <x:c r="M375" s="63"/>
      <x:c r="N375" s="30">
        <x:f>IF(F375="2","",COUNTIF($F$3:$F375,"=1"))</x:f>
        <x:v>332</x:v>
      </x:c>
      <x:c r="O375" s="30">
        <x:f t="shared" si="33"/>
        <x:v>5</x:v>
      </x:c>
      <x:c r="P375" s="30">
        <x:f t="shared" si="35"/>
        <x:v>6</x:v>
      </x:c>
      <x:c r="Q375" s="30">
        <x:f>COUNTIF($P$3:P375,"=3")</x:f>
        <x:v>42</x:v>
      </x:c>
      <x:c r="R375" s="29">
        <x:f>WORKDAY(기본입력!$H$2,Q375-1,공휴일)</x:f>
        <x:v>45986</x:v>
      </x:c>
    </x:row>
    <x:row r="376" spans="1:18">
      <x:c r="A376" s="145" t="str">
        <x:f t="shared" si="34"/>
        <x:v>20251125</x:v>
      </x:c>
      <x:c r="B376" s="8" t="s">
        <x:v>5</x:v>
      </x:c>
      <x:c r="C376" s="8">
        <x:v>1740</x:v>
      </x:c>
      <x:c r="D376" s="7" t="s">
        <x:v>1</x:v>
      </x:c>
      <x:c r="E376" s="8" t="s">
        <x:v>0</x:v>
      </x:c>
      <x:c r="F376" s="8" t="s">
        <x:v>41</x:v>
      </x:c>
      <x:c r="G376" s="15" t="str">
        <x:f>IF(OR(N376="",N376&gt;기본입력!$C$34),"",VLOOKUP(O376,기본입력!$A$9:$F$33,5))</x:f>
        <x:v/>
      </x:c>
      <x:c r="H376" s="15" t="str">
        <x:f>IF(OR(N376="",N376&gt;기본입력!$C$34),"",기본입력!$C$6)</x:f>
        <x:v/>
      </x:c>
      <x:c r="I376" s="15" t="str">
        <x:f>IF(OR(O376="",N376&gt;기본입력!$C$34),"",VLOOKUP(O376,기본입력!$A$9:$F$33,6,FALSE))</x:f>
        <x:v/>
      </x:c>
      <x:c r="J376" s="38" t="str">
        <x:f t="shared" si="36"/>
        <x:v/>
      </x:c>
      <x:c r="K376" s="38" t="str">
        <x:f t="shared" si="37"/>
        <x:v/>
      </x:c>
      <x:c r="L376" s="38" t="str">
        <x:f t="shared" si="38"/>
        <x:v/>
      </x:c>
      <x:c r="M376" s="63"/>
      <x:c r="N376" s="30" t="str">
        <x:f>IF(F376="2","",COUNTIF($F$3:$F376,"=1"))</x:f>
        <x:v/>
      </x:c>
      <x:c r="O376" s="30" t="str">
        <x:f t="shared" si="33"/>
        <x:v/>
      </x:c>
      <x:c r="P376" s="30">
        <x:f t="shared" si="35"/>
        <x:v>7</x:v>
      </x:c>
      <x:c r="Q376" s="30">
        <x:f>COUNTIF($P$3:P376,"=3")</x:f>
        <x:v>42</x:v>
      </x:c>
      <x:c r="R376" s="29">
        <x:f>WORKDAY(기본입력!$H$2,Q376-1,공휴일)</x:f>
        <x:v>45986</x:v>
      </x:c>
    </x:row>
    <x:row r="377" spans="1:18">
      <x:c r="A377" s="145" t="str">
        <x:f t="shared" si="34"/>
        <x:v>20251125</x:v>
      </x:c>
      <x:c r="B377" s="8" t="s">
        <x:v>5</x:v>
      </x:c>
      <x:c r="C377" s="8">
        <x:v>1740</x:v>
      </x:c>
      <x:c r="D377" s="7" t="s">
        <x:v>1</x:v>
      </x:c>
      <x:c r="E377" s="8">
        <x:v>1340</x:v>
      </x:c>
      <x:c r="F377" s="8" t="s">
        <x:v>40</x:v>
      </x:c>
      <x:c r="G377" s="15" t="str">
        <x:f>IF(OR(N377="",N377&gt;기본입력!$C$34),"",VLOOKUP(O377,기본입력!$A$9:$F$33,5))</x:f>
        <x:v>양현수_53778</x:v>
      </x:c>
      <x:c r="H377" s="15" t="str">
        <x:f>IF(OR(N377="",N377&gt;기본입력!$C$34),"",기본입력!$C$6)</x:f>
        <x:v>1교육실(실습겸용강의실)_243089</x:v>
      </x:c>
      <x:c r="I377" s="15" t="str">
        <x:f>IF(OR(O377="",N377&gt;기본입력!$C$34),"",VLOOKUP(O377,기본입력!$A$9:$F$33,6,FALSE))</x:f>
        <x:v>인공지능 프로그래밍__2</x:v>
      </x:c>
      <x:c r="J377" s="38" t="str">
        <x:f t="shared" si="36"/>
        <x:v>인공지능 프로그래밍</x:v>
      </x:c>
      <x:c r="K377" s="38" t="str">
        <x:f t="shared" si="37"/>
        <x:v>1교육실(실습겸용강의실)</x:v>
      </x:c>
      <x:c r="L377" s="38" t="str">
        <x:f t="shared" si="38"/>
        <x:v>양현수</x:v>
      </x:c>
      <x:c r="M377" s="63"/>
      <x:c r="N377" s="30">
        <x:f>IF(F377="2","",COUNTIF($F$3:$F377,"=1"))</x:f>
        <x:v>333</x:v>
      </x:c>
      <x:c r="O377" s="30">
        <x:f t="shared" si="33"/>
        <x:v>5</x:v>
      </x:c>
      <x:c r="P377" s="30">
        <x:f t="shared" si="35"/>
        <x:v>8</x:v>
      </x:c>
      <x:c r="Q377" s="30">
        <x:f>COUNTIF($P$3:P377,"=3")</x:f>
        <x:v>42</x:v>
      </x:c>
      <x:c r="R377" s="29">
        <x:f>WORKDAY(기본입력!$H$2,Q377-1,공휴일)</x:f>
        <x:v>45986</x:v>
      </x:c>
    </x:row>
    <x:row r="378" spans="1:18">
      <x:c r="A378" s="145" t="str">
        <x:f t="shared" si="34"/>
        <x:v>20251125</x:v>
      </x:c>
      <x:c r="B378" s="8" t="s">
        <x:v>5</x:v>
      </x:c>
      <x:c r="C378" s="8">
        <x:v>1740</x:v>
      </x:c>
      <x:c r="D378" s="7" t="s">
        <x:v>1</x:v>
      </x:c>
      <x:c r="E378" s="8">
        <x:v>1440</x:v>
      </x:c>
      <x:c r="F378" s="8" t="s">
        <x:v>40</x:v>
      </x:c>
      <x:c r="G378" s="15" t="str">
        <x:f>IF(OR(N378="",N378&gt;기본입력!$C$34),"",VLOOKUP(O378,기본입력!$A$9:$F$33,5))</x:f>
        <x:v>양현수_53778</x:v>
      </x:c>
      <x:c r="H378" s="15" t="str">
        <x:f>IF(OR(N378="",N378&gt;기본입력!$C$34),"",기본입력!$C$6)</x:f>
        <x:v>1교육실(실습겸용강의실)_243089</x:v>
      </x:c>
      <x:c r="I378" s="15" t="str">
        <x:f>IF(OR(O378="",N378&gt;기본입력!$C$34),"",VLOOKUP(O378,기본입력!$A$9:$F$33,6,FALSE))</x:f>
        <x:v>인공지능 프로그래밍__2</x:v>
      </x:c>
      <x:c r="J378" s="38" t="str">
        <x:f t="shared" si="36"/>
        <x:v>인공지능 프로그래밍</x:v>
      </x:c>
      <x:c r="K378" s="38" t="str">
        <x:f t="shared" si="37"/>
        <x:v>1교육실(실습겸용강의실)</x:v>
      </x:c>
      <x:c r="L378" s="38" t="str">
        <x:f t="shared" si="38"/>
        <x:v>양현수</x:v>
      </x:c>
      <x:c r="M378" s="63"/>
      <x:c r="N378" s="30">
        <x:f>IF(F378="2","",COUNTIF($F$3:$F378,"=1"))</x:f>
        <x:v>334</x:v>
      </x:c>
      <x:c r="O378" s="30">
        <x:f t="shared" si="33"/>
        <x:v>5</x:v>
      </x:c>
      <x:c r="P378" s="30">
        <x:f t="shared" si="35"/>
        <x:v>0</x:v>
      </x:c>
      <x:c r="Q378" s="30">
        <x:f>COUNTIF($P$3:P378,"=3")</x:f>
        <x:v>42</x:v>
      </x:c>
      <x:c r="R378" s="29">
        <x:f>WORKDAY(기본입력!$H$2,Q378-1,공휴일)</x:f>
        <x:v>45986</x:v>
      </x:c>
    </x:row>
    <x:row r="379" spans="1:18">
      <x:c r="A379" s="145" t="str">
        <x:f t="shared" si="34"/>
        <x:v>20251125</x:v>
      </x:c>
      <x:c r="B379" s="8" t="s">
        <x:v>5</x:v>
      </x:c>
      <x:c r="C379" s="8">
        <x:v>1740</x:v>
      </x:c>
      <x:c r="D379" s="7" t="s">
        <x:v>1</x:v>
      </x:c>
      <x:c r="E379" s="8">
        <x:v>1540</x:v>
      </x:c>
      <x:c r="F379" s="8" t="s">
        <x:v>40</x:v>
      </x:c>
      <x:c r="G379" s="15" t="str">
        <x:f>IF(OR(N379="",N379&gt;기본입력!$C$34),"",VLOOKUP(O379,기본입력!$A$9:$F$33,5))</x:f>
        <x:v>양현수_53778</x:v>
      </x:c>
      <x:c r="H379" s="15" t="str">
        <x:f>IF(OR(N379="",N379&gt;기본입력!$C$34),"",기본입력!$C$6)</x:f>
        <x:v>1교육실(실습겸용강의실)_243089</x:v>
      </x:c>
      <x:c r="I379" s="15" t="str">
        <x:f>IF(OR(O379="",N379&gt;기본입력!$C$34),"",VLOOKUP(O379,기본입력!$A$9:$F$33,6,FALSE))</x:f>
        <x:v>인공지능 프로그래밍__2</x:v>
      </x:c>
      <x:c r="J379" s="38" t="str">
        <x:f t="shared" si="36"/>
        <x:v>인공지능 프로그래밍</x:v>
      </x:c>
      <x:c r="K379" s="38" t="str">
        <x:f t="shared" si="37"/>
        <x:v>1교육실(실습겸용강의실)</x:v>
      </x:c>
      <x:c r="L379" s="38" t="str">
        <x:f t="shared" si="38"/>
        <x:v>양현수</x:v>
      </x:c>
      <x:c r="M379" s="63"/>
      <x:c r="N379" s="30">
        <x:f>IF(F379="2","",COUNTIF($F$3:$F379,"=1"))</x:f>
        <x:v>335</x:v>
      </x:c>
      <x:c r="O379" s="30">
        <x:f t="shared" si="33"/>
        <x:v>5</x:v>
      </x:c>
      <x:c r="P379" s="30">
        <x:f t="shared" si="35"/>
        <x:v>1</x:v>
      </x:c>
      <x:c r="Q379" s="30">
        <x:f>COUNTIF($P$3:P379,"=3")</x:f>
        <x:v>42</x:v>
      </x:c>
      <x:c r="R379" s="29">
        <x:f>WORKDAY(기본입력!$H$2,Q379-1,공휴일)</x:f>
        <x:v>45986</x:v>
      </x:c>
    </x:row>
    <x:row r="380" spans="1:18">
      <x:c r="A380" s="145" t="str">
        <x:f t="shared" si="34"/>
        <x:v>20251125</x:v>
      </x:c>
      <x:c r="B380" s="8" t="s">
        <x:v>5</x:v>
      </x:c>
      <x:c r="C380" s="8">
        <x:v>1740</x:v>
      </x:c>
      <x:c r="D380" s="7" t="s">
        <x:v>1</x:v>
      </x:c>
      <x:c r="E380" s="8">
        <x:v>1640</x:v>
      </x:c>
      <x:c r="F380" s="8" t="s">
        <x:v>40</x:v>
      </x:c>
      <x:c r="G380" s="15" t="str">
        <x:f>IF(OR(N380="",N380&gt;기본입력!$C$34),"",VLOOKUP(O380,기본입력!$A$9:$F$33,5))</x:f>
        <x:v>양현수_53778</x:v>
      </x:c>
      <x:c r="H380" s="15" t="str">
        <x:f>IF(OR(N380="",N380&gt;기본입력!$C$34),"",기본입력!$C$6)</x:f>
        <x:v>1교육실(실습겸용강의실)_243089</x:v>
      </x:c>
      <x:c r="I380" s="15" t="str">
        <x:f>IF(OR(O380="",N380&gt;기본입력!$C$34),"",VLOOKUP(O380,기본입력!$A$9:$F$33,6,FALSE))</x:f>
        <x:v>인공지능 프로그래밍__2</x:v>
      </x:c>
      <x:c r="J380" s="38" t="str">
        <x:f t="shared" si="36"/>
        <x:v>인공지능 프로그래밍</x:v>
      </x:c>
      <x:c r="K380" s="38" t="str">
        <x:f t="shared" si="37"/>
        <x:v>1교육실(실습겸용강의실)</x:v>
      </x:c>
      <x:c r="L380" s="38" t="str">
        <x:f t="shared" si="38"/>
        <x:v>양현수</x:v>
      </x:c>
      <x:c r="M380" s="63"/>
      <x:c r="N380" s="30">
        <x:f>IF(F380="2","",COUNTIF($F$3:$F380,"=1"))</x:f>
        <x:v>336</x:v>
      </x:c>
      <x:c r="O380" s="30">
        <x:f t="shared" si="33"/>
        <x:v>5</x:v>
      </x:c>
      <x:c r="P380" s="30">
        <x:f t="shared" si="35"/>
        <x:v>2</x:v>
      </x:c>
      <x:c r="Q380" s="30">
        <x:f>COUNTIF($P$3:P380,"=3")</x:f>
        <x:v>42</x:v>
      </x:c>
      <x:c r="R380" s="29">
        <x:f>WORKDAY(기본입력!$H$2,Q380-1,공휴일)</x:f>
        <x:v>45986</x:v>
      </x:c>
    </x:row>
    <x:row r="381" spans="1:18">
      <x:c r="A381" s="144" t="str">
        <x:f t="shared" si="34"/>
        <x:v>20251126</x:v>
      </x:c>
      <x:c r="B381" s="6" t="s">
        <x:v>5</x:v>
      </x:c>
      <x:c r="C381" s="6">
        <x:v>1740</x:v>
      </x:c>
      <x:c r="D381" s="5" t="s">
        <x:v>1</x:v>
      </x:c>
      <x:c r="E381" s="6" t="s">
        <x:v>5</x:v>
      </x:c>
      <x:c r="F381" s="6" t="s">
        <x:v>40</x:v>
      </x:c>
      <x:c r="G381" s="14" t="str">
        <x:f>IF(OR(N381="",N381&gt;기본입력!$C$34),"",VLOOKUP(O381,기본입력!$A$9:$F$33,5))</x:f>
        <x:v>양현수_53778</x:v>
      </x:c>
      <x:c r="H381" s="14" t="str">
        <x:f>IF(OR(N381="",N381&gt;기본입력!$C$34),"",기본입력!$C$6)</x:f>
        <x:v>1교육실(실습겸용강의실)_243089</x:v>
      </x:c>
      <x:c r="I381" s="14" t="str">
        <x:f>IF(OR(O381="",N381&gt;기본입력!$C$34),"",VLOOKUP(O381,기본입력!$A$9:$F$33,6,FALSE))</x:f>
        <x:v>인공지능 프로그래밍__2</x:v>
      </x:c>
      <x:c r="J381" s="38" t="str">
        <x:f t="shared" si="36"/>
        <x:v>인공지능 프로그래밍</x:v>
      </x:c>
      <x:c r="K381" s="38" t="str">
        <x:f t="shared" si="37"/>
        <x:v>1교육실(실습겸용강의실)</x:v>
      </x:c>
      <x:c r="L381" s="38" t="str">
        <x:f t="shared" si="38"/>
        <x:v>양현수</x:v>
      </x:c>
      <x:c r="M381" s="63"/>
      <x:c r="N381" s="30">
        <x:f>IF(F381="2","",COUNTIF($F$3:$F381,"=1"))</x:f>
        <x:v>337</x:v>
      </x:c>
      <x:c r="O381" s="30">
        <x:f t="shared" si="33"/>
        <x:v>5</x:v>
      </x:c>
      <x:c r="P381" s="30">
        <x:f t="shared" si="35"/>
        <x:v>3</x:v>
      </x:c>
      <x:c r="Q381" s="30">
        <x:f>COUNTIF($P$3:P381,"=3")</x:f>
        <x:v>43</x:v>
      </x:c>
      <x:c r="R381" s="29">
        <x:f>WORKDAY(기본입력!$H$2,Q381-1,공휴일)</x:f>
        <x:v>45987</x:v>
      </x:c>
    </x:row>
    <x:row r="382" spans="1:18">
      <x:c r="A382" s="144" t="str">
        <x:f t="shared" si="34"/>
        <x:v>20251126</x:v>
      </x:c>
      <x:c r="B382" s="6" t="s">
        <x:v>5</x:v>
      </x:c>
      <x:c r="C382" s="6">
        <x:v>1740</x:v>
      </x:c>
      <x:c r="D382" s="5" t="s">
        <x:v>1</x:v>
      </x:c>
      <x:c r="E382" s="6" t="s">
        <x:v>117</x:v>
      </x:c>
      <x:c r="F382" s="6" t="s">
        <x:v>40</x:v>
      </x:c>
      <x:c r="G382" s="14" t="str">
        <x:f>IF(OR(N382="",N382&gt;기본입력!$C$34),"",VLOOKUP(O382,기본입력!$A$9:$F$33,5))</x:f>
        <x:v>양현수_53778</x:v>
      </x:c>
      <x:c r="H382" s="14" t="str">
        <x:f>IF(OR(N382="",N382&gt;기본입력!$C$34),"",기본입력!$C$6)</x:f>
        <x:v>1교육실(실습겸용강의실)_243089</x:v>
      </x:c>
      <x:c r="I382" s="14" t="str">
        <x:f>IF(OR(O382="",N382&gt;기본입력!$C$34),"",VLOOKUP(O382,기본입력!$A$9:$F$33,6,FALSE))</x:f>
        <x:v>인공지능 프로그래밍__2</x:v>
      </x:c>
      <x:c r="J382" s="38" t="str">
        <x:f t="shared" si="36"/>
        <x:v>인공지능 프로그래밍</x:v>
      </x:c>
      <x:c r="K382" s="38" t="str">
        <x:f t="shared" si="37"/>
        <x:v>1교육실(실습겸용강의실)</x:v>
      </x:c>
      <x:c r="L382" s="38" t="str">
        <x:f t="shared" si="38"/>
        <x:v>양현수</x:v>
      </x:c>
      <x:c r="M382" s="63"/>
      <x:c r="N382" s="30">
        <x:f>IF(F382="2","",COUNTIF($F$3:$F382,"=1"))</x:f>
        <x:v>338</x:v>
      </x:c>
      <x:c r="O382" s="30">
        <x:f t="shared" si="33"/>
        <x:v>5</x:v>
      </x:c>
      <x:c r="P382" s="30">
        <x:f t="shared" si="35"/>
        <x:v>4</x:v>
      </x:c>
      <x:c r="Q382" s="30">
        <x:f>COUNTIF($P$3:P382,"=3")</x:f>
        <x:v>43</x:v>
      </x:c>
      <x:c r="R382" s="29">
        <x:f>WORKDAY(기본입력!$H$2,Q382-1,공휴일)</x:f>
        <x:v>45987</x:v>
      </x:c>
    </x:row>
    <x:row r="383" spans="1:18">
      <x:c r="A383" s="144" t="str">
        <x:f t="shared" si="34"/>
        <x:v>20251126</x:v>
      </x:c>
      <x:c r="B383" s="6" t="s">
        <x:v>5</x:v>
      </x:c>
      <x:c r="C383" s="6">
        <x:v>1740</x:v>
      </x:c>
      <x:c r="D383" s="5" t="s">
        <x:v>1</x:v>
      </x:c>
      <x:c r="E383" s="6" t="s">
        <x:v>87</x:v>
      </x:c>
      <x:c r="F383" s="6" t="s">
        <x:v>40</x:v>
      </x:c>
      <x:c r="G383" s="14" t="str">
        <x:f>IF(OR(N383="",N383&gt;기본입력!$C$34),"",VLOOKUP(O383,기본입력!$A$9:$F$33,5))</x:f>
        <x:v>양현수_53778</x:v>
      </x:c>
      <x:c r="H383" s="14" t="str">
        <x:f>IF(OR(N383="",N383&gt;기본입력!$C$34),"",기본입력!$C$6)</x:f>
        <x:v>1교육실(실습겸용강의실)_243089</x:v>
      </x:c>
      <x:c r="I383" s="14" t="str">
        <x:f>IF(OR(O383="",N383&gt;기본입력!$C$34),"",VLOOKUP(O383,기본입력!$A$9:$F$33,6,FALSE))</x:f>
        <x:v>인공지능 프로그래밍__2</x:v>
      </x:c>
      <x:c r="J383" s="38" t="str">
        <x:f t="shared" si="36"/>
        <x:v>인공지능 프로그래밍</x:v>
      </x:c>
      <x:c r="K383" s="38" t="str">
        <x:f t="shared" si="37"/>
        <x:v>1교육실(실습겸용강의실)</x:v>
      </x:c>
      <x:c r="L383" s="38" t="str">
        <x:f t="shared" si="38"/>
        <x:v>양현수</x:v>
      </x:c>
      <x:c r="M383" s="63"/>
      <x:c r="N383" s="30">
        <x:f>IF(F383="2","",COUNTIF($F$3:$F383,"=1"))</x:f>
        <x:v>339</x:v>
      </x:c>
      <x:c r="O383" s="30">
        <x:f t="shared" si="33"/>
        <x:v>5</x:v>
      </x:c>
      <x:c r="P383" s="30">
        <x:f t="shared" si="35"/>
        <x:v>5</x:v>
      </x:c>
      <x:c r="Q383" s="30">
        <x:f>COUNTIF($P$3:P383,"=3")</x:f>
        <x:v>43</x:v>
      </x:c>
      <x:c r="R383" s="29">
        <x:f>WORKDAY(기본입력!$H$2,Q383-1,공휴일)</x:f>
        <x:v>45987</x:v>
      </x:c>
    </x:row>
    <x:row r="384" spans="1:18">
      <x:c r="A384" s="144" t="str">
        <x:f t="shared" si="34"/>
        <x:v>20251126</x:v>
      </x:c>
      <x:c r="B384" s="6" t="s">
        <x:v>5</x:v>
      </x:c>
      <x:c r="C384" s="6">
        <x:v>1740</x:v>
      </x:c>
      <x:c r="D384" s="5" t="s">
        <x:v>1</x:v>
      </x:c>
      <x:c r="E384" s="6" t="s">
        <x:v>88</x:v>
      </x:c>
      <x:c r="F384" s="6" t="s">
        <x:v>40</x:v>
      </x:c>
      <x:c r="G384" s="14" t="str">
        <x:f>IF(OR(N384="",N384&gt;기본입력!$C$34),"",VLOOKUP(O384,기본입력!$A$9:$F$33,5))</x:f>
        <x:v>양현수_53778</x:v>
      </x:c>
      <x:c r="H384" s="14" t="str">
        <x:f>IF(OR(N384="",N384&gt;기본입력!$C$34),"",기본입력!$C$6)</x:f>
        <x:v>1교육실(실습겸용강의실)_243089</x:v>
      </x:c>
      <x:c r="I384" s="14" t="str">
        <x:f>IF(OR(O384="",N384&gt;기본입력!$C$34),"",VLOOKUP(O384,기본입력!$A$9:$F$33,6,FALSE))</x:f>
        <x:v>인공지능 프로그래밍__2</x:v>
      </x:c>
      <x:c r="J384" s="38" t="str">
        <x:f t="shared" si="36"/>
        <x:v>인공지능 프로그래밍</x:v>
      </x:c>
      <x:c r="K384" s="38" t="str">
        <x:f t="shared" si="37"/>
        <x:v>1교육실(실습겸용강의실)</x:v>
      </x:c>
      <x:c r="L384" s="38" t="str">
        <x:f t="shared" si="38"/>
        <x:v>양현수</x:v>
      </x:c>
      <x:c r="M384" s="63"/>
      <x:c r="N384" s="30">
        <x:f>IF(F384="2","",COUNTIF($F$3:$F384,"=1"))</x:f>
        <x:v>340</x:v>
      </x:c>
      <x:c r="O384" s="30">
        <x:f t="shared" si="33"/>
        <x:v>5</x:v>
      </x:c>
      <x:c r="P384" s="30">
        <x:f t="shared" si="35"/>
        <x:v>6</x:v>
      </x:c>
      <x:c r="Q384" s="30">
        <x:f>COUNTIF($P$3:P384,"=3")</x:f>
        <x:v>43</x:v>
      </x:c>
      <x:c r="R384" s="29">
        <x:f>WORKDAY(기본입력!$H$2,Q384-1,공휴일)</x:f>
        <x:v>45987</x:v>
      </x:c>
    </x:row>
    <x:row r="385" spans="1:18">
      <x:c r="A385" s="144" t="str">
        <x:f t="shared" si="34"/>
        <x:v>20251126</x:v>
      </x:c>
      <x:c r="B385" s="6" t="s">
        <x:v>5</x:v>
      </x:c>
      <x:c r="C385" s="6">
        <x:v>1740</x:v>
      </x:c>
      <x:c r="D385" s="5" t="s">
        <x:v>1</x:v>
      </x:c>
      <x:c r="E385" s="6" t="s">
        <x:v>0</x:v>
      </x:c>
      <x:c r="F385" s="6" t="s">
        <x:v>41</x:v>
      </x:c>
      <x:c r="G385" s="14" t="str">
        <x:f>IF(OR(N385="",N385&gt;기본입력!$C$34),"",VLOOKUP(O385,기본입력!$A$9:$F$33,5))</x:f>
        <x:v/>
      </x:c>
      <x:c r="H385" s="14" t="str">
        <x:f>IF(OR(N385="",N385&gt;기본입력!$C$34),"",기본입력!$C$6)</x:f>
        <x:v/>
      </x:c>
      <x:c r="I385" s="14" t="str">
        <x:f>IF(OR(O385="",N385&gt;기본입력!$C$34),"",VLOOKUP(O385,기본입력!$A$9:$F$33,6,FALSE))</x:f>
        <x:v/>
      </x:c>
      <x:c r="J385" s="38" t="str">
        <x:f t="shared" si="36"/>
        <x:v/>
      </x:c>
      <x:c r="K385" s="38" t="str">
        <x:f t="shared" si="37"/>
        <x:v/>
      </x:c>
      <x:c r="L385" s="38" t="str">
        <x:f t="shared" si="38"/>
        <x:v/>
      </x:c>
      <x:c r="M385" s="63"/>
      <x:c r="N385" s="30" t="str">
        <x:f>IF(F385="2","",COUNTIF($F$3:$F385,"=1"))</x:f>
        <x:v/>
      </x:c>
      <x:c r="O385" s="30" t="str">
        <x:f t="shared" si="33"/>
        <x:v/>
      </x:c>
      <x:c r="P385" s="30">
        <x:f t="shared" si="35"/>
        <x:v>7</x:v>
      </x:c>
      <x:c r="Q385" s="30">
        <x:f>COUNTIF($P$3:P385,"=3")</x:f>
        <x:v>43</x:v>
      </x:c>
      <x:c r="R385" s="29">
        <x:f>WORKDAY(기본입력!$H$2,Q385-1,공휴일)</x:f>
        <x:v>45987</x:v>
      </x:c>
    </x:row>
    <x:row r="386" spans="1:18">
      <x:c r="A386" s="144" t="str">
        <x:f t="shared" si="34"/>
        <x:v>20251126</x:v>
      </x:c>
      <x:c r="B386" s="6" t="s">
        <x:v>5</x:v>
      </x:c>
      <x:c r="C386" s="6">
        <x:v>1740</x:v>
      </x:c>
      <x:c r="D386" s="5" t="s">
        <x:v>1</x:v>
      </x:c>
      <x:c r="E386" s="6">
        <x:v>1340</x:v>
      </x:c>
      <x:c r="F386" s="6" t="s">
        <x:v>40</x:v>
      </x:c>
      <x:c r="G386" s="14" t="str">
        <x:f>IF(OR(N386="",N386&gt;기본입력!$C$34),"",VLOOKUP(O386,기본입력!$A$9:$F$33,5))</x:f>
        <x:v>양현수_53778</x:v>
      </x:c>
      <x:c r="H386" s="14" t="str">
        <x:f>IF(OR(N386="",N386&gt;기본입력!$C$34),"",기본입력!$C$6)</x:f>
        <x:v>1교육실(실습겸용강의실)_243089</x:v>
      </x:c>
      <x:c r="I386" s="14" t="str">
        <x:f>IF(OR(O386="",N386&gt;기본입력!$C$34),"",VLOOKUP(O386,기본입력!$A$9:$F$33,6,FALSE))</x:f>
        <x:v>인공지능 프로그래밍__2</x:v>
      </x:c>
      <x:c r="J386" s="38" t="str">
        <x:f t="shared" si="36"/>
        <x:v>인공지능 프로그래밍</x:v>
      </x:c>
      <x:c r="K386" s="38" t="str">
        <x:f t="shared" si="37"/>
        <x:v>1교육실(실습겸용강의실)</x:v>
      </x:c>
      <x:c r="L386" s="38" t="str">
        <x:f t="shared" si="38"/>
        <x:v>양현수</x:v>
      </x:c>
      <x:c r="M386" s="63"/>
      <x:c r="N386" s="30">
        <x:f>IF(F386="2","",COUNTIF($F$3:$F386,"=1"))</x:f>
        <x:v>341</x:v>
      </x:c>
      <x:c r="O386" s="30">
        <x:f t="shared" si="33"/>
        <x:v>5</x:v>
      </x:c>
      <x:c r="P386" s="30">
        <x:f t="shared" si="35"/>
        <x:v>8</x:v>
      </x:c>
      <x:c r="Q386" s="30">
        <x:f>COUNTIF($P$3:P386,"=3")</x:f>
        <x:v>43</x:v>
      </x:c>
      <x:c r="R386" s="29">
        <x:f>WORKDAY(기본입력!$H$2,Q386-1,공휴일)</x:f>
        <x:v>45987</x:v>
      </x:c>
    </x:row>
    <x:row r="387" spans="1:18">
      <x:c r="A387" s="144" t="str">
        <x:f t="shared" si="34"/>
        <x:v>20251126</x:v>
      </x:c>
      <x:c r="B387" s="6" t="s">
        <x:v>5</x:v>
      </x:c>
      <x:c r="C387" s="6">
        <x:v>1740</x:v>
      </x:c>
      <x:c r="D387" s="5" t="s">
        <x:v>1</x:v>
      </x:c>
      <x:c r="E387" s="6">
        <x:v>1440</x:v>
      </x:c>
      <x:c r="F387" s="6" t="s">
        <x:v>40</x:v>
      </x:c>
      <x:c r="G387" s="14" t="str">
        <x:f>IF(OR(N387="",N387&gt;기본입력!$C$34),"",VLOOKUP(O387,기본입력!$A$9:$F$33,5))</x:f>
        <x:v>양현수_53778</x:v>
      </x:c>
      <x:c r="H387" s="14" t="str">
        <x:f>IF(OR(N387="",N387&gt;기본입력!$C$34),"",기본입력!$C$6)</x:f>
        <x:v>1교육실(실습겸용강의실)_243089</x:v>
      </x:c>
      <x:c r="I387" s="14" t="str">
        <x:f>IF(OR(O387="",N387&gt;기본입력!$C$34),"",VLOOKUP(O387,기본입력!$A$9:$F$33,6,FALSE))</x:f>
        <x:v>인공지능 프로그래밍__2</x:v>
      </x:c>
      <x:c r="J387" s="38" t="str">
        <x:f t="shared" si="36"/>
        <x:v>인공지능 프로그래밍</x:v>
      </x:c>
      <x:c r="K387" s="38" t="str">
        <x:f t="shared" si="37"/>
        <x:v>1교육실(실습겸용강의실)</x:v>
      </x:c>
      <x:c r="L387" s="38" t="str">
        <x:f t="shared" si="38"/>
        <x:v>양현수</x:v>
      </x:c>
      <x:c r="M387" s="63"/>
      <x:c r="N387" s="30">
        <x:f>IF(F387="2","",COUNTIF($F$3:$F387,"=1"))</x:f>
        <x:v>342</x:v>
      </x:c>
      <x:c r="O387" s="30">
        <x:f t="shared" ref="O387:O450" si="39">IF(F387="2","",IF(N387&lt;=누적시수1,1,IF(N387&lt;=누적시수2,2,IF(N387&lt;=누적시수3,3,IF(N387&lt;=누적시수4,4,IF(N387&lt;=누적시수5,5,IF(N387&lt;=누적시수6,6,IF(N387&lt;=누적시수7,7,IF(N387&lt;=누적시수8,8,IF(N387&lt;=누적시수9,9,IF(N387&lt;=누적시수10,10,IF(N387&lt;=누적시수11,11,IF(N387&lt;=누적시수12,12,IF(N387&lt;=누적시수13,13,IF(N387&lt;=누적시수14,14,IF(N387&lt;=누적시수15,15,IF(N387&lt;=누적시수16,16,IF(N387&lt;=누적시수17,17,IF(N387&lt;=누적시수18,18,IF(N387&lt;=누적시수19,19,IF(N387&lt;=누적시수20,20,IF(N387&lt;=누적시수21,21,IF(N387&lt;=누적시수22,22,IF(N387&lt;=누적시수23,23,IF(N387&lt;=누적시수24,24,IF(N387&lt;=누적시수25,25,0))))))))))))))))))))))))))</x:f>
        <x:v>5</x:v>
      </x:c>
      <x:c r="P387" s="30">
        <x:f t="shared" si="35"/>
        <x:v>0</x:v>
      </x:c>
      <x:c r="Q387" s="30">
        <x:f>COUNTIF($P$3:P387,"=3")</x:f>
        <x:v>43</x:v>
      </x:c>
      <x:c r="R387" s="29">
        <x:f>WORKDAY(기본입력!$H$2,Q387-1,공휴일)</x:f>
        <x:v>45987</x:v>
      </x:c>
    </x:row>
    <x:row r="388" spans="1:18">
      <x:c r="A388" s="144" t="str">
        <x:f t="shared" ref="A388:A451" si="40">TEXT(R388,"yyyymmdd")</x:f>
        <x:v>20251126</x:v>
      </x:c>
      <x:c r="B388" s="6" t="s">
        <x:v>5</x:v>
      </x:c>
      <x:c r="C388" s="6">
        <x:v>1740</x:v>
      </x:c>
      <x:c r="D388" s="5" t="s">
        <x:v>1</x:v>
      </x:c>
      <x:c r="E388" s="6">
        <x:v>1540</x:v>
      </x:c>
      <x:c r="F388" s="6" t="s">
        <x:v>40</x:v>
      </x:c>
      <x:c r="G388" s="14" t="str">
        <x:f>IF(OR(N388="",N388&gt;기본입력!$C$34),"",VLOOKUP(O388,기본입력!$A$9:$F$33,5))</x:f>
        <x:v>양현수_53778</x:v>
      </x:c>
      <x:c r="H388" s="14" t="str">
        <x:f>IF(OR(N388="",N388&gt;기본입력!$C$34),"",기본입력!$C$6)</x:f>
        <x:v>1교육실(실습겸용강의실)_243089</x:v>
      </x:c>
      <x:c r="I388" s="14" t="str">
        <x:f>IF(OR(O388="",N388&gt;기본입력!$C$34),"",VLOOKUP(O388,기본입력!$A$9:$F$33,6,FALSE))</x:f>
        <x:v>인공지능 프로그래밍__2</x:v>
      </x:c>
      <x:c r="J388" s="38" t="str">
        <x:f t="shared" si="36"/>
        <x:v>인공지능 프로그래밍</x:v>
      </x:c>
      <x:c r="K388" s="38" t="str">
        <x:f t="shared" si="37"/>
        <x:v>1교육실(실습겸용강의실)</x:v>
      </x:c>
      <x:c r="L388" s="38" t="str">
        <x:f t="shared" si="38"/>
        <x:v>양현수</x:v>
      </x:c>
      <x:c r="M388" s="63"/>
      <x:c r="N388" s="30">
        <x:f>IF(F388="2","",COUNTIF($F$3:$F388,"=1"))</x:f>
        <x:v>343</x:v>
      </x:c>
      <x:c r="O388" s="30">
        <x:f t="shared" si="39"/>
        <x:v>5</x:v>
      </x:c>
      <x:c r="P388" s="30">
        <x:f t="shared" ref="P388:P451" si="41">MOD(ROW(),9)</x:f>
        <x:v>1</x:v>
      </x:c>
      <x:c r="Q388" s="30">
        <x:f>COUNTIF($P$3:P388,"=3")</x:f>
        <x:v>43</x:v>
      </x:c>
      <x:c r="R388" s="29">
        <x:f>WORKDAY(기본입력!$H$2,Q388-1,공휴일)</x:f>
        <x:v>45987</x:v>
      </x:c>
    </x:row>
    <x:row r="389" spans="1:18">
      <x:c r="A389" s="144" t="str">
        <x:f t="shared" si="40"/>
        <x:v>20251126</x:v>
      </x:c>
      <x:c r="B389" s="6" t="s">
        <x:v>5</x:v>
      </x:c>
      <x:c r="C389" s="6">
        <x:v>1740</x:v>
      </x:c>
      <x:c r="D389" s="5" t="s">
        <x:v>1</x:v>
      </x:c>
      <x:c r="E389" s="6">
        <x:v>1640</x:v>
      </x:c>
      <x:c r="F389" s="6" t="s">
        <x:v>40</x:v>
      </x:c>
      <x:c r="G389" s="14" t="str">
        <x:f>IF(OR(N389="",N389&gt;기본입력!$C$34),"",VLOOKUP(O389,기본입력!$A$9:$F$33,5))</x:f>
        <x:v>양현수_53778</x:v>
      </x:c>
      <x:c r="H389" s="14" t="str">
        <x:f>IF(OR(N389="",N389&gt;기본입력!$C$34),"",기본입력!$C$6)</x:f>
        <x:v>1교육실(실습겸용강의실)_243089</x:v>
      </x:c>
      <x:c r="I389" s="14" t="str">
        <x:f>IF(OR(O389="",N389&gt;기본입력!$C$34),"",VLOOKUP(O389,기본입력!$A$9:$F$33,6,FALSE))</x:f>
        <x:v>인공지능 프로그래밍__2</x:v>
      </x:c>
      <x:c r="J389" s="38" t="str">
        <x:f t="shared" si="36"/>
        <x:v>인공지능 프로그래밍</x:v>
      </x:c>
      <x:c r="K389" s="38" t="str">
        <x:f t="shared" si="37"/>
        <x:v>1교육실(실습겸용강의실)</x:v>
      </x:c>
      <x:c r="L389" s="38" t="str">
        <x:f t="shared" si="38"/>
        <x:v>양현수</x:v>
      </x:c>
      <x:c r="M389" s="63"/>
      <x:c r="N389" s="30">
        <x:f>IF(F389="2","",COUNTIF($F$3:$F389,"=1"))</x:f>
        <x:v>344</x:v>
      </x:c>
      <x:c r="O389" s="30">
        <x:f t="shared" si="39"/>
        <x:v>5</x:v>
      </x:c>
      <x:c r="P389" s="30">
        <x:f t="shared" si="41"/>
        <x:v>2</x:v>
      </x:c>
      <x:c r="Q389" s="30">
        <x:f>COUNTIF($P$3:P389,"=3")</x:f>
        <x:v>43</x:v>
      </x:c>
      <x:c r="R389" s="29">
        <x:f>WORKDAY(기본입력!$H$2,Q389-1,공휴일)</x:f>
        <x:v>45987</x:v>
      </x:c>
    </x:row>
    <x:row r="390" spans="1:18">
      <x:c r="A390" s="145" t="str">
        <x:f t="shared" si="40"/>
        <x:v>20251127</x:v>
      </x:c>
      <x:c r="B390" s="8" t="s">
        <x:v>5</x:v>
      </x:c>
      <x:c r="C390" s="8">
        <x:v>1740</x:v>
      </x:c>
      <x:c r="D390" s="7" t="s">
        <x:v>1</x:v>
      </x:c>
      <x:c r="E390" s="8" t="s">
        <x:v>5</x:v>
      </x:c>
      <x:c r="F390" s="8" t="s">
        <x:v>40</x:v>
      </x:c>
      <x:c r="G390" s="15" t="str">
        <x:f>IF(OR(N390="",N390&gt;기본입력!$C$34),"",VLOOKUP(O390,기본입력!$A$9:$F$33,5))</x:f>
        <x:v>양현수_53778</x:v>
      </x:c>
      <x:c r="H390" s="15" t="str">
        <x:f>IF(OR(N390="",N390&gt;기본입력!$C$34),"",기본입력!$C$6)</x:f>
        <x:v>1교육실(실습겸용강의실)_243089</x:v>
      </x:c>
      <x:c r="I390" s="15" t="str">
        <x:f>IF(OR(O390="",N390&gt;기본입력!$C$34),"",VLOOKUP(O390,기본입력!$A$9:$F$33,6,FALSE))</x:f>
        <x:v>인공지능 프로그래밍__2</x:v>
      </x:c>
      <x:c r="J390" s="38" t="str">
        <x:f t="shared" si="36"/>
        <x:v>인공지능 프로그래밍</x:v>
      </x:c>
      <x:c r="K390" s="38" t="str">
        <x:f t="shared" si="37"/>
        <x:v>1교육실(실습겸용강의실)</x:v>
      </x:c>
      <x:c r="L390" s="38" t="str">
        <x:f t="shared" si="38"/>
        <x:v>양현수</x:v>
      </x:c>
      <x:c r="M390" s="63"/>
      <x:c r="N390" s="30">
        <x:f>IF(F390="2","",COUNTIF($F$3:$F390,"=1"))</x:f>
        <x:v>345</x:v>
      </x:c>
      <x:c r="O390" s="30">
        <x:f t="shared" si="39"/>
        <x:v>5</x:v>
      </x:c>
      <x:c r="P390" s="30">
        <x:f t="shared" si="41"/>
        <x:v>3</x:v>
      </x:c>
      <x:c r="Q390" s="30">
        <x:f>COUNTIF($P$3:P390,"=3")</x:f>
        <x:v>44</x:v>
      </x:c>
      <x:c r="R390" s="29">
        <x:f>WORKDAY(기본입력!$H$2,Q390-1,공휴일)</x:f>
        <x:v>45988</x:v>
      </x:c>
    </x:row>
    <x:row r="391" spans="1:18">
      <x:c r="A391" s="145" t="str">
        <x:f t="shared" si="40"/>
        <x:v>20251127</x:v>
      </x:c>
      <x:c r="B391" s="8" t="s">
        <x:v>5</x:v>
      </x:c>
      <x:c r="C391" s="8">
        <x:v>1740</x:v>
      </x:c>
      <x:c r="D391" s="7" t="s">
        <x:v>1</x:v>
      </x:c>
      <x:c r="E391" s="8" t="s">
        <x:v>117</x:v>
      </x:c>
      <x:c r="F391" s="8" t="s">
        <x:v>40</x:v>
      </x:c>
      <x:c r="G391" s="15" t="str">
        <x:f>IF(OR(N391="",N391&gt;기본입력!$C$34),"",VLOOKUP(O391,기본입력!$A$9:$F$33,5))</x:f>
        <x:v>양현수_53778</x:v>
      </x:c>
      <x:c r="H391" s="15" t="str">
        <x:f>IF(OR(N391="",N391&gt;기본입력!$C$34),"",기본입력!$C$6)</x:f>
        <x:v>1교육실(실습겸용강의실)_243089</x:v>
      </x:c>
      <x:c r="I391" s="15" t="str">
        <x:f>IF(OR(O391="",N391&gt;기본입력!$C$34),"",VLOOKUP(O391,기본입력!$A$9:$F$33,6,FALSE))</x:f>
        <x:v>인공지능 프로그래밍__2</x:v>
      </x:c>
      <x:c r="J391" s="38" t="str">
        <x:f t="shared" si="36"/>
        <x:v>인공지능 프로그래밍</x:v>
      </x:c>
      <x:c r="K391" s="38" t="str">
        <x:f t="shared" si="37"/>
        <x:v>1교육실(실습겸용강의실)</x:v>
      </x:c>
      <x:c r="L391" s="38" t="str">
        <x:f t="shared" si="38"/>
        <x:v>양현수</x:v>
      </x:c>
      <x:c r="M391" s="63"/>
      <x:c r="N391" s="30">
        <x:f>IF(F391="2","",COUNTIF($F$3:$F391,"=1"))</x:f>
        <x:v>346</x:v>
      </x:c>
      <x:c r="O391" s="30">
        <x:f t="shared" si="39"/>
        <x:v>5</x:v>
      </x:c>
      <x:c r="P391" s="30">
        <x:f t="shared" si="41"/>
        <x:v>4</x:v>
      </x:c>
      <x:c r="Q391" s="30">
        <x:f>COUNTIF($P$3:P391,"=3")</x:f>
        <x:v>44</x:v>
      </x:c>
      <x:c r="R391" s="29">
        <x:f>WORKDAY(기본입력!$H$2,Q391-1,공휴일)</x:f>
        <x:v>45988</x:v>
      </x:c>
    </x:row>
    <x:row r="392" spans="1:18">
      <x:c r="A392" s="145" t="str">
        <x:f t="shared" si="40"/>
        <x:v>20251127</x:v>
      </x:c>
      <x:c r="B392" s="8" t="s">
        <x:v>5</x:v>
      </x:c>
      <x:c r="C392" s="8">
        <x:v>1740</x:v>
      </x:c>
      <x:c r="D392" s="7" t="s">
        <x:v>1</x:v>
      </x:c>
      <x:c r="E392" s="8" t="s">
        <x:v>87</x:v>
      </x:c>
      <x:c r="F392" s="8" t="s">
        <x:v>40</x:v>
      </x:c>
      <x:c r="G392" s="15" t="str">
        <x:f>IF(OR(N392="",N392&gt;기본입력!$C$34),"",VLOOKUP(O392,기본입력!$A$9:$F$33,5))</x:f>
        <x:v>양현수_53778</x:v>
      </x:c>
      <x:c r="H392" s="15" t="str">
        <x:f>IF(OR(N392="",N392&gt;기본입력!$C$34),"",기본입력!$C$6)</x:f>
        <x:v>1교육실(실습겸용강의실)_243089</x:v>
      </x:c>
      <x:c r="I392" s="15" t="str">
        <x:f>IF(OR(O392="",N392&gt;기본입력!$C$34),"",VLOOKUP(O392,기본입력!$A$9:$F$33,6,FALSE))</x:f>
        <x:v>인공지능 프로그래밍__2</x:v>
      </x:c>
      <x:c r="J392" s="38" t="str">
        <x:f t="shared" si="36"/>
        <x:v>인공지능 프로그래밍</x:v>
      </x:c>
      <x:c r="K392" s="38" t="str">
        <x:f t="shared" si="37"/>
        <x:v>1교육실(실습겸용강의실)</x:v>
      </x:c>
      <x:c r="L392" s="38" t="str">
        <x:f t="shared" si="38"/>
        <x:v>양현수</x:v>
      </x:c>
      <x:c r="M392" s="63"/>
      <x:c r="N392" s="30">
        <x:f>IF(F392="2","",COUNTIF($F$3:$F392,"=1"))</x:f>
        <x:v>347</x:v>
      </x:c>
      <x:c r="O392" s="30">
        <x:f t="shared" si="39"/>
        <x:v>5</x:v>
      </x:c>
      <x:c r="P392" s="30">
        <x:f t="shared" si="41"/>
        <x:v>5</x:v>
      </x:c>
      <x:c r="Q392" s="30">
        <x:f>COUNTIF($P$3:P392,"=3")</x:f>
        <x:v>44</x:v>
      </x:c>
      <x:c r="R392" s="29">
        <x:f>WORKDAY(기본입력!$H$2,Q392-1,공휴일)</x:f>
        <x:v>45988</x:v>
      </x:c>
    </x:row>
    <x:row r="393" spans="1:18">
      <x:c r="A393" s="145" t="str">
        <x:f t="shared" si="40"/>
        <x:v>20251127</x:v>
      </x:c>
      <x:c r="B393" s="8" t="s">
        <x:v>5</x:v>
      </x:c>
      <x:c r="C393" s="8">
        <x:v>1740</x:v>
      </x:c>
      <x:c r="D393" s="7" t="s">
        <x:v>1</x:v>
      </x:c>
      <x:c r="E393" s="8" t="s">
        <x:v>88</x:v>
      </x:c>
      <x:c r="F393" s="8" t="s">
        <x:v>40</x:v>
      </x:c>
      <x:c r="G393" s="15" t="str">
        <x:f>IF(OR(N393="",N393&gt;기본입력!$C$34),"",VLOOKUP(O393,기본입력!$A$9:$F$33,5))</x:f>
        <x:v>양현수_53778</x:v>
      </x:c>
      <x:c r="H393" s="15" t="str">
        <x:f>IF(OR(N393="",N393&gt;기본입력!$C$34),"",기본입력!$C$6)</x:f>
        <x:v>1교육실(실습겸용강의실)_243089</x:v>
      </x:c>
      <x:c r="I393" s="15" t="str">
        <x:f>IF(OR(O393="",N393&gt;기본입력!$C$34),"",VLOOKUP(O393,기본입력!$A$9:$F$33,6,FALSE))</x:f>
        <x:v>인공지능 프로그래밍__2</x:v>
      </x:c>
      <x:c r="J393" s="38" t="str">
        <x:f t="shared" si="36"/>
        <x:v>인공지능 프로그래밍</x:v>
      </x:c>
      <x:c r="K393" s="38" t="str">
        <x:f t="shared" si="37"/>
        <x:v>1교육실(실습겸용강의실)</x:v>
      </x:c>
      <x:c r="L393" s="38" t="str">
        <x:f t="shared" si="38"/>
        <x:v>양현수</x:v>
      </x:c>
      <x:c r="M393" s="63"/>
      <x:c r="N393" s="30">
        <x:f>IF(F393="2","",COUNTIF($F$3:$F393,"=1"))</x:f>
        <x:v>348</x:v>
      </x:c>
      <x:c r="O393" s="30">
        <x:f t="shared" si="39"/>
        <x:v>5</x:v>
      </x:c>
      <x:c r="P393" s="30">
        <x:f t="shared" si="41"/>
        <x:v>6</x:v>
      </x:c>
      <x:c r="Q393" s="30">
        <x:f>COUNTIF($P$3:P393,"=3")</x:f>
        <x:v>44</x:v>
      </x:c>
      <x:c r="R393" s="29">
        <x:f>WORKDAY(기본입력!$H$2,Q393-1,공휴일)</x:f>
        <x:v>45988</x:v>
      </x:c>
    </x:row>
    <x:row r="394" spans="1:18">
      <x:c r="A394" s="145" t="str">
        <x:f t="shared" si="40"/>
        <x:v>20251127</x:v>
      </x:c>
      <x:c r="B394" s="8" t="s">
        <x:v>5</x:v>
      </x:c>
      <x:c r="C394" s="8">
        <x:v>1740</x:v>
      </x:c>
      <x:c r="D394" s="7" t="s">
        <x:v>1</x:v>
      </x:c>
      <x:c r="E394" s="8" t="s">
        <x:v>0</x:v>
      </x:c>
      <x:c r="F394" s="8" t="s">
        <x:v>41</x:v>
      </x:c>
      <x:c r="G394" s="15" t="str">
        <x:f>IF(OR(N394="",N394&gt;기본입력!$C$34),"",VLOOKUP(O394,기본입력!$A$9:$F$33,5))</x:f>
        <x:v/>
      </x:c>
      <x:c r="H394" s="15" t="str">
        <x:f>IF(OR(N394="",N394&gt;기본입력!$C$34),"",기본입력!$C$6)</x:f>
        <x:v/>
      </x:c>
      <x:c r="I394" s="15" t="str">
        <x:f>IF(OR(O394="",N394&gt;기본입력!$C$34),"",VLOOKUP(O394,기본입력!$A$9:$F$33,6,FALSE))</x:f>
        <x:v/>
      </x:c>
      <x:c r="J394" s="38" t="str">
        <x:f t="shared" si="36"/>
        <x:v/>
      </x:c>
      <x:c r="K394" s="38" t="str">
        <x:f t="shared" si="37"/>
        <x:v/>
      </x:c>
      <x:c r="L394" s="38" t="str">
        <x:f t="shared" si="38"/>
        <x:v/>
      </x:c>
      <x:c r="M394" s="63"/>
      <x:c r="N394" s="30" t="str">
        <x:f>IF(F394="2","",COUNTIF($F$3:$F394,"=1"))</x:f>
        <x:v/>
      </x:c>
      <x:c r="O394" s="30" t="str">
        <x:f t="shared" si="39"/>
        <x:v/>
      </x:c>
      <x:c r="P394" s="30">
        <x:f t="shared" si="41"/>
        <x:v>7</x:v>
      </x:c>
      <x:c r="Q394" s="30">
        <x:f>COUNTIF($P$3:P394,"=3")</x:f>
        <x:v>44</x:v>
      </x:c>
      <x:c r="R394" s="29">
        <x:f>WORKDAY(기본입력!$H$2,Q394-1,공휴일)</x:f>
        <x:v>45988</x:v>
      </x:c>
    </x:row>
    <x:row r="395" spans="1:18">
      <x:c r="A395" s="145" t="str">
        <x:f t="shared" si="40"/>
        <x:v>20251127</x:v>
      </x:c>
      <x:c r="B395" s="8" t="s">
        <x:v>5</x:v>
      </x:c>
      <x:c r="C395" s="8">
        <x:v>1740</x:v>
      </x:c>
      <x:c r="D395" s="7" t="s">
        <x:v>1</x:v>
      </x:c>
      <x:c r="E395" s="8">
        <x:v>1340</x:v>
      </x:c>
      <x:c r="F395" s="8" t="s">
        <x:v>40</x:v>
      </x:c>
      <x:c r="G395" s="15" t="str">
        <x:f>IF(OR(N395="",N395&gt;기본입력!$C$34),"",VLOOKUP(O395,기본입력!$A$9:$F$33,5))</x:f>
        <x:v>양현수_53778</x:v>
      </x:c>
      <x:c r="H395" s="15" t="str">
        <x:f>IF(OR(N395="",N395&gt;기본입력!$C$34),"",기본입력!$C$6)</x:f>
        <x:v>1교육실(실습겸용강의실)_243089</x:v>
      </x:c>
      <x:c r="I395" s="15" t="str">
        <x:f>IF(OR(O395="",N395&gt;기본입력!$C$34),"",VLOOKUP(O395,기본입력!$A$9:$F$33,6,FALSE))</x:f>
        <x:v>인공지능 프로그래밍__2</x:v>
      </x:c>
      <x:c r="J395" s="38" t="str">
        <x:f t="shared" si="36"/>
        <x:v>인공지능 프로그래밍</x:v>
      </x:c>
      <x:c r="K395" s="38" t="str">
        <x:f t="shared" si="37"/>
        <x:v>1교육실(실습겸용강의실)</x:v>
      </x:c>
      <x:c r="L395" s="38" t="str">
        <x:f t="shared" si="38"/>
        <x:v>양현수</x:v>
      </x:c>
      <x:c r="M395" s="63"/>
      <x:c r="N395" s="30">
        <x:f>IF(F395="2","",COUNTIF($F$3:$F395,"=1"))</x:f>
        <x:v>349</x:v>
      </x:c>
      <x:c r="O395" s="30">
        <x:f t="shared" si="39"/>
        <x:v>5</x:v>
      </x:c>
      <x:c r="P395" s="30">
        <x:f t="shared" si="41"/>
        <x:v>8</x:v>
      </x:c>
      <x:c r="Q395" s="30">
        <x:f>COUNTIF($P$3:P395,"=3")</x:f>
        <x:v>44</x:v>
      </x:c>
      <x:c r="R395" s="29">
        <x:f>WORKDAY(기본입력!$H$2,Q395-1,공휴일)</x:f>
        <x:v>45988</x:v>
      </x:c>
    </x:row>
    <x:row r="396" spans="1:18">
      <x:c r="A396" s="145" t="str">
        <x:f t="shared" si="40"/>
        <x:v>20251127</x:v>
      </x:c>
      <x:c r="B396" s="8" t="s">
        <x:v>5</x:v>
      </x:c>
      <x:c r="C396" s="8">
        <x:v>1740</x:v>
      </x:c>
      <x:c r="D396" s="7" t="s">
        <x:v>1</x:v>
      </x:c>
      <x:c r="E396" s="8">
        <x:v>1440</x:v>
      </x:c>
      <x:c r="F396" s="8" t="s">
        <x:v>40</x:v>
      </x:c>
      <x:c r="G396" s="15" t="str">
        <x:f>IF(OR(N396="",N396&gt;기본입력!$C$34),"",VLOOKUP(O396,기본입력!$A$9:$F$33,5))</x:f>
        <x:v>양현수_53778</x:v>
      </x:c>
      <x:c r="H396" s="15" t="str">
        <x:f>IF(OR(N396="",N396&gt;기본입력!$C$34),"",기본입력!$C$6)</x:f>
        <x:v>1교육실(실습겸용강의실)_243089</x:v>
      </x:c>
      <x:c r="I396" s="15" t="str">
        <x:f>IF(OR(O396="",N396&gt;기본입력!$C$34),"",VLOOKUP(O396,기본입력!$A$9:$F$33,6,FALSE))</x:f>
        <x:v>인공지능 프로그래밍__2</x:v>
      </x:c>
      <x:c r="J396" s="38" t="str">
        <x:f t="shared" si="36"/>
        <x:v>인공지능 프로그래밍</x:v>
      </x:c>
      <x:c r="K396" s="38" t="str">
        <x:f t="shared" si="37"/>
        <x:v>1교육실(실습겸용강의실)</x:v>
      </x:c>
      <x:c r="L396" s="38" t="str">
        <x:f t="shared" si="38"/>
        <x:v>양현수</x:v>
      </x:c>
      <x:c r="M396" s="63"/>
      <x:c r="N396" s="30">
        <x:f>IF(F396="2","",COUNTIF($F$3:$F396,"=1"))</x:f>
        <x:v>350</x:v>
      </x:c>
      <x:c r="O396" s="30">
        <x:f t="shared" si="39"/>
        <x:v>5</x:v>
      </x:c>
      <x:c r="P396" s="30">
        <x:f t="shared" si="41"/>
        <x:v>0</x:v>
      </x:c>
      <x:c r="Q396" s="30">
        <x:f>COUNTIF($P$3:P396,"=3")</x:f>
        <x:v>44</x:v>
      </x:c>
      <x:c r="R396" s="29">
        <x:f>WORKDAY(기본입력!$H$2,Q396-1,공휴일)</x:f>
        <x:v>45988</x:v>
      </x:c>
    </x:row>
    <x:row r="397" spans="1:18">
      <x:c r="A397" s="145" t="str">
        <x:f t="shared" si="40"/>
        <x:v>20251127</x:v>
      </x:c>
      <x:c r="B397" s="8" t="s">
        <x:v>5</x:v>
      </x:c>
      <x:c r="C397" s="8">
        <x:v>1740</x:v>
      </x:c>
      <x:c r="D397" s="7" t="s">
        <x:v>1</x:v>
      </x:c>
      <x:c r="E397" s="8">
        <x:v>1540</x:v>
      </x:c>
      <x:c r="F397" s="8" t="s">
        <x:v>40</x:v>
      </x:c>
      <x:c r="G397" s="15" t="str">
        <x:f>IF(OR(N397="",N397&gt;기본입력!$C$34),"",VLOOKUP(O397,기본입력!$A$9:$F$33,5))</x:f>
        <x:v>양현수_53778</x:v>
      </x:c>
      <x:c r="H397" s="15" t="str">
        <x:f>IF(OR(N397="",N397&gt;기본입력!$C$34),"",기본입력!$C$6)</x:f>
        <x:v>1교육실(실습겸용강의실)_243089</x:v>
      </x:c>
      <x:c r="I397" s="15" t="str">
        <x:f>IF(OR(O397="",N397&gt;기본입력!$C$34),"",VLOOKUP(O397,기본입력!$A$9:$F$33,6,FALSE))</x:f>
        <x:v>인공지능 프로그래밍__2</x:v>
      </x:c>
      <x:c r="J397" s="38" t="str">
        <x:f t="shared" si="36"/>
        <x:v>인공지능 프로그래밍</x:v>
      </x:c>
      <x:c r="K397" s="38" t="str">
        <x:f t="shared" si="37"/>
        <x:v>1교육실(실습겸용강의실)</x:v>
      </x:c>
      <x:c r="L397" s="38" t="str">
        <x:f t="shared" si="38"/>
        <x:v>양현수</x:v>
      </x:c>
      <x:c r="M397" s="63"/>
      <x:c r="N397" s="30">
        <x:f>IF(F397="2","",COUNTIF($F$3:$F397,"=1"))</x:f>
        <x:v>351</x:v>
      </x:c>
      <x:c r="O397" s="30">
        <x:f t="shared" si="39"/>
        <x:v>5</x:v>
      </x:c>
      <x:c r="P397" s="30">
        <x:f t="shared" si="41"/>
        <x:v>1</x:v>
      </x:c>
      <x:c r="Q397" s="30">
        <x:f>COUNTIF($P$3:P397,"=3")</x:f>
        <x:v>44</x:v>
      </x:c>
      <x:c r="R397" s="29">
        <x:f>WORKDAY(기본입력!$H$2,Q397-1,공휴일)</x:f>
        <x:v>45988</x:v>
      </x:c>
    </x:row>
    <x:row r="398" spans="1:18">
      <x:c r="A398" s="145" t="str">
        <x:f t="shared" si="40"/>
        <x:v>20251127</x:v>
      </x:c>
      <x:c r="B398" s="8" t="s">
        <x:v>5</x:v>
      </x:c>
      <x:c r="C398" s="8">
        <x:v>1740</x:v>
      </x:c>
      <x:c r="D398" s="7" t="s">
        <x:v>1</x:v>
      </x:c>
      <x:c r="E398" s="8">
        <x:v>1640</x:v>
      </x:c>
      <x:c r="F398" s="8" t="s">
        <x:v>40</x:v>
      </x:c>
      <x:c r="G398" s="15" t="str">
        <x:f>IF(OR(N398="",N398&gt;기본입력!$C$34),"",VLOOKUP(O398,기본입력!$A$9:$F$33,5))</x:f>
        <x:v>양현수_53778</x:v>
      </x:c>
      <x:c r="H398" s="15" t="str">
        <x:f>IF(OR(N398="",N398&gt;기본입력!$C$34),"",기본입력!$C$6)</x:f>
        <x:v>1교육실(실습겸용강의실)_243089</x:v>
      </x:c>
      <x:c r="I398" s="15" t="str">
        <x:f>IF(OR(O398="",N398&gt;기본입력!$C$34),"",VLOOKUP(O398,기본입력!$A$9:$F$33,6,FALSE))</x:f>
        <x:v>인공지능 프로그래밍__2</x:v>
      </x:c>
      <x:c r="J398" s="38" t="str">
        <x:f t="shared" si="36"/>
        <x:v>인공지능 프로그래밍</x:v>
      </x:c>
      <x:c r="K398" s="38" t="str">
        <x:f t="shared" si="37"/>
        <x:v>1교육실(실습겸용강의실)</x:v>
      </x:c>
      <x:c r="L398" s="38" t="str">
        <x:f t="shared" si="38"/>
        <x:v>양현수</x:v>
      </x:c>
      <x:c r="M398" s="63"/>
      <x:c r="N398" s="30">
        <x:f>IF(F398="2","",COUNTIF($F$3:$F398,"=1"))</x:f>
        <x:v>352</x:v>
      </x:c>
      <x:c r="O398" s="30">
        <x:f t="shared" si="39"/>
        <x:v>5</x:v>
      </x:c>
      <x:c r="P398" s="30">
        <x:f t="shared" si="41"/>
        <x:v>2</x:v>
      </x:c>
      <x:c r="Q398" s="30">
        <x:f>COUNTIF($P$3:P398,"=3")</x:f>
        <x:v>44</x:v>
      </x:c>
      <x:c r="R398" s="29">
        <x:f>WORKDAY(기본입력!$H$2,Q398-1,공휴일)</x:f>
        <x:v>45988</x:v>
      </x:c>
    </x:row>
    <x:row r="399" spans="1:18">
      <x:c r="A399" s="144" t="str">
        <x:f t="shared" si="40"/>
        <x:v>20251128</x:v>
      </x:c>
      <x:c r="B399" s="6" t="s">
        <x:v>5</x:v>
      </x:c>
      <x:c r="C399" s="6">
        <x:v>1740</x:v>
      </x:c>
      <x:c r="D399" s="5" t="s">
        <x:v>1</x:v>
      </x:c>
      <x:c r="E399" s="6" t="s">
        <x:v>5</x:v>
      </x:c>
      <x:c r="F399" s="6" t="s">
        <x:v>40</x:v>
      </x:c>
      <x:c r="G399" s="14" t="str">
        <x:f>IF(OR(N399="",N399&gt;기본입력!$C$34),"",VLOOKUP(O399,기본입력!$A$9:$F$33,5))</x:f>
        <x:v>양현수_53778</x:v>
      </x:c>
      <x:c r="H399" s="14" t="str">
        <x:f>IF(OR(N399="",N399&gt;기본입력!$C$34),"",기본입력!$C$6)</x:f>
        <x:v>1교육실(실습겸용강의실)_243089</x:v>
      </x:c>
      <x:c r="I399" s="14" t="str">
        <x:f>IF(OR(O399="",N399&gt;기본입력!$C$34),"",VLOOKUP(O399,기본입력!$A$9:$F$33,6,FALSE))</x:f>
        <x:v>인공지능 프로그래밍__2</x:v>
      </x:c>
      <x:c r="J399" s="38" t="str">
        <x:f t="shared" si="36"/>
        <x:v>인공지능 프로그래밍</x:v>
      </x:c>
      <x:c r="K399" s="38" t="str">
        <x:f t="shared" si="37"/>
        <x:v>1교육실(실습겸용강의실)</x:v>
      </x:c>
      <x:c r="L399" s="38" t="str">
        <x:f t="shared" si="38"/>
        <x:v>양현수</x:v>
      </x:c>
      <x:c r="M399" s="63"/>
      <x:c r="N399" s="30">
        <x:f>IF(F399="2","",COUNTIF($F$3:$F399,"=1"))</x:f>
        <x:v>353</x:v>
      </x:c>
      <x:c r="O399" s="30">
        <x:f t="shared" si="39"/>
        <x:v>5</x:v>
      </x:c>
      <x:c r="P399" s="30">
        <x:f t="shared" si="41"/>
        <x:v>3</x:v>
      </x:c>
      <x:c r="Q399" s="30">
        <x:f>COUNTIF($P$3:P399,"=3")</x:f>
        <x:v>45</x:v>
      </x:c>
      <x:c r="R399" s="29">
        <x:f>WORKDAY(기본입력!$H$2,Q399-1,공휴일)</x:f>
        <x:v>45989</x:v>
      </x:c>
    </x:row>
    <x:row r="400" spans="1:18">
      <x:c r="A400" s="144" t="str">
        <x:f t="shared" si="40"/>
        <x:v>20251128</x:v>
      </x:c>
      <x:c r="B400" s="6" t="s">
        <x:v>5</x:v>
      </x:c>
      <x:c r="C400" s="6">
        <x:v>1740</x:v>
      </x:c>
      <x:c r="D400" s="5" t="s">
        <x:v>1</x:v>
      </x:c>
      <x:c r="E400" s="6" t="s">
        <x:v>117</x:v>
      </x:c>
      <x:c r="F400" s="6" t="s">
        <x:v>40</x:v>
      </x:c>
      <x:c r="G400" s="14" t="str">
        <x:f>IF(OR(N400="",N400&gt;기본입력!$C$34),"",VLOOKUP(O400,기본입력!$A$9:$F$33,5))</x:f>
        <x:v>양현수_53778</x:v>
      </x:c>
      <x:c r="H400" s="14" t="str">
        <x:f>IF(OR(N400="",N400&gt;기본입력!$C$34),"",기본입력!$C$6)</x:f>
        <x:v>1교육실(실습겸용강의실)_243089</x:v>
      </x:c>
      <x:c r="I400" s="14" t="str">
        <x:f>IF(OR(O400="",N400&gt;기본입력!$C$34),"",VLOOKUP(O400,기본입력!$A$9:$F$33,6,FALSE))</x:f>
        <x:v>인공지능 프로그래밍__2</x:v>
      </x:c>
      <x:c r="J400" s="38" t="str">
        <x:f t="shared" si="36"/>
        <x:v>인공지능 프로그래밍</x:v>
      </x:c>
      <x:c r="K400" s="38" t="str">
        <x:f t="shared" si="37"/>
        <x:v>1교육실(실습겸용강의실)</x:v>
      </x:c>
      <x:c r="L400" s="38" t="str">
        <x:f t="shared" si="38"/>
        <x:v>양현수</x:v>
      </x:c>
      <x:c r="M400" s="63"/>
      <x:c r="N400" s="30">
        <x:f>IF(F400="2","",COUNTIF($F$3:$F400,"=1"))</x:f>
        <x:v>354</x:v>
      </x:c>
      <x:c r="O400" s="30">
        <x:f t="shared" si="39"/>
        <x:v>5</x:v>
      </x:c>
      <x:c r="P400" s="30">
        <x:f t="shared" si="41"/>
        <x:v>4</x:v>
      </x:c>
      <x:c r="Q400" s="30">
        <x:f>COUNTIF($P$3:P400,"=3")</x:f>
        <x:v>45</x:v>
      </x:c>
      <x:c r="R400" s="29">
        <x:f>WORKDAY(기본입력!$H$2,Q400-1,공휴일)</x:f>
        <x:v>45989</x:v>
      </x:c>
    </x:row>
    <x:row r="401" spans="1:18">
      <x:c r="A401" s="144" t="str">
        <x:f t="shared" si="40"/>
        <x:v>20251128</x:v>
      </x:c>
      <x:c r="B401" s="6" t="s">
        <x:v>5</x:v>
      </x:c>
      <x:c r="C401" s="6">
        <x:v>1740</x:v>
      </x:c>
      <x:c r="D401" s="5" t="s">
        <x:v>1</x:v>
      </x:c>
      <x:c r="E401" s="6" t="s">
        <x:v>87</x:v>
      </x:c>
      <x:c r="F401" s="6" t="s">
        <x:v>40</x:v>
      </x:c>
      <x:c r="G401" s="14" t="str">
        <x:f>IF(OR(N401="",N401&gt;기본입력!$C$34),"",VLOOKUP(O401,기본입력!$A$9:$F$33,5))</x:f>
        <x:v>양현수_53778</x:v>
      </x:c>
      <x:c r="H401" s="14" t="str">
        <x:f>IF(OR(N401="",N401&gt;기본입력!$C$34),"",기본입력!$C$6)</x:f>
        <x:v>1교육실(실습겸용강의실)_243089</x:v>
      </x:c>
      <x:c r="I401" s="14" t="str">
        <x:f>IF(OR(O401="",N401&gt;기본입력!$C$34),"",VLOOKUP(O401,기본입력!$A$9:$F$33,6,FALSE))</x:f>
        <x:v>인공지능 프로그래밍__2</x:v>
      </x:c>
      <x:c r="J401" s="38" t="str">
        <x:f t="shared" si="36"/>
        <x:v>인공지능 프로그래밍</x:v>
      </x:c>
      <x:c r="K401" s="38" t="str">
        <x:f t="shared" si="37"/>
        <x:v>1교육실(실습겸용강의실)</x:v>
      </x:c>
      <x:c r="L401" s="38" t="str">
        <x:f t="shared" si="38"/>
        <x:v>양현수</x:v>
      </x:c>
      <x:c r="M401" s="63"/>
      <x:c r="N401" s="30">
        <x:f>IF(F401="2","",COUNTIF($F$3:$F401,"=1"))</x:f>
        <x:v>355</x:v>
      </x:c>
      <x:c r="O401" s="30">
        <x:f t="shared" si="39"/>
        <x:v>5</x:v>
      </x:c>
      <x:c r="P401" s="30">
        <x:f t="shared" si="41"/>
        <x:v>5</x:v>
      </x:c>
      <x:c r="Q401" s="30">
        <x:f>COUNTIF($P$3:P401,"=3")</x:f>
        <x:v>45</x:v>
      </x:c>
      <x:c r="R401" s="29">
        <x:f>WORKDAY(기본입력!$H$2,Q401-1,공휴일)</x:f>
        <x:v>45989</x:v>
      </x:c>
    </x:row>
    <x:row r="402" spans="1:18">
      <x:c r="A402" s="144" t="str">
        <x:f t="shared" si="40"/>
        <x:v>20251128</x:v>
      </x:c>
      <x:c r="B402" s="6" t="s">
        <x:v>5</x:v>
      </x:c>
      <x:c r="C402" s="6">
        <x:v>1740</x:v>
      </x:c>
      <x:c r="D402" s="5" t="s">
        <x:v>1</x:v>
      </x:c>
      <x:c r="E402" s="6" t="s">
        <x:v>88</x:v>
      </x:c>
      <x:c r="F402" s="6" t="s">
        <x:v>40</x:v>
      </x:c>
      <x:c r="G402" s="14" t="str">
        <x:f>IF(OR(N402="",N402&gt;기본입력!$C$34),"",VLOOKUP(O402,기본입력!$A$9:$F$33,5))</x:f>
        <x:v>양현수_53778</x:v>
      </x:c>
      <x:c r="H402" s="14" t="str">
        <x:f>IF(OR(N402="",N402&gt;기본입력!$C$34),"",기본입력!$C$6)</x:f>
        <x:v>1교육실(실습겸용강의실)_243089</x:v>
      </x:c>
      <x:c r="I402" s="14" t="str">
        <x:f>IF(OR(O402="",N402&gt;기본입력!$C$34),"",VLOOKUP(O402,기본입력!$A$9:$F$33,6,FALSE))</x:f>
        <x:v>인공지능 프로그래밍__2</x:v>
      </x:c>
      <x:c r="J402" s="38" t="str">
        <x:f t="shared" si="36"/>
        <x:v>인공지능 프로그래밍</x:v>
      </x:c>
      <x:c r="K402" s="38" t="str">
        <x:f t="shared" si="37"/>
        <x:v>1교육실(실습겸용강의실)</x:v>
      </x:c>
      <x:c r="L402" s="38" t="str">
        <x:f t="shared" si="38"/>
        <x:v>양현수</x:v>
      </x:c>
      <x:c r="M402" s="63"/>
      <x:c r="N402" s="30">
        <x:f>IF(F402="2","",COUNTIF($F$3:$F402,"=1"))</x:f>
        <x:v>356</x:v>
      </x:c>
      <x:c r="O402" s="30">
        <x:f t="shared" si="39"/>
        <x:v>5</x:v>
      </x:c>
      <x:c r="P402" s="30">
        <x:f t="shared" si="41"/>
        <x:v>6</x:v>
      </x:c>
      <x:c r="Q402" s="30">
        <x:f>COUNTIF($P$3:P402,"=3")</x:f>
        <x:v>45</x:v>
      </x:c>
      <x:c r="R402" s="29">
        <x:f>WORKDAY(기본입력!$H$2,Q402-1,공휴일)</x:f>
        <x:v>45989</x:v>
      </x:c>
    </x:row>
    <x:row r="403" spans="1:18">
      <x:c r="A403" s="144" t="str">
        <x:f t="shared" si="40"/>
        <x:v>20251128</x:v>
      </x:c>
      <x:c r="B403" s="6" t="s">
        <x:v>5</x:v>
      </x:c>
      <x:c r="C403" s="6">
        <x:v>1740</x:v>
      </x:c>
      <x:c r="D403" s="5" t="s">
        <x:v>1</x:v>
      </x:c>
      <x:c r="E403" s="6" t="s">
        <x:v>0</x:v>
      </x:c>
      <x:c r="F403" s="6" t="s">
        <x:v>41</x:v>
      </x:c>
      <x:c r="G403" s="14" t="str">
        <x:f>IF(OR(N403="",N403&gt;기본입력!$C$34),"",VLOOKUP(O403,기본입력!$A$9:$F$33,5))</x:f>
        <x:v/>
      </x:c>
      <x:c r="H403" s="14" t="str">
        <x:f>IF(OR(N403="",N403&gt;기본입력!$C$34),"",기본입력!$C$6)</x:f>
        <x:v/>
      </x:c>
      <x:c r="I403" s="14" t="str">
        <x:f>IF(OR(O403="",N403&gt;기본입력!$C$34),"",VLOOKUP(O403,기본입력!$A$9:$F$33,6,FALSE))</x:f>
        <x:v/>
      </x:c>
      <x:c r="J403" s="38" t="str">
        <x:f t="shared" si="36"/>
        <x:v/>
      </x:c>
      <x:c r="K403" s="38" t="str">
        <x:f t="shared" si="37"/>
        <x:v/>
      </x:c>
      <x:c r="L403" s="38" t="str">
        <x:f t="shared" si="38"/>
        <x:v/>
      </x:c>
      <x:c r="M403" s="63"/>
      <x:c r="N403" s="30" t="str">
        <x:f>IF(F403="2","",COUNTIF($F$3:$F403,"=1"))</x:f>
        <x:v/>
      </x:c>
      <x:c r="O403" s="30" t="str">
        <x:f t="shared" si="39"/>
        <x:v/>
      </x:c>
      <x:c r="P403" s="30">
        <x:f t="shared" si="41"/>
        <x:v>7</x:v>
      </x:c>
      <x:c r="Q403" s="30">
        <x:f>COUNTIF($P$3:P403,"=3")</x:f>
        <x:v>45</x:v>
      </x:c>
      <x:c r="R403" s="29">
        <x:f>WORKDAY(기본입력!$H$2,Q403-1,공휴일)</x:f>
        <x:v>45989</x:v>
      </x:c>
    </x:row>
    <x:row r="404" spans="1:18">
      <x:c r="A404" s="144" t="str">
        <x:f t="shared" si="40"/>
        <x:v>20251128</x:v>
      </x:c>
      <x:c r="B404" s="6" t="s">
        <x:v>5</x:v>
      </x:c>
      <x:c r="C404" s="6">
        <x:v>1740</x:v>
      </x:c>
      <x:c r="D404" s="5" t="s">
        <x:v>1</x:v>
      </x:c>
      <x:c r="E404" s="6">
        <x:v>1340</x:v>
      </x:c>
      <x:c r="F404" s="6" t="s">
        <x:v>40</x:v>
      </x:c>
      <x:c r="G404" s="14" t="str">
        <x:f>IF(OR(N404="",N404&gt;기본입력!$C$34),"",VLOOKUP(O404,기본입력!$A$9:$F$33,5))</x:f>
        <x:v>양현수_53778</x:v>
      </x:c>
      <x:c r="H404" s="14" t="str">
        <x:f>IF(OR(N404="",N404&gt;기본입력!$C$34),"",기본입력!$C$6)</x:f>
        <x:v>1교육실(실습겸용강의실)_243089</x:v>
      </x:c>
      <x:c r="I404" s="14" t="str">
        <x:f>IF(OR(O404="",N404&gt;기본입력!$C$34),"",VLOOKUP(O404,기본입력!$A$9:$F$33,6,FALSE))</x:f>
        <x:v>인공지능 프로그래밍__2</x:v>
      </x:c>
      <x:c r="J404" s="38" t="str">
        <x:f t="shared" si="36"/>
        <x:v>인공지능 프로그래밍</x:v>
      </x:c>
      <x:c r="K404" s="38" t="str">
        <x:f t="shared" si="37"/>
        <x:v>1교육실(실습겸용강의실)</x:v>
      </x:c>
      <x:c r="L404" s="38" t="str">
        <x:f t="shared" si="38"/>
        <x:v>양현수</x:v>
      </x:c>
      <x:c r="M404" s="63"/>
      <x:c r="N404" s="30">
        <x:f>IF(F404="2","",COUNTIF($F$3:$F404,"=1"))</x:f>
        <x:v>357</x:v>
      </x:c>
      <x:c r="O404" s="30">
        <x:f t="shared" si="39"/>
        <x:v>5</x:v>
      </x:c>
      <x:c r="P404" s="30">
        <x:f t="shared" si="41"/>
        <x:v>8</x:v>
      </x:c>
      <x:c r="Q404" s="30">
        <x:f>COUNTIF($P$3:P404,"=3")</x:f>
        <x:v>45</x:v>
      </x:c>
      <x:c r="R404" s="29">
        <x:f>WORKDAY(기본입력!$H$2,Q404-1,공휴일)</x:f>
        <x:v>45989</x:v>
      </x:c>
    </x:row>
    <x:row r="405" spans="1:18">
      <x:c r="A405" s="144" t="str">
        <x:f t="shared" si="40"/>
        <x:v>20251128</x:v>
      </x:c>
      <x:c r="B405" s="6" t="s">
        <x:v>5</x:v>
      </x:c>
      <x:c r="C405" s="6">
        <x:v>1740</x:v>
      </x:c>
      <x:c r="D405" s="5" t="s">
        <x:v>1</x:v>
      </x:c>
      <x:c r="E405" s="6">
        <x:v>1440</x:v>
      </x:c>
      <x:c r="F405" s="6" t="s">
        <x:v>40</x:v>
      </x:c>
      <x:c r="G405" s="14" t="str">
        <x:f>IF(OR(N405="",N405&gt;기본입력!$C$34),"",VLOOKUP(O405,기본입력!$A$9:$F$33,5))</x:f>
        <x:v>양현수_53778</x:v>
      </x:c>
      <x:c r="H405" s="14" t="str">
        <x:f>IF(OR(N405="",N405&gt;기본입력!$C$34),"",기본입력!$C$6)</x:f>
        <x:v>1교육실(실습겸용강의실)_243089</x:v>
      </x:c>
      <x:c r="I405" s="14" t="str">
        <x:f>IF(OR(O405="",N405&gt;기본입력!$C$34),"",VLOOKUP(O405,기본입력!$A$9:$F$33,6,FALSE))</x:f>
        <x:v>인공지능 프로그래밍__2</x:v>
      </x:c>
      <x:c r="J405" s="38" t="str">
        <x:f t="shared" si="36"/>
        <x:v>인공지능 프로그래밍</x:v>
      </x:c>
      <x:c r="K405" s="38" t="str">
        <x:f t="shared" si="37"/>
        <x:v>1교육실(실습겸용강의실)</x:v>
      </x:c>
      <x:c r="L405" s="38" t="str">
        <x:f t="shared" si="38"/>
        <x:v>양현수</x:v>
      </x:c>
      <x:c r="M405" s="63"/>
      <x:c r="N405" s="30">
        <x:f>IF(F405="2","",COUNTIF($F$3:$F405,"=1"))</x:f>
        <x:v>358</x:v>
      </x:c>
      <x:c r="O405" s="30">
        <x:f t="shared" si="39"/>
        <x:v>5</x:v>
      </x:c>
      <x:c r="P405" s="30">
        <x:f t="shared" si="41"/>
        <x:v>0</x:v>
      </x:c>
      <x:c r="Q405" s="30">
        <x:f>COUNTIF($P$3:P405,"=3")</x:f>
        <x:v>45</x:v>
      </x:c>
      <x:c r="R405" s="29">
        <x:f>WORKDAY(기본입력!$H$2,Q405-1,공휴일)</x:f>
        <x:v>45989</x:v>
      </x:c>
    </x:row>
    <x:row r="406" spans="1:18">
      <x:c r="A406" s="144" t="str">
        <x:f t="shared" si="40"/>
        <x:v>20251128</x:v>
      </x:c>
      <x:c r="B406" s="6" t="s">
        <x:v>5</x:v>
      </x:c>
      <x:c r="C406" s="6">
        <x:v>1740</x:v>
      </x:c>
      <x:c r="D406" s="5" t="s">
        <x:v>1</x:v>
      </x:c>
      <x:c r="E406" s="6">
        <x:v>1540</x:v>
      </x:c>
      <x:c r="F406" s="6" t="s">
        <x:v>40</x:v>
      </x:c>
      <x:c r="G406" s="14" t="str">
        <x:f>IF(OR(N406="",N406&gt;기본입력!$C$34),"",VLOOKUP(O406,기본입력!$A$9:$F$33,5))</x:f>
        <x:v>양현수_53778</x:v>
      </x:c>
      <x:c r="H406" s="14" t="str">
        <x:f>IF(OR(N406="",N406&gt;기본입력!$C$34),"",기본입력!$C$6)</x:f>
        <x:v>1교육실(실습겸용강의실)_243089</x:v>
      </x:c>
      <x:c r="I406" s="14" t="str">
        <x:f>IF(OR(O406="",N406&gt;기본입력!$C$34),"",VLOOKUP(O406,기본입력!$A$9:$F$33,6,FALSE))</x:f>
        <x:v>인공지능 프로그래밍__2</x:v>
      </x:c>
      <x:c r="J406" s="38" t="str">
        <x:f t="shared" si="36"/>
        <x:v>인공지능 프로그래밍</x:v>
      </x:c>
      <x:c r="K406" s="38" t="str">
        <x:f t="shared" si="37"/>
        <x:v>1교육실(실습겸용강의실)</x:v>
      </x:c>
      <x:c r="L406" s="38" t="str">
        <x:f t="shared" si="38"/>
        <x:v>양현수</x:v>
      </x:c>
      <x:c r="M406" s="63"/>
      <x:c r="N406" s="30">
        <x:f>IF(F406="2","",COUNTIF($F$3:$F406,"=1"))</x:f>
        <x:v>359</x:v>
      </x:c>
      <x:c r="O406" s="30">
        <x:f t="shared" si="39"/>
        <x:v>5</x:v>
      </x:c>
      <x:c r="P406" s="30">
        <x:f t="shared" si="41"/>
        <x:v>1</x:v>
      </x:c>
      <x:c r="Q406" s="30">
        <x:f>COUNTIF($P$3:P406,"=3")</x:f>
        <x:v>45</x:v>
      </x:c>
      <x:c r="R406" s="29">
        <x:f>WORKDAY(기본입력!$H$2,Q406-1,공휴일)</x:f>
        <x:v>45989</x:v>
      </x:c>
    </x:row>
    <x:row r="407" spans="1:18">
      <x:c r="A407" s="144" t="str">
        <x:f t="shared" si="40"/>
        <x:v>20251128</x:v>
      </x:c>
      <x:c r="B407" s="6" t="s">
        <x:v>5</x:v>
      </x:c>
      <x:c r="C407" s="6">
        <x:v>1740</x:v>
      </x:c>
      <x:c r="D407" s="5" t="s">
        <x:v>1</x:v>
      </x:c>
      <x:c r="E407" s="6">
        <x:v>1640</x:v>
      </x:c>
      <x:c r="F407" s="6" t="s">
        <x:v>40</x:v>
      </x:c>
      <x:c r="G407" s="14" t="str">
        <x:f>IF(OR(N407="",N407&gt;기본입력!$C$34),"",VLOOKUP(O407,기본입력!$A$9:$F$33,5))</x:f>
        <x:v>양현수_53778</x:v>
      </x:c>
      <x:c r="H407" s="14" t="str">
        <x:f>IF(OR(N407="",N407&gt;기본입력!$C$34),"",기본입력!$C$6)</x:f>
        <x:v>1교육실(실습겸용강의실)_243089</x:v>
      </x:c>
      <x:c r="I407" s="14" t="str">
        <x:f>IF(OR(O407="",N407&gt;기본입력!$C$34),"",VLOOKUP(O407,기본입력!$A$9:$F$33,6,FALSE))</x:f>
        <x:v>인공지능 프로그래밍__2</x:v>
      </x:c>
      <x:c r="J407" s="38" t="str">
        <x:f t="shared" si="36"/>
        <x:v>인공지능 프로그래밍</x:v>
      </x:c>
      <x:c r="K407" s="38" t="str">
        <x:f t="shared" si="37"/>
        <x:v>1교육실(실습겸용강의실)</x:v>
      </x:c>
      <x:c r="L407" s="38" t="str">
        <x:f t="shared" si="38"/>
        <x:v>양현수</x:v>
      </x:c>
      <x:c r="M407" s="63"/>
      <x:c r="N407" s="30">
        <x:f>IF(F407="2","",COUNTIF($F$3:$F407,"=1"))</x:f>
        <x:v>360</x:v>
      </x:c>
      <x:c r="O407" s="30">
        <x:f t="shared" si="39"/>
        <x:v>5</x:v>
      </x:c>
      <x:c r="P407" s="30">
        <x:f t="shared" si="41"/>
        <x:v>2</x:v>
      </x:c>
      <x:c r="Q407" s="30">
        <x:f>COUNTIF($P$3:P407,"=3")</x:f>
        <x:v>45</x:v>
      </x:c>
      <x:c r="R407" s="29">
        <x:f>WORKDAY(기본입력!$H$2,Q407-1,공휴일)</x:f>
        <x:v>45989</x:v>
      </x:c>
    </x:row>
    <x:row r="408" spans="1:18">
      <x:c r="A408" s="145" t="str">
        <x:f t="shared" si="40"/>
        <x:v>20251201</x:v>
      </x:c>
      <x:c r="B408" s="8" t="s">
        <x:v>5</x:v>
      </x:c>
      <x:c r="C408" s="8">
        <x:v>1740</x:v>
      </x:c>
      <x:c r="D408" s="7" t="s">
        <x:v>1</x:v>
      </x:c>
      <x:c r="E408" s="8" t="s">
        <x:v>5</x:v>
      </x:c>
      <x:c r="F408" s="8" t="s">
        <x:v>40</x:v>
      </x:c>
      <x:c r="G408" s="15" t="str">
        <x:f>IF(OR(N408="",N408&gt;기본입력!$C$34),"",VLOOKUP(O408,기본입력!$A$9:$F$33,5))</x:f>
        <x:v>양현수_53778</x:v>
      </x:c>
      <x:c r="H408" s="15" t="str">
        <x:f>IF(OR(N408="",N408&gt;기본입력!$C$34),"",기본입력!$C$6)</x:f>
        <x:v>1교육실(실습겸용강의실)_243089</x:v>
      </x:c>
      <x:c r="I408" s="15" t="str">
        <x:f>IF(OR(O408="",N408&gt;기본입력!$C$34),"",VLOOKUP(O408,기본입력!$A$9:$F$33,6,FALSE))</x:f>
        <x:v>인공지능 프로그래밍__2</x:v>
      </x:c>
      <x:c r="J408" s="38" t="str">
        <x:f t="shared" si="36"/>
        <x:v>인공지능 프로그래밍</x:v>
      </x:c>
      <x:c r="K408" s="38" t="str">
        <x:f t="shared" si="37"/>
        <x:v>1교육실(실습겸용강의실)</x:v>
      </x:c>
      <x:c r="L408" s="38" t="str">
        <x:f t="shared" si="38"/>
        <x:v>양현수</x:v>
      </x:c>
      <x:c r="M408" s="63"/>
      <x:c r="N408" s="30">
        <x:f>IF(F408="2","",COUNTIF($F$3:$F408,"=1"))</x:f>
        <x:v>361</x:v>
      </x:c>
      <x:c r="O408" s="30">
        <x:f t="shared" si="39"/>
        <x:v>5</x:v>
      </x:c>
      <x:c r="P408" s="30">
        <x:f t="shared" si="41"/>
        <x:v>3</x:v>
      </x:c>
      <x:c r="Q408" s="30">
        <x:f>COUNTIF($P$3:P408,"=3")</x:f>
        <x:v>46</x:v>
      </x:c>
      <x:c r="R408" s="29">
        <x:f>WORKDAY(기본입력!$H$2,Q408-1,공휴일)</x:f>
        <x:v>45992</x:v>
      </x:c>
    </x:row>
    <x:row r="409" spans="1:18">
      <x:c r="A409" s="145" t="str">
        <x:f t="shared" si="40"/>
        <x:v>20251201</x:v>
      </x:c>
      <x:c r="B409" s="8" t="s">
        <x:v>5</x:v>
      </x:c>
      <x:c r="C409" s="8">
        <x:v>1740</x:v>
      </x:c>
      <x:c r="D409" s="7" t="s">
        <x:v>1</x:v>
      </x:c>
      <x:c r="E409" s="8" t="s">
        <x:v>117</x:v>
      </x:c>
      <x:c r="F409" s="8" t="s">
        <x:v>40</x:v>
      </x:c>
      <x:c r="G409" s="15" t="str">
        <x:f>IF(OR(N409="",N409&gt;기본입력!$C$34),"",VLOOKUP(O409,기본입력!$A$9:$F$33,5))</x:f>
        <x:v>양현수_53778</x:v>
      </x:c>
      <x:c r="H409" s="15" t="str">
        <x:f>IF(OR(N409="",N409&gt;기본입력!$C$34),"",기본입력!$C$6)</x:f>
        <x:v>1교육실(실습겸용강의실)_243089</x:v>
      </x:c>
      <x:c r="I409" s="15" t="str">
        <x:f>IF(OR(O409="",N409&gt;기본입력!$C$34),"",VLOOKUP(O409,기본입력!$A$9:$F$33,6,FALSE))</x:f>
        <x:v>인공지능 프로그래밍__2</x:v>
      </x:c>
      <x:c r="J409" s="38" t="str">
        <x:f t="shared" si="36"/>
        <x:v>인공지능 프로그래밍</x:v>
      </x:c>
      <x:c r="K409" s="38" t="str">
        <x:f t="shared" si="37"/>
        <x:v>1교육실(실습겸용강의실)</x:v>
      </x:c>
      <x:c r="L409" s="38" t="str">
        <x:f t="shared" si="38"/>
        <x:v>양현수</x:v>
      </x:c>
      <x:c r="M409" s="63"/>
      <x:c r="N409" s="30">
        <x:f>IF(F409="2","",COUNTIF($F$3:$F409,"=1"))</x:f>
        <x:v>362</x:v>
      </x:c>
      <x:c r="O409" s="30">
        <x:f t="shared" si="39"/>
        <x:v>5</x:v>
      </x:c>
      <x:c r="P409" s="30">
        <x:f t="shared" si="41"/>
        <x:v>4</x:v>
      </x:c>
      <x:c r="Q409" s="30">
        <x:f>COUNTIF($P$3:P409,"=3")</x:f>
        <x:v>46</x:v>
      </x:c>
      <x:c r="R409" s="29">
        <x:f>WORKDAY(기본입력!$H$2,Q409-1,공휴일)</x:f>
        <x:v>45992</x:v>
      </x:c>
    </x:row>
    <x:row r="410" spans="1:18">
      <x:c r="A410" s="145" t="str">
        <x:f t="shared" si="40"/>
        <x:v>20251201</x:v>
      </x:c>
      <x:c r="B410" s="8" t="s">
        <x:v>5</x:v>
      </x:c>
      <x:c r="C410" s="8">
        <x:v>1740</x:v>
      </x:c>
      <x:c r="D410" s="7" t="s">
        <x:v>1</x:v>
      </x:c>
      <x:c r="E410" s="8" t="s">
        <x:v>87</x:v>
      </x:c>
      <x:c r="F410" s="8" t="s">
        <x:v>40</x:v>
      </x:c>
      <x:c r="G410" s="15" t="str">
        <x:f>IF(OR(N410="",N410&gt;기본입력!$C$34),"",VLOOKUP(O410,기본입력!$A$9:$F$33,5))</x:f>
        <x:v>양현수_53778</x:v>
      </x:c>
      <x:c r="H410" s="15" t="str">
        <x:f>IF(OR(N410="",N410&gt;기본입력!$C$34),"",기본입력!$C$6)</x:f>
        <x:v>1교육실(실습겸용강의실)_243089</x:v>
      </x:c>
      <x:c r="I410" s="15" t="str">
        <x:f>IF(OR(O410="",N410&gt;기본입력!$C$34),"",VLOOKUP(O410,기본입력!$A$9:$F$33,6,FALSE))</x:f>
        <x:v>인공지능 프로그래밍__2</x:v>
      </x:c>
      <x:c r="J410" s="38" t="str">
        <x:f t="shared" si="36"/>
        <x:v>인공지능 프로그래밍</x:v>
      </x:c>
      <x:c r="K410" s="38" t="str">
        <x:f t="shared" si="37"/>
        <x:v>1교육실(실습겸용강의실)</x:v>
      </x:c>
      <x:c r="L410" s="38" t="str">
        <x:f t="shared" si="38"/>
        <x:v>양현수</x:v>
      </x:c>
      <x:c r="M410" s="63"/>
      <x:c r="N410" s="30">
        <x:f>IF(F410="2","",COUNTIF($F$3:$F410,"=1"))</x:f>
        <x:v>363</x:v>
      </x:c>
      <x:c r="O410" s="30">
        <x:f t="shared" si="39"/>
        <x:v>5</x:v>
      </x:c>
      <x:c r="P410" s="30">
        <x:f t="shared" si="41"/>
        <x:v>5</x:v>
      </x:c>
      <x:c r="Q410" s="30">
        <x:f>COUNTIF($P$3:P410,"=3")</x:f>
        <x:v>46</x:v>
      </x:c>
      <x:c r="R410" s="29">
        <x:f>WORKDAY(기본입력!$H$2,Q410-1,공휴일)</x:f>
        <x:v>45992</x:v>
      </x:c>
    </x:row>
    <x:row r="411" spans="1:18">
      <x:c r="A411" s="145" t="str">
        <x:f t="shared" si="40"/>
        <x:v>20251201</x:v>
      </x:c>
      <x:c r="B411" s="8" t="s">
        <x:v>5</x:v>
      </x:c>
      <x:c r="C411" s="8">
        <x:v>1740</x:v>
      </x:c>
      <x:c r="D411" s="7" t="s">
        <x:v>1</x:v>
      </x:c>
      <x:c r="E411" s="8" t="s">
        <x:v>88</x:v>
      </x:c>
      <x:c r="F411" s="8" t="s">
        <x:v>40</x:v>
      </x:c>
      <x:c r="G411" s="15" t="str">
        <x:f>IF(OR(N411="",N411&gt;기본입력!$C$34),"",VLOOKUP(O411,기본입력!$A$9:$F$33,5))</x:f>
        <x:v>양현수_53778</x:v>
      </x:c>
      <x:c r="H411" s="15" t="str">
        <x:f>IF(OR(N411="",N411&gt;기본입력!$C$34),"",기본입력!$C$6)</x:f>
        <x:v>1교육실(실습겸용강의실)_243089</x:v>
      </x:c>
      <x:c r="I411" s="15" t="str">
        <x:f>IF(OR(O411="",N411&gt;기본입력!$C$34),"",VLOOKUP(O411,기본입력!$A$9:$F$33,6,FALSE))</x:f>
        <x:v>인공지능 프로그래밍__2</x:v>
      </x:c>
      <x:c r="J411" s="38" t="str">
        <x:f t="shared" si="36"/>
        <x:v>인공지능 프로그래밍</x:v>
      </x:c>
      <x:c r="K411" s="38" t="str">
        <x:f t="shared" si="37"/>
        <x:v>1교육실(실습겸용강의실)</x:v>
      </x:c>
      <x:c r="L411" s="38" t="str">
        <x:f t="shared" si="38"/>
        <x:v>양현수</x:v>
      </x:c>
      <x:c r="M411" s="63"/>
      <x:c r="N411" s="30">
        <x:f>IF(F411="2","",COUNTIF($F$3:$F411,"=1"))</x:f>
        <x:v>364</x:v>
      </x:c>
      <x:c r="O411" s="30">
        <x:f t="shared" si="39"/>
        <x:v>5</x:v>
      </x:c>
      <x:c r="P411" s="30">
        <x:f t="shared" si="41"/>
        <x:v>6</x:v>
      </x:c>
      <x:c r="Q411" s="30">
        <x:f>COUNTIF($P$3:P411,"=3")</x:f>
        <x:v>46</x:v>
      </x:c>
      <x:c r="R411" s="29">
        <x:f>WORKDAY(기본입력!$H$2,Q411-1,공휴일)</x:f>
        <x:v>45992</x:v>
      </x:c>
    </x:row>
    <x:row r="412" spans="1:18">
      <x:c r="A412" s="145" t="str">
        <x:f t="shared" si="40"/>
        <x:v>20251201</x:v>
      </x:c>
      <x:c r="B412" s="8" t="s">
        <x:v>5</x:v>
      </x:c>
      <x:c r="C412" s="8">
        <x:v>1740</x:v>
      </x:c>
      <x:c r="D412" s="7" t="s">
        <x:v>1</x:v>
      </x:c>
      <x:c r="E412" s="8" t="s">
        <x:v>0</x:v>
      </x:c>
      <x:c r="F412" s="8" t="s">
        <x:v>41</x:v>
      </x:c>
      <x:c r="G412" s="15" t="str">
        <x:f>IF(OR(N412="",N412&gt;기본입력!$C$34),"",VLOOKUP(O412,기본입력!$A$9:$F$33,5))</x:f>
        <x:v/>
      </x:c>
      <x:c r="H412" s="15" t="str">
        <x:f>IF(OR(N412="",N412&gt;기본입력!$C$34),"",기본입력!$C$6)</x:f>
        <x:v/>
      </x:c>
      <x:c r="I412" s="15" t="str">
        <x:f>IF(OR(O412="",N412&gt;기본입력!$C$34),"",VLOOKUP(O412,기본입력!$A$9:$F$33,6,FALSE))</x:f>
        <x:v/>
      </x:c>
      <x:c r="J412" s="38" t="str">
        <x:f t="shared" si="36"/>
        <x:v/>
      </x:c>
      <x:c r="K412" s="38" t="str">
        <x:f t="shared" si="37"/>
        <x:v/>
      </x:c>
      <x:c r="L412" s="38" t="str">
        <x:f t="shared" si="38"/>
        <x:v/>
      </x:c>
      <x:c r="M412" s="63"/>
      <x:c r="N412" s="30" t="str">
        <x:f>IF(F412="2","",COUNTIF($F$3:$F412,"=1"))</x:f>
        <x:v/>
      </x:c>
      <x:c r="O412" s="30" t="str">
        <x:f t="shared" si="39"/>
        <x:v/>
      </x:c>
      <x:c r="P412" s="30">
        <x:f t="shared" si="41"/>
        <x:v>7</x:v>
      </x:c>
      <x:c r="Q412" s="30">
        <x:f>COUNTIF($P$3:P412,"=3")</x:f>
        <x:v>46</x:v>
      </x:c>
      <x:c r="R412" s="29">
        <x:f>WORKDAY(기본입력!$H$2,Q412-1,공휴일)</x:f>
        <x:v>45992</x:v>
      </x:c>
    </x:row>
    <x:row r="413" spans="1:18">
      <x:c r="A413" s="145" t="str">
        <x:f t="shared" si="40"/>
        <x:v>20251201</x:v>
      </x:c>
      <x:c r="B413" s="8" t="s">
        <x:v>5</x:v>
      </x:c>
      <x:c r="C413" s="8">
        <x:v>1740</x:v>
      </x:c>
      <x:c r="D413" s="7" t="s">
        <x:v>1</x:v>
      </x:c>
      <x:c r="E413" s="8">
        <x:v>1340</x:v>
      </x:c>
      <x:c r="F413" s="8" t="s">
        <x:v>40</x:v>
      </x:c>
      <x:c r="G413" s="15" t="str">
        <x:f>IF(OR(N413="",N413&gt;기본입력!$C$34),"",VLOOKUP(O413,기본입력!$A$9:$F$33,5))</x:f>
        <x:v>양현수_53778</x:v>
      </x:c>
      <x:c r="H413" s="15" t="str">
        <x:f>IF(OR(N413="",N413&gt;기본입력!$C$34),"",기본입력!$C$6)</x:f>
        <x:v>1교육실(실습겸용강의실)_243089</x:v>
      </x:c>
      <x:c r="I413" s="15" t="str">
        <x:f>IF(OR(O413="",N413&gt;기본입력!$C$34),"",VLOOKUP(O413,기본입력!$A$9:$F$33,6,FALSE))</x:f>
        <x:v>인공지능 프로그래밍__2</x:v>
      </x:c>
      <x:c r="J413" s="38" t="str">
        <x:f t="shared" si="36"/>
        <x:v>인공지능 프로그래밍</x:v>
      </x:c>
      <x:c r="K413" s="38" t="str">
        <x:f t="shared" si="37"/>
        <x:v>1교육실(실습겸용강의실)</x:v>
      </x:c>
      <x:c r="L413" s="38" t="str">
        <x:f t="shared" si="38"/>
        <x:v>양현수</x:v>
      </x:c>
      <x:c r="M413" s="63"/>
      <x:c r="N413" s="30">
        <x:f>IF(F413="2","",COUNTIF($F$3:$F413,"=1"))</x:f>
        <x:v>365</x:v>
      </x:c>
      <x:c r="O413" s="30">
        <x:f t="shared" si="39"/>
        <x:v>5</x:v>
      </x:c>
      <x:c r="P413" s="30">
        <x:f t="shared" si="41"/>
        <x:v>8</x:v>
      </x:c>
      <x:c r="Q413" s="30">
        <x:f>COUNTIF($P$3:P413,"=3")</x:f>
        <x:v>46</x:v>
      </x:c>
      <x:c r="R413" s="29">
        <x:f>WORKDAY(기본입력!$H$2,Q413-1,공휴일)</x:f>
        <x:v>45992</x:v>
      </x:c>
    </x:row>
    <x:row r="414" spans="1:18">
      <x:c r="A414" s="145" t="str">
        <x:f t="shared" si="40"/>
        <x:v>20251201</x:v>
      </x:c>
      <x:c r="B414" s="8" t="s">
        <x:v>5</x:v>
      </x:c>
      <x:c r="C414" s="8">
        <x:v>1740</x:v>
      </x:c>
      <x:c r="D414" s="7" t="s">
        <x:v>1</x:v>
      </x:c>
      <x:c r="E414" s="8">
        <x:v>1440</x:v>
      </x:c>
      <x:c r="F414" s="8" t="s">
        <x:v>40</x:v>
      </x:c>
      <x:c r="G414" s="15" t="str">
        <x:f>IF(OR(N414="",N414&gt;기본입력!$C$34),"",VLOOKUP(O414,기본입력!$A$9:$F$33,5))</x:f>
        <x:v>양현수_53778</x:v>
      </x:c>
      <x:c r="H414" s="15" t="str">
        <x:f>IF(OR(N414="",N414&gt;기본입력!$C$34),"",기본입력!$C$6)</x:f>
        <x:v>1교육실(실습겸용강의실)_243089</x:v>
      </x:c>
      <x:c r="I414" s="15" t="str">
        <x:f>IF(OR(O414="",N414&gt;기본입력!$C$34),"",VLOOKUP(O414,기본입력!$A$9:$F$33,6,FALSE))</x:f>
        <x:v>인공지능 프로그래밍__2</x:v>
      </x:c>
      <x:c r="J414" s="38" t="str">
        <x:f t="shared" si="36"/>
        <x:v>인공지능 프로그래밍</x:v>
      </x:c>
      <x:c r="K414" s="38" t="str">
        <x:f t="shared" si="37"/>
        <x:v>1교육실(실습겸용강의실)</x:v>
      </x:c>
      <x:c r="L414" s="38" t="str">
        <x:f t="shared" si="38"/>
        <x:v>양현수</x:v>
      </x:c>
      <x:c r="M414" s="63"/>
      <x:c r="N414" s="30">
        <x:f>IF(F414="2","",COUNTIF($F$3:$F414,"=1"))</x:f>
        <x:v>366</x:v>
      </x:c>
      <x:c r="O414" s="30">
        <x:f t="shared" si="39"/>
        <x:v>5</x:v>
      </x:c>
      <x:c r="P414" s="30">
        <x:f t="shared" si="41"/>
        <x:v>0</x:v>
      </x:c>
      <x:c r="Q414" s="30">
        <x:f>COUNTIF($P$3:P414,"=3")</x:f>
        <x:v>46</x:v>
      </x:c>
      <x:c r="R414" s="29">
        <x:f>WORKDAY(기본입력!$H$2,Q414-1,공휴일)</x:f>
        <x:v>45992</x:v>
      </x:c>
    </x:row>
    <x:row r="415" spans="1:18">
      <x:c r="A415" s="145" t="str">
        <x:f t="shared" si="40"/>
        <x:v>20251201</x:v>
      </x:c>
      <x:c r="B415" s="8" t="s">
        <x:v>5</x:v>
      </x:c>
      <x:c r="C415" s="8">
        <x:v>1740</x:v>
      </x:c>
      <x:c r="D415" s="7" t="s">
        <x:v>1</x:v>
      </x:c>
      <x:c r="E415" s="8">
        <x:v>1540</x:v>
      </x:c>
      <x:c r="F415" s="8" t="s">
        <x:v>40</x:v>
      </x:c>
      <x:c r="G415" s="15" t="str">
        <x:f>IF(OR(N415="",N415&gt;기본입력!$C$34),"",VLOOKUP(O415,기본입력!$A$9:$F$33,5))</x:f>
        <x:v>양현수_53778</x:v>
      </x:c>
      <x:c r="H415" s="15" t="str">
        <x:f>IF(OR(N415="",N415&gt;기본입력!$C$34),"",기본입력!$C$6)</x:f>
        <x:v>1교육실(실습겸용강의실)_243089</x:v>
      </x:c>
      <x:c r="I415" s="15" t="str">
        <x:f>IF(OR(O415="",N415&gt;기본입력!$C$34),"",VLOOKUP(O415,기본입력!$A$9:$F$33,6,FALSE))</x:f>
        <x:v>인공지능 프로그래밍__2</x:v>
      </x:c>
      <x:c r="J415" s="38" t="str">
        <x:f t="shared" si="36"/>
        <x:v>인공지능 프로그래밍</x:v>
      </x:c>
      <x:c r="K415" s="38" t="str">
        <x:f t="shared" si="37"/>
        <x:v>1교육실(실습겸용강의실)</x:v>
      </x:c>
      <x:c r="L415" s="38" t="str">
        <x:f t="shared" si="38"/>
        <x:v>양현수</x:v>
      </x:c>
      <x:c r="M415" s="63"/>
      <x:c r="N415" s="30">
        <x:f>IF(F415="2","",COUNTIF($F$3:$F415,"=1"))</x:f>
        <x:v>367</x:v>
      </x:c>
      <x:c r="O415" s="30">
        <x:f t="shared" si="39"/>
        <x:v>5</x:v>
      </x:c>
      <x:c r="P415" s="30">
        <x:f t="shared" si="41"/>
        <x:v>1</x:v>
      </x:c>
      <x:c r="Q415" s="30">
        <x:f>COUNTIF($P$3:P415,"=3")</x:f>
        <x:v>46</x:v>
      </x:c>
      <x:c r="R415" s="29">
        <x:f>WORKDAY(기본입력!$H$2,Q415-1,공휴일)</x:f>
        <x:v>45992</x:v>
      </x:c>
    </x:row>
    <x:row r="416" spans="1:18">
      <x:c r="A416" s="145" t="str">
        <x:f t="shared" si="40"/>
        <x:v>20251201</x:v>
      </x:c>
      <x:c r="B416" s="8" t="s">
        <x:v>5</x:v>
      </x:c>
      <x:c r="C416" s="8">
        <x:v>1740</x:v>
      </x:c>
      <x:c r="D416" s="7" t="s">
        <x:v>1</x:v>
      </x:c>
      <x:c r="E416" s="8">
        <x:v>1640</x:v>
      </x:c>
      <x:c r="F416" s="8" t="s">
        <x:v>40</x:v>
      </x:c>
      <x:c r="G416" s="15" t="str">
        <x:f>IF(OR(N416="",N416&gt;기본입력!$C$34),"",VLOOKUP(O416,기본입력!$A$9:$F$33,5))</x:f>
        <x:v>양현수_53778</x:v>
      </x:c>
      <x:c r="H416" s="15" t="str">
        <x:f>IF(OR(N416="",N416&gt;기본입력!$C$34),"",기본입력!$C$6)</x:f>
        <x:v>1교육실(실습겸용강의실)_243089</x:v>
      </x:c>
      <x:c r="I416" s="15" t="str">
        <x:f>IF(OR(O416="",N416&gt;기본입력!$C$34),"",VLOOKUP(O416,기본입력!$A$9:$F$33,6,FALSE))</x:f>
        <x:v>인공지능 프로그래밍__2</x:v>
      </x:c>
      <x:c r="J416" s="38" t="str">
        <x:f t="shared" si="36"/>
        <x:v>인공지능 프로그래밍</x:v>
      </x:c>
      <x:c r="K416" s="38" t="str">
        <x:f t="shared" si="37"/>
        <x:v>1교육실(실습겸용강의실)</x:v>
      </x:c>
      <x:c r="L416" s="38" t="str">
        <x:f t="shared" si="38"/>
        <x:v>양현수</x:v>
      </x:c>
      <x:c r="M416" s="63"/>
      <x:c r="N416" s="30">
        <x:f>IF(F416="2","",COUNTIF($F$3:$F416,"=1"))</x:f>
        <x:v>368</x:v>
      </x:c>
      <x:c r="O416" s="30">
        <x:f t="shared" si="39"/>
        <x:v>5</x:v>
      </x:c>
      <x:c r="P416" s="30">
        <x:f t="shared" si="41"/>
        <x:v>2</x:v>
      </x:c>
      <x:c r="Q416" s="30">
        <x:f>COUNTIF($P$3:P416,"=3")</x:f>
        <x:v>46</x:v>
      </x:c>
      <x:c r="R416" s="29">
        <x:f>WORKDAY(기본입력!$H$2,Q416-1,공휴일)</x:f>
        <x:v>45992</x:v>
      </x:c>
    </x:row>
    <x:row r="417" spans="1:18">
      <x:c r="A417" s="144" t="str">
        <x:f t="shared" si="40"/>
        <x:v>20251202</x:v>
      </x:c>
      <x:c r="B417" s="6" t="s">
        <x:v>5</x:v>
      </x:c>
      <x:c r="C417" s="6">
        <x:v>1740</x:v>
      </x:c>
      <x:c r="D417" s="5" t="s">
        <x:v>1</x:v>
      </x:c>
      <x:c r="E417" s="6" t="s">
        <x:v>5</x:v>
      </x:c>
      <x:c r="F417" s="6" t="s">
        <x:v>40</x:v>
      </x:c>
      <x:c r="G417" s="14" t="str">
        <x:f>IF(OR(N417="",N417&gt;기본입력!$C$34),"",VLOOKUP(O417,기본입력!$A$9:$F$33,5))</x:f>
        <x:v>양현수_53778</x:v>
      </x:c>
      <x:c r="H417" s="14" t="str">
        <x:f>IF(OR(N417="",N417&gt;기본입력!$C$34),"",기본입력!$C$6)</x:f>
        <x:v>1교육실(실습겸용강의실)_243089</x:v>
      </x:c>
      <x:c r="I417" s="14" t="str">
        <x:f>IF(OR(O417="",N417&gt;기본입력!$C$34),"",VLOOKUP(O417,기본입력!$A$9:$F$33,6,FALSE))</x:f>
        <x:v>인공지능 프로그래밍__2</x:v>
      </x:c>
      <x:c r="J417" s="38" t="str">
        <x:f t="shared" si="36"/>
        <x:v>인공지능 프로그래밍</x:v>
      </x:c>
      <x:c r="K417" s="38" t="str">
        <x:f t="shared" si="37"/>
        <x:v>1교육실(실습겸용강의실)</x:v>
      </x:c>
      <x:c r="L417" s="38" t="str">
        <x:f t="shared" si="38"/>
        <x:v>양현수</x:v>
      </x:c>
      <x:c r="M417" s="63"/>
      <x:c r="N417" s="30">
        <x:f>IF(F417="2","",COUNTIF($F$3:$F417,"=1"))</x:f>
        <x:v>369</x:v>
      </x:c>
      <x:c r="O417" s="30">
        <x:f t="shared" si="39"/>
        <x:v>5</x:v>
      </x:c>
      <x:c r="P417" s="30">
        <x:f t="shared" si="41"/>
        <x:v>3</x:v>
      </x:c>
      <x:c r="Q417" s="30">
        <x:f>COUNTIF($P$3:P417,"=3")</x:f>
        <x:v>47</x:v>
      </x:c>
      <x:c r="R417" s="29">
        <x:f>WORKDAY(기본입력!$H$2,Q417-1,공휴일)</x:f>
        <x:v>45993</x:v>
      </x:c>
    </x:row>
    <x:row r="418" spans="1:18">
      <x:c r="A418" s="144" t="str">
        <x:f t="shared" si="40"/>
        <x:v>20251202</x:v>
      </x:c>
      <x:c r="B418" s="6" t="s">
        <x:v>5</x:v>
      </x:c>
      <x:c r="C418" s="6">
        <x:v>1740</x:v>
      </x:c>
      <x:c r="D418" s="5" t="s">
        <x:v>1</x:v>
      </x:c>
      <x:c r="E418" s="6" t="s">
        <x:v>117</x:v>
      </x:c>
      <x:c r="F418" s="6" t="s">
        <x:v>40</x:v>
      </x:c>
      <x:c r="G418" s="14" t="str">
        <x:f>IF(OR(N418="",N418&gt;기본입력!$C$34),"",VLOOKUP(O418,기본입력!$A$9:$F$33,5))</x:f>
        <x:v>양현수_53778</x:v>
      </x:c>
      <x:c r="H418" s="14" t="str">
        <x:f>IF(OR(N418="",N418&gt;기본입력!$C$34),"",기본입력!$C$6)</x:f>
        <x:v>1교육실(실습겸용강의실)_243089</x:v>
      </x:c>
      <x:c r="I418" s="14" t="str">
        <x:f>IF(OR(O418="",N418&gt;기본입력!$C$34),"",VLOOKUP(O418,기본입력!$A$9:$F$33,6,FALSE))</x:f>
        <x:v>인공지능 프로그래밍__2</x:v>
      </x:c>
      <x:c r="J418" s="38" t="str">
        <x:f t="shared" si="36"/>
        <x:v>인공지능 프로그래밍</x:v>
      </x:c>
      <x:c r="K418" s="38" t="str">
        <x:f t="shared" si="37"/>
        <x:v>1교육실(실습겸용강의실)</x:v>
      </x:c>
      <x:c r="L418" s="38" t="str">
        <x:f t="shared" si="38"/>
        <x:v>양현수</x:v>
      </x:c>
      <x:c r="M418" s="63"/>
      <x:c r="N418" s="30">
        <x:f>IF(F418="2","",COUNTIF($F$3:$F418,"=1"))</x:f>
        <x:v>370</x:v>
      </x:c>
      <x:c r="O418" s="30">
        <x:f t="shared" si="39"/>
        <x:v>5</x:v>
      </x:c>
      <x:c r="P418" s="30">
        <x:f t="shared" si="41"/>
        <x:v>4</x:v>
      </x:c>
      <x:c r="Q418" s="30">
        <x:f>COUNTIF($P$3:P418,"=3")</x:f>
        <x:v>47</x:v>
      </x:c>
      <x:c r="R418" s="29">
        <x:f>WORKDAY(기본입력!$H$2,Q418-1,공휴일)</x:f>
        <x:v>45993</x:v>
      </x:c>
    </x:row>
    <x:row r="419" spans="1:18">
      <x:c r="A419" s="144" t="str">
        <x:f t="shared" si="40"/>
        <x:v>20251202</x:v>
      </x:c>
      <x:c r="B419" s="6" t="s">
        <x:v>5</x:v>
      </x:c>
      <x:c r="C419" s="6">
        <x:v>1740</x:v>
      </x:c>
      <x:c r="D419" s="5" t="s">
        <x:v>1</x:v>
      </x:c>
      <x:c r="E419" s="6" t="s">
        <x:v>87</x:v>
      </x:c>
      <x:c r="F419" s="6" t="s">
        <x:v>40</x:v>
      </x:c>
      <x:c r="G419" s="14" t="str">
        <x:f>IF(OR(N419="",N419&gt;기본입력!$C$34),"",VLOOKUP(O419,기본입력!$A$9:$F$33,5))</x:f>
        <x:v>양현수_53778</x:v>
      </x:c>
      <x:c r="H419" s="14" t="str">
        <x:f>IF(OR(N419="",N419&gt;기본입력!$C$34),"",기본입력!$C$6)</x:f>
        <x:v>1교육실(실습겸용강의실)_243089</x:v>
      </x:c>
      <x:c r="I419" s="14" t="str">
        <x:f>IF(OR(O419="",N419&gt;기본입력!$C$34),"",VLOOKUP(O419,기본입력!$A$9:$F$33,6,FALSE))</x:f>
        <x:v>인공지능 프로그래밍__2</x:v>
      </x:c>
      <x:c r="J419" s="38" t="str">
        <x:f t="shared" si="36"/>
        <x:v>인공지능 프로그래밍</x:v>
      </x:c>
      <x:c r="K419" s="38" t="str">
        <x:f t="shared" si="37"/>
        <x:v>1교육실(실습겸용강의실)</x:v>
      </x:c>
      <x:c r="L419" s="38" t="str">
        <x:f t="shared" si="38"/>
        <x:v>양현수</x:v>
      </x:c>
      <x:c r="M419" s="63"/>
      <x:c r="N419" s="30">
        <x:f>IF(F419="2","",COUNTIF($F$3:$F419,"=1"))</x:f>
        <x:v>371</x:v>
      </x:c>
      <x:c r="O419" s="30">
        <x:f t="shared" si="39"/>
        <x:v>5</x:v>
      </x:c>
      <x:c r="P419" s="30">
        <x:f t="shared" si="41"/>
        <x:v>5</x:v>
      </x:c>
      <x:c r="Q419" s="30">
        <x:f>COUNTIF($P$3:P419,"=3")</x:f>
        <x:v>47</x:v>
      </x:c>
      <x:c r="R419" s="29">
        <x:f>WORKDAY(기본입력!$H$2,Q419-1,공휴일)</x:f>
        <x:v>45993</x:v>
      </x:c>
    </x:row>
    <x:row r="420" spans="1:18">
      <x:c r="A420" s="144" t="str">
        <x:f t="shared" si="40"/>
        <x:v>20251202</x:v>
      </x:c>
      <x:c r="B420" s="6" t="s">
        <x:v>5</x:v>
      </x:c>
      <x:c r="C420" s="6">
        <x:v>1740</x:v>
      </x:c>
      <x:c r="D420" s="5" t="s">
        <x:v>1</x:v>
      </x:c>
      <x:c r="E420" s="6" t="s">
        <x:v>88</x:v>
      </x:c>
      <x:c r="F420" s="6" t="s">
        <x:v>40</x:v>
      </x:c>
      <x:c r="G420" s="14" t="str">
        <x:f>IF(OR(N420="",N420&gt;기본입력!$C$34),"",VLOOKUP(O420,기본입력!$A$9:$F$33,5))</x:f>
        <x:v>양현수_53778</x:v>
      </x:c>
      <x:c r="H420" s="14" t="str">
        <x:f>IF(OR(N420="",N420&gt;기본입력!$C$34),"",기본입력!$C$6)</x:f>
        <x:v>1교육실(실습겸용강의실)_243089</x:v>
      </x:c>
      <x:c r="I420" s="14" t="str">
        <x:f>IF(OR(O420="",N420&gt;기본입력!$C$34),"",VLOOKUP(O420,기본입력!$A$9:$F$33,6,FALSE))</x:f>
        <x:v>인공지능 프로그래밍__2</x:v>
      </x:c>
      <x:c r="J420" s="38" t="str">
        <x:f t="shared" si="36"/>
        <x:v>인공지능 프로그래밍</x:v>
      </x:c>
      <x:c r="K420" s="38" t="str">
        <x:f t="shared" si="37"/>
        <x:v>1교육실(실습겸용강의실)</x:v>
      </x:c>
      <x:c r="L420" s="38" t="str">
        <x:f t="shared" si="38"/>
        <x:v>양현수</x:v>
      </x:c>
      <x:c r="M420" s="63"/>
      <x:c r="N420" s="30">
        <x:f>IF(F420="2","",COUNTIF($F$3:$F420,"=1"))</x:f>
        <x:v>372</x:v>
      </x:c>
      <x:c r="O420" s="30">
        <x:f t="shared" si="39"/>
        <x:v>5</x:v>
      </x:c>
      <x:c r="P420" s="30">
        <x:f t="shared" si="41"/>
        <x:v>6</x:v>
      </x:c>
      <x:c r="Q420" s="30">
        <x:f>COUNTIF($P$3:P420,"=3")</x:f>
        <x:v>47</x:v>
      </x:c>
      <x:c r="R420" s="29">
        <x:f>WORKDAY(기본입력!$H$2,Q420-1,공휴일)</x:f>
        <x:v>45993</x:v>
      </x:c>
    </x:row>
    <x:row r="421" spans="1:18">
      <x:c r="A421" s="144" t="str">
        <x:f t="shared" si="40"/>
        <x:v>20251202</x:v>
      </x:c>
      <x:c r="B421" s="6" t="s">
        <x:v>5</x:v>
      </x:c>
      <x:c r="C421" s="6">
        <x:v>1740</x:v>
      </x:c>
      <x:c r="D421" s="5" t="s">
        <x:v>1</x:v>
      </x:c>
      <x:c r="E421" s="6" t="s">
        <x:v>0</x:v>
      </x:c>
      <x:c r="F421" s="6" t="s">
        <x:v>41</x:v>
      </x:c>
      <x:c r="G421" s="14" t="str">
        <x:f>IF(OR(N421="",N421&gt;기본입력!$C$34),"",VLOOKUP(O421,기본입력!$A$9:$F$33,5))</x:f>
        <x:v/>
      </x:c>
      <x:c r="H421" s="14" t="str">
        <x:f>IF(OR(N421="",N421&gt;기본입력!$C$34),"",기본입력!$C$6)</x:f>
        <x:v/>
      </x:c>
      <x:c r="I421" s="14" t="str">
        <x:f>IF(OR(O421="",N421&gt;기본입력!$C$34),"",VLOOKUP(O421,기본입력!$A$9:$F$33,6,FALSE))</x:f>
        <x:v/>
      </x:c>
      <x:c r="J421" s="38" t="str">
        <x:f t="shared" si="36"/>
        <x:v/>
      </x:c>
      <x:c r="K421" s="38" t="str">
        <x:f t="shared" si="37"/>
        <x:v/>
      </x:c>
      <x:c r="L421" s="38" t="str">
        <x:f t="shared" si="38"/>
        <x:v/>
      </x:c>
      <x:c r="M421" s="63"/>
      <x:c r="N421" s="30" t="str">
        <x:f>IF(F421="2","",COUNTIF($F$3:$F421,"=1"))</x:f>
        <x:v/>
      </x:c>
      <x:c r="O421" s="30" t="str">
        <x:f t="shared" si="39"/>
        <x:v/>
      </x:c>
      <x:c r="P421" s="30">
        <x:f t="shared" si="41"/>
        <x:v>7</x:v>
      </x:c>
      <x:c r="Q421" s="30">
        <x:f>COUNTIF($P$3:P421,"=3")</x:f>
        <x:v>47</x:v>
      </x:c>
      <x:c r="R421" s="29">
        <x:f>WORKDAY(기본입력!$H$2,Q421-1,공휴일)</x:f>
        <x:v>45993</x:v>
      </x:c>
    </x:row>
    <x:row r="422" spans="1:18">
      <x:c r="A422" s="144" t="str">
        <x:f t="shared" si="40"/>
        <x:v>20251202</x:v>
      </x:c>
      <x:c r="B422" s="6" t="s">
        <x:v>5</x:v>
      </x:c>
      <x:c r="C422" s="6">
        <x:v>1740</x:v>
      </x:c>
      <x:c r="D422" s="5" t="s">
        <x:v>1</x:v>
      </x:c>
      <x:c r="E422" s="6">
        <x:v>1340</x:v>
      </x:c>
      <x:c r="F422" s="6" t="s">
        <x:v>40</x:v>
      </x:c>
      <x:c r="G422" s="14" t="str">
        <x:f>IF(OR(N422="",N422&gt;기본입력!$C$34),"",VLOOKUP(O422,기본입력!$A$9:$F$33,5))</x:f>
        <x:v>양현수_53778</x:v>
      </x:c>
      <x:c r="H422" s="14" t="str">
        <x:f>IF(OR(N422="",N422&gt;기본입력!$C$34),"",기본입력!$C$6)</x:f>
        <x:v>1교육실(실습겸용강의실)_243089</x:v>
      </x:c>
      <x:c r="I422" s="14" t="str">
        <x:f>IF(OR(O422="",N422&gt;기본입력!$C$34),"",VLOOKUP(O422,기본입력!$A$9:$F$33,6,FALSE))</x:f>
        <x:v>인공지능 프로그래밍__2</x:v>
      </x:c>
      <x:c r="J422" s="38" t="str">
        <x:f t="shared" si="36"/>
        <x:v>인공지능 프로그래밍</x:v>
      </x:c>
      <x:c r="K422" s="38" t="str">
        <x:f t="shared" si="37"/>
        <x:v>1교육실(실습겸용강의실)</x:v>
      </x:c>
      <x:c r="L422" s="38" t="str">
        <x:f t="shared" si="38"/>
        <x:v>양현수</x:v>
      </x:c>
      <x:c r="M422" s="63"/>
      <x:c r="N422" s="30">
        <x:f>IF(F422="2","",COUNTIF($F$3:$F422,"=1"))</x:f>
        <x:v>373</x:v>
      </x:c>
      <x:c r="O422" s="30">
        <x:f t="shared" si="39"/>
        <x:v>5</x:v>
      </x:c>
      <x:c r="P422" s="30">
        <x:f t="shared" si="41"/>
        <x:v>8</x:v>
      </x:c>
      <x:c r="Q422" s="30">
        <x:f>COUNTIF($P$3:P422,"=3")</x:f>
        <x:v>47</x:v>
      </x:c>
      <x:c r="R422" s="29">
        <x:f>WORKDAY(기본입력!$H$2,Q422-1,공휴일)</x:f>
        <x:v>45993</x:v>
      </x:c>
    </x:row>
    <x:row r="423" spans="1:18">
      <x:c r="A423" s="144" t="str">
        <x:f t="shared" si="40"/>
        <x:v>20251202</x:v>
      </x:c>
      <x:c r="B423" s="6" t="s">
        <x:v>5</x:v>
      </x:c>
      <x:c r="C423" s="6">
        <x:v>1740</x:v>
      </x:c>
      <x:c r="D423" s="5" t="s">
        <x:v>1</x:v>
      </x:c>
      <x:c r="E423" s="6">
        <x:v>1440</x:v>
      </x:c>
      <x:c r="F423" s="6" t="s">
        <x:v>40</x:v>
      </x:c>
      <x:c r="G423" s="14" t="str">
        <x:f>IF(OR(N423="",N423&gt;기본입력!$C$34),"",VLOOKUP(O423,기본입력!$A$9:$F$33,5))</x:f>
        <x:v>양현수_53778</x:v>
      </x:c>
      <x:c r="H423" s="14" t="str">
        <x:f>IF(OR(N423="",N423&gt;기본입력!$C$34),"",기본입력!$C$6)</x:f>
        <x:v>1교육실(실습겸용강의실)_243089</x:v>
      </x:c>
      <x:c r="I423" s="14" t="str">
        <x:f>IF(OR(O423="",N423&gt;기본입력!$C$34),"",VLOOKUP(O423,기본입력!$A$9:$F$33,6,FALSE))</x:f>
        <x:v>인공지능 프로그래밍__2</x:v>
      </x:c>
      <x:c r="J423" s="38" t="str">
        <x:f t="shared" si="36"/>
        <x:v>인공지능 프로그래밍</x:v>
      </x:c>
      <x:c r="K423" s="38" t="str">
        <x:f t="shared" si="37"/>
        <x:v>1교육실(실습겸용강의실)</x:v>
      </x:c>
      <x:c r="L423" s="38" t="str">
        <x:f t="shared" si="38"/>
        <x:v>양현수</x:v>
      </x:c>
      <x:c r="M423" s="63"/>
      <x:c r="N423" s="30">
        <x:f>IF(F423="2","",COUNTIF($F$3:$F423,"=1"))</x:f>
        <x:v>374</x:v>
      </x:c>
      <x:c r="O423" s="30">
        <x:f t="shared" si="39"/>
        <x:v>5</x:v>
      </x:c>
      <x:c r="P423" s="30">
        <x:f t="shared" si="41"/>
        <x:v>0</x:v>
      </x:c>
      <x:c r="Q423" s="30">
        <x:f>COUNTIF($P$3:P423,"=3")</x:f>
        <x:v>47</x:v>
      </x:c>
      <x:c r="R423" s="29">
        <x:f>WORKDAY(기본입력!$H$2,Q423-1,공휴일)</x:f>
        <x:v>45993</x:v>
      </x:c>
    </x:row>
    <x:row r="424" spans="1:18">
      <x:c r="A424" s="144" t="str">
        <x:f t="shared" si="40"/>
        <x:v>20251202</x:v>
      </x:c>
      <x:c r="B424" s="6" t="s">
        <x:v>5</x:v>
      </x:c>
      <x:c r="C424" s="6">
        <x:v>1740</x:v>
      </x:c>
      <x:c r="D424" s="5" t="s">
        <x:v>1</x:v>
      </x:c>
      <x:c r="E424" s="6">
        <x:v>1540</x:v>
      </x:c>
      <x:c r="F424" s="6" t="s">
        <x:v>40</x:v>
      </x:c>
      <x:c r="G424" s="14" t="str">
        <x:f>IF(OR(N424="",N424&gt;기본입력!$C$34),"",VLOOKUP(O424,기본입력!$A$9:$F$33,5))</x:f>
        <x:v>양현수_53778</x:v>
      </x:c>
      <x:c r="H424" s="14" t="str">
        <x:f>IF(OR(N424="",N424&gt;기본입력!$C$34),"",기본입력!$C$6)</x:f>
        <x:v>1교육실(실습겸용강의실)_243089</x:v>
      </x:c>
      <x:c r="I424" s="14" t="str">
        <x:f>IF(OR(O424="",N424&gt;기본입력!$C$34),"",VLOOKUP(O424,기본입력!$A$9:$F$33,6,FALSE))</x:f>
        <x:v>인공지능 프로그래밍__2</x:v>
      </x:c>
      <x:c r="J424" s="38" t="str">
        <x:f t="shared" si="36"/>
        <x:v>인공지능 프로그래밍</x:v>
      </x:c>
      <x:c r="K424" s="38" t="str">
        <x:f t="shared" si="37"/>
        <x:v>1교육실(실습겸용강의실)</x:v>
      </x:c>
      <x:c r="L424" s="38" t="str">
        <x:f t="shared" si="38"/>
        <x:v>양현수</x:v>
      </x:c>
      <x:c r="M424" s="63"/>
      <x:c r="N424" s="30">
        <x:f>IF(F424="2","",COUNTIF($F$3:$F424,"=1"))</x:f>
        <x:v>375</x:v>
      </x:c>
      <x:c r="O424" s="30">
        <x:f t="shared" si="39"/>
        <x:v>5</x:v>
      </x:c>
      <x:c r="P424" s="30">
        <x:f t="shared" si="41"/>
        <x:v>1</x:v>
      </x:c>
      <x:c r="Q424" s="30">
        <x:f>COUNTIF($P$3:P424,"=3")</x:f>
        <x:v>47</x:v>
      </x:c>
      <x:c r="R424" s="29">
        <x:f>WORKDAY(기본입력!$H$2,Q424-1,공휴일)</x:f>
        <x:v>45993</x:v>
      </x:c>
    </x:row>
    <x:row r="425" spans="1:18">
      <x:c r="A425" s="144" t="str">
        <x:f t="shared" si="40"/>
        <x:v>20251202</x:v>
      </x:c>
      <x:c r="B425" s="6" t="s">
        <x:v>5</x:v>
      </x:c>
      <x:c r="C425" s="6">
        <x:v>1740</x:v>
      </x:c>
      <x:c r="D425" s="5" t="s">
        <x:v>1</x:v>
      </x:c>
      <x:c r="E425" s="6">
        <x:v>1640</x:v>
      </x:c>
      <x:c r="F425" s="6" t="s">
        <x:v>40</x:v>
      </x:c>
      <x:c r="G425" s="14" t="str">
        <x:f>IF(OR(N425="",N425&gt;기본입력!$C$34),"",VLOOKUP(O425,기본입력!$A$9:$F$33,5))</x:f>
        <x:v>양현수_53778</x:v>
      </x:c>
      <x:c r="H425" s="14" t="str">
        <x:f>IF(OR(N425="",N425&gt;기본입력!$C$34),"",기본입력!$C$6)</x:f>
        <x:v>1교육실(실습겸용강의실)_243089</x:v>
      </x:c>
      <x:c r="I425" s="14" t="str">
        <x:f>IF(OR(O425="",N425&gt;기본입력!$C$34),"",VLOOKUP(O425,기본입력!$A$9:$F$33,6,FALSE))</x:f>
        <x:v>인공지능 프로그래밍__2</x:v>
      </x:c>
      <x:c r="J425" s="38" t="str">
        <x:f t="shared" si="36"/>
        <x:v>인공지능 프로그래밍</x:v>
      </x:c>
      <x:c r="K425" s="38" t="str">
        <x:f t="shared" si="37"/>
        <x:v>1교육실(실습겸용강의실)</x:v>
      </x:c>
      <x:c r="L425" s="38" t="str">
        <x:f t="shared" si="38"/>
        <x:v>양현수</x:v>
      </x:c>
      <x:c r="M425" s="63"/>
      <x:c r="N425" s="30">
        <x:f>IF(F425="2","",COUNTIF($F$3:$F425,"=1"))</x:f>
        <x:v>376</x:v>
      </x:c>
      <x:c r="O425" s="30">
        <x:f t="shared" si="39"/>
        <x:v>5</x:v>
      </x:c>
      <x:c r="P425" s="30">
        <x:f t="shared" si="41"/>
        <x:v>2</x:v>
      </x:c>
      <x:c r="Q425" s="30">
        <x:f>COUNTIF($P$3:P425,"=3")</x:f>
        <x:v>47</x:v>
      </x:c>
      <x:c r="R425" s="29">
        <x:f>WORKDAY(기본입력!$H$2,Q425-1,공휴일)</x:f>
        <x:v>45993</x:v>
      </x:c>
    </x:row>
    <x:row r="426" spans="1:18">
      <x:c r="A426" s="145" t="str">
        <x:f t="shared" si="40"/>
        <x:v>20251203</x:v>
      </x:c>
      <x:c r="B426" s="8" t="s">
        <x:v>5</x:v>
      </x:c>
      <x:c r="C426" s="8">
        <x:v>1740</x:v>
      </x:c>
      <x:c r="D426" s="7" t="s">
        <x:v>1</x:v>
      </x:c>
      <x:c r="E426" s="8" t="s">
        <x:v>5</x:v>
      </x:c>
      <x:c r="F426" s="8" t="s">
        <x:v>40</x:v>
      </x:c>
      <x:c r="G426" s="15" t="str">
        <x:f>IF(OR(N426="",N426&gt;기본입력!$C$34),"",VLOOKUP(O426,기본입력!$A$9:$F$33,5))</x:f>
        <x:v>양현수_53778</x:v>
      </x:c>
      <x:c r="H426" s="15" t="str">
        <x:f>IF(OR(N426="",N426&gt;기본입력!$C$34),"",기본입력!$C$6)</x:f>
        <x:v>1교육실(실습겸용강의실)_243089</x:v>
      </x:c>
      <x:c r="I426" s="15" t="str">
        <x:f>IF(OR(O426="",N426&gt;기본입력!$C$34),"",VLOOKUP(O426,기본입력!$A$9:$F$33,6,FALSE))</x:f>
        <x:v>인공지능 프로그래밍__2</x:v>
      </x:c>
      <x:c r="J426" s="38" t="str">
        <x:f t="shared" si="36"/>
        <x:v>인공지능 프로그래밍</x:v>
      </x:c>
      <x:c r="K426" s="38" t="str">
        <x:f t="shared" si="37"/>
        <x:v>1교육실(실습겸용강의실)</x:v>
      </x:c>
      <x:c r="L426" s="38" t="str">
        <x:f t="shared" si="38"/>
        <x:v>양현수</x:v>
      </x:c>
      <x:c r="M426" s="63"/>
      <x:c r="N426" s="30">
        <x:f>IF(F426="2","",COUNTIF($F$3:$F426,"=1"))</x:f>
        <x:v>377</x:v>
      </x:c>
      <x:c r="O426" s="30">
        <x:f t="shared" si="39"/>
        <x:v>5</x:v>
      </x:c>
      <x:c r="P426" s="30">
        <x:f t="shared" si="41"/>
        <x:v>3</x:v>
      </x:c>
      <x:c r="Q426" s="30">
        <x:f>COUNTIF($P$3:P426,"=3")</x:f>
        <x:v>48</x:v>
      </x:c>
      <x:c r="R426" s="29">
        <x:f>WORKDAY(기본입력!$H$2,Q426-1,공휴일)</x:f>
        <x:v>45994</x:v>
      </x:c>
    </x:row>
    <x:row r="427" spans="1:18">
      <x:c r="A427" s="145" t="str">
        <x:f t="shared" si="40"/>
        <x:v>20251203</x:v>
      </x:c>
      <x:c r="B427" s="8" t="s">
        <x:v>5</x:v>
      </x:c>
      <x:c r="C427" s="8">
        <x:v>1740</x:v>
      </x:c>
      <x:c r="D427" s="7" t="s">
        <x:v>1</x:v>
      </x:c>
      <x:c r="E427" s="8" t="s">
        <x:v>117</x:v>
      </x:c>
      <x:c r="F427" s="8" t="s">
        <x:v>40</x:v>
      </x:c>
      <x:c r="G427" s="15" t="str">
        <x:f>IF(OR(N427="",N427&gt;기본입력!$C$34),"",VLOOKUP(O427,기본입력!$A$9:$F$33,5))</x:f>
        <x:v>양현수_53778</x:v>
      </x:c>
      <x:c r="H427" s="15" t="str">
        <x:f>IF(OR(N427="",N427&gt;기본입력!$C$34),"",기본입력!$C$6)</x:f>
        <x:v>1교육실(실습겸용강의실)_243089</x:v>
      </x:c>
      <x:c r="I427" s="15" t="str">
        <x:f>IF(OR(O427="",N427&gt;기본입력!$C$34),"",VLOOKUP(O427,기본입력!$A$9:$F$33,6,FALSE))</x:f>
        <x:v>인공지능 프로그래밍__2</x:v>
      </x:c>
      <x:c r="J427" s="38" t="str">
        <x:f t="shared" si="36"/>
        <x:v>인공지능 프로그래밍</x:v>
      </x:c>
      <x:c r="K427" s="38" t="str">
        <x:f t="shared" si="37"/>
        <x:v>1교육실(실습겸용강의실)</x:v>
      </x:c>
      <x:c r="L427" s="38" t="str">
        <x:f t="shared" si="38"/>
        <x:v>양현수</x:v>
      </x:c>
      <x:c r="M427" s="63"/>
      <x:c r="N427" s="30">
        <x:f>IF(F427="2","",COUNTIF($F$3:$F427,"=1"))</x:f>
        <x:v>378</x:v>
      </x:c>
      <x:c r="O427" s="30">
        <x:f t="shared" si="39"/>
        <x:v>5</x:v>
      </x:c>
      <x:c r="P427" s="30">
        <x:f t="shared" si="41"/>
        <x:v>4</x:v>
      </x:c>
      <x:c r="Q427" s="30">
        <x:f>COUNTIF($P$3:P427,"=3")</x:f>
        <x:v>48</x:v>
      </x:c>
      <x:c r="R427" s="29">
        <x:f>WORKDAY(기본입력!$H$2,Q427-1,공휴일)</x:f>
        <x:v>45994</x:v>
      </x:c>
    </x:row>
    <x:row r="428" spans="1:18">
      <x:c r="A428" s="145" t="str">
        <x:f t="shared" si="40"/>
        <x:v>20251203</x:v>
      </x:c>
      <x:c r="B428" s="8" t="s">
        <x:v>5</x:v>
      </x:c>
      <x:c r="C428" s="8">
        <x:v>1740</x:v>
      </x:c>
      <x:c r="D428" s="7" t="s">
        <x:v>1</x:v>
      </x:c>
      <x:c r="E428" s="8" t="s">
        <x:v>87</x:v>
      </x:c>
      <x:c r="F428" s="8" t="s">
        <x:v>40</x:v>
      </x:c>
      <x:c r="G428" s="15" t="str">
        <x:f>IF(OR(N428="",N428&gt;기본입력!$C$34),"",VLOOKUP(O428,기본입력!$A$9:$F$33,5))</x:f>
        <x:v>양현수_53778</x:v>
      </x:c>
      <x:c r="H428" s="15" t="str">
        <x:f>IF(OR(N428="",N428&gt;기본입력!$C$34),"",기본입력!$C$6)</x:f>
        <x:v>1교육실(실습겸용강의실)_243089</x:v>
      </x:c>
      <x:c r="I428" s="15" t="str">
        <x:f>IF(OR(O428="",N428&gt;기본입력!$C$34),"",VLOOKUP(O428,기본입력!$A$9:$F$33,6,FALSE))</x:f>
        <x:v>인공지능 프로그래밍__2</x:v>
      </x:c>
      <x:c r="J428" s="38" t="str">
        <x:f t="shared" si="36"/>
        <x:v>인공지능 프로그래밍</x:v>
      </x:c>
      <x:c r="K428" s="38" t="str">
        <x:f t="shared" si="37"/>
        <x:v>1교육실(실습겸용강의실)</x:v>
      </x:c>
      <x:c r="L428" s="38" t="str">
        <x:f t="shared" si="38"/>
        <x:v>양현수</x:v>
      </x:c>
      <x:c r="M428" s="63"/>
      <x:c r="N428" s="30">
        <x:f>IF(F428="2","",COUNTIF($F$3:$F428,"=1"))</x:f>
        <x:v>379</x:v>
      </x:c>
      <x:c r="O428" s="30">
        <x:f t="shared" si="39"/>
        <x:v>5</x:v>
      </x:c>
      <x:c r="P428" s="30">
        <x:f t="shared" si="41"/>
        <x:v>5</x:v>
      </x:c>
      <x:c r="Q428" s="30">
        <x:f>COUNTIF($P$3:P428,"=3")</x:f>
        <x:v>48</x:v>
      </x:c>
      <x:c r="R428" s="29">
        <x:f>WORKDAY(기본입력!$H$2,Q428-1,공휴일)</x:f>
        <x:v>45994</x:v>
      </x:c>
    </x:row>
    <x:row r="429" spans="1:18">
      <x:c r="A429" s="145" t="str">
        <x:f t="shared" si="40"/>
        <x:v>20251203</x:v>
      </x:c>
      <x:c r="B429" s="8" t="s">
        <x:v>5</x:v>
      </x:c>
      <x:c r="C429" s="8">
        <x:v>1740</x:v>
      </x:c>
      <x:c r="D429" s="7" t="s">
        <x:v>1</x:v>
      </x:c>
      <x:c r="E429" s="8" t="s">
        <x:v>88</x:v>
      </x:c>
      <x:c r="F429" s="8" t="s">
        <x:v>40</x:v>
      </x:c>
      <x:c r="G429" s="15" t="str">
        <x:f>IF(OR(N429="",N429&gt;기본입력!$C$34),"",VLOOKUP(O429,기본입력!$A$9:$F$33,5))</x:f>
        <x:v>양현수_53778</x:v>
      </x:c>
      <x:c r="H429" s="15" t="str">
        <x:f>IF(OR(N429="",N429&gt;기본입력!$C$34),"",기본입력!$C$6)</x:f>
        <x:v>1교육실(실습겸용강의실)_243089</x:v>
      </x:c>
      <x:c r="I429" s="15" t="str">
        <x:f>IF(OR(O429="",N429&gt;기본입력!$C$34),"",VLOOKUP(O429,기본입력!$A$9:$F$33,6,FALSE))</x:f>
        <x:v>인공지능 프로그래밍__2</x:v>
      </x:c>
      <x:c r="J429" s="38" t="str">
        <x:f t="shared" si="36"/>
        <x:v>인공지능 프로그래밍</x:v>
      </x:c>
      <x:c r="K429" s="38" t="str">
        <x:f t="shared" si="37"/>
        <x:v>1교육실(실습겸용강의실)</x:v>
      </x:c>
      <x:c r="L429" s="38" t="str">
        <x:f t="shared" si="38"/>
        <x:v>양현수</x:v>
      </x:c>
      <x:c r="M429" s="63"/>
      <x:c r="N429" s="30">
        <x:f>IF(F429="2","",COUNTIF($F$3:$F429,"=1"))</x:f>
        <x:v>380</x:v>
      </x:c>
      <x:c r="O429" s="30">
        <x:f t="shared" si="39"/>
        <x:v>5</x:v>
      </x:c>
      <x:c r="P429" s="30">
        <x:f t="shared" si="41"/>
        <x:v>6</x:v>
      </x:c>
      <x:c r="Q429" s="30">
        <x:f>COUNTIF($P$3:P429,"=3")</x:f>
        <x:v>48</x:v>
      </x:c>
      <x:c r="R429" s="29">
        <x:f>WORKDAY(기본입력!$H$2,Q429-1,공휴일)</x:f>
        <x:v>45994</x:v>
      </x:c>
    </x:row>
    <x:row r="430" spans="1:18">
      <x:c r="A430" s="145" t="str">
        <x:f t="shared" si="40"/>
        <x:v>20251203</x:v>
      </x:c>
      <x:c r="B430" s="8" t="s">
        <x:v>5</x:v>
      </x:c>
      <x:c r="C430" s="8">
        <x:v>1740</x:v>
      </x:c>
      <x:c r="D430" s="7" t="s">
        <x:v>1</x:v>
      </x:c>
      <x:c r="E430" s="8" t="s">
        <x:v>0</x:v>
      </x:c>
      <x:c r="F430" s="8" t="s">
        <x:v>41</x:v>
      </x:c>
      <x:c r="G430" s="15" t="str">
        <x:f>IF(OR(N430="",N430&gt;기본입력!$C$34),"",VLOOKUP(O430,기본입력!$A$9:$F$33,5))</x:f>
        <x:v/>
      </x:c>
      <x:c r="H430" s="15" t="str">
        <x:f>IF(OR(N430="",N430&gt;기본입력!$C$34),"",기본입력!$C$6)</x:f>
        <x:v/>
      </x:c>
      <x:c r="I430" s="15" t="str">
        <x:f>IF(OR(O430="",N430&gt;기본입력!$C$34),"",VLOOKUP(O430,기본입력!$A$9:$F$33,6,FALSE))</x:f>
        <x:v/>
      </x:c>
      <x:c r="J430" s="38" t="str">
        <x:f t="shared" si="36"/>
        <x:v/>
      </x:c>
      <x:c r="K430" s="38" t="str">
        <x:f t="shared" si="37"/>
        <x:v/>
      </x:c>
      <x:c r="L430" s="38" t="str">
        <x:f t="shared" si="38"/>
        <x:v/>
      </x:c>
      <x:c r="M430" s="63"/>
      <x:c r="N430" s="30" t="str">
        <x:f>IF(F430="2","",COUNTIF($F$3:$F430,"=1"))</x:f>
        <x:v/>
      </x:c>
      <x:c r="O430" s="30" t="str">
        <x:f t="shared" si="39"/>
        <x:v/>
      </x:c>
      <x:c r="P430" s="30">
        <x:f t="shared" si="41"/>
        <x:v>7</x:v>
      </x:c>
      <x:c r="Q430" s="30">
        <x:f>COUNTIF($P$3:P430,"=3")</x:f>
        <x:v>48</x:v>
      </x:c>
      <x:c r="R430" s="29">
        <x:f>WORKDAY(기본입력!$H$2,Q430-1,공휴일)</x:f>
        <x:v>45994</x:v>
      </x:c>
    </x:row>
    <x:row r="431" spans="1:18">
      <x:c r="A431" s="145" t="str">
        <x:f t="shared" si="40"/>
        <x:v>20251203</x:v>
      </x:c>
      <x:c r="B431" s="8" t="s">
        <x:v>5</x:v>
      </x:c>
      <x:c r="C431" s="8">
        <x:v>1740</x:v>
      </x:c>
      <x:c r="D431" s="7" t="s">
        <x:v>1</x:v>
      </x:c>
      <x:c r="E431" s="8">
        <x:v>1340</x:v>
      </x:c>
      <x:c r="F431" s="8" t="s">
        <x:v>40</x:v>
      </x:c>
      <x:c r="G431" s="15" t="str">
        <x:f>IF(OR(N431="",N431&gt;기본입력!$C$34),"",VLOOKUP(O431,기본입력!$A$9:$F$33,5))</x:f>
        <x:v>양현수_53778</x:v>
      </x:c>
      <x:c r="H431" s="15" t="str">
        <x:f>IF(OR(N431="",N431&gt;기본입력!$C$34),"",기본입력!$C$6)</x:f>
        <x:v>1교육실(실습겸용강의실)_243089</x:v>
      </x:c>
      <x:c r="I431" s="15" t="str">
        <x:f>IF(OR(O431="",N431&gt;기본입력!$C$34),"",VLOOKUP(O431,기본입력!$A$9:$F$33,6,FALSE))</x:f>
        <x:v>인공지능 프로그래밍__2</x:v>
      </x:c>
      <x:c r="J431" s="38" t="str">
        <x:f t="shared" si="36"/>
        <x:v>인공지능 프로그래밍</x:v>
      </x:c>
      <x:c r="K431" s="38" t="str">
        <x:f t="shared" si="37"/>
        <x:v>1교육실(실습겸용강의실)</x:v>
      </x:c>
      <x:c r="L431" s="38" t="str">
        <x:f t="shared" si="38"/>
        <x:v>양현수</x:v>
      </x:c>
      <x:c r="M431" s="63"/>
      <x:c r="N431" s="30">
        <x:f>IF(F431="2","",COUNTIF($F$3:$F431,"=1"))</x:f>
        <x:v>381</x:v>
      </x:c>
      <x:c r="O431" s="30">
        <x:f t="shared" si="39"/>
        <x:v>5</x:v>
      </x:c>
      <x:c r="P431" s="30">
        <x:f t="shared" si="41"/>
        <x:v>8</x:v>
      </x:c>
      <x:c r="Q431" s="30">
        <x:f>COUNTIF($P$3:P431,"=3")</x:f>
        <x:v>48</x:v>
      </x:c>
      <x:c r="R431" s="29">
        <x:f>WORKDAY(기본입력!$H$2,Q431-1,공휴일)</x:f>
        <x:v>45994</x:v>
      </x:c>
    </x:row>
    <x:row r="432" spans="1:18">
      <x:c r="A432" s="145" t="str">
        <x:f t="shared" si="40"/>
        <x:v>20251203</x:v>
      </x:c>
      <x:c r="B432" s="8" t="s">
        <x:v>5</x:v>
      </x:c>
      <x:c r="C432" s="8">
        <x:v>1740</x:v>
      </x:c>
      <x:c r="D432" s="7" t="s">
        <x:v>1</x:v>
      </x:c>
      <x:c r="E432" s="8">
        <x:v>1440</x:v>
      </x:c>
      <x:c r="F432" s="8" t="s">
        <x:v>40</x:v>
      </x:c>
      <x:c r="G432" s="15" t="str">
        <x:f>IF(OR(N432="",N432&gt;기본입력!$C$34),"",VLOOKUP(O432,기본입력!$A$9:$F$33,5))</x:f>
        <x:v>양현수_53778</x:v>
      </x:c>
      <x:c r="H432" s="15" t="str">
        <x:f>IF(OR(N432="",N432&gt;기본입력!$C$34),"",기본입력!$C$6)</x:f>
        <x:v>1교육실(실습겸용강의실)_243089</x:v>
      </x:c>
      <x:c r="I432" s="15" t="str">
        <x:f>IF(OR(O432="",N432&gt;기본입력!$C$34),"",VLOOKUP(O432,기본입력!$A$9:$F$33,6,FALSE))</x:f>
        <x:v>인공지능 프로그래밍__2</x:v>
      </x:c>
      <x:c r="J432" s="38" t="str">
        <x:f t="shared" si="36"/>
        <x:v>인공지능 프로그래밍</x:v>
      </x:c>
      <x:c r="K432" s="38" t="str">
        <x:f t="shared" si="37"/>
        <x:v>1교육실(실습겸용강의실)</x:v>
      </x:c>
      <x:c r="L432" s="38" t="str">
        <x:f t="shared" si="38"/>
        <x:v>양현수</x:v>
      </x:c>
      <x:c r="M432" s="63"/>
      <x:c r="N432" s="30">
        <x:f>IF(F432="2","",COUNTIF($F$3:$F432,"=1"))</x:f>
        <x:v>382</x:v>
      </x:c>
      <x:c r="O432" s="30">
        <x:f t="shared" si="39"/>
        <x:v>5</x:v>
      </x:c>
      <x:c r="P432" s="30">
        <x:f t="shared" si="41"/>
        <x:v>0</x:v>
      </x:c>
      <x:c r="Q432" s="30">
        <x:f>COUNTIF($P$3:P432,"=3")</x:f>
        <x:v>48</x:v>
      </x:c>
      <x:c r="R432" s="29">
        <x:f>WORKDAY(기본입력!$H$2,Q432-1,공휴일)</x:f>
        <x:v>45994</x:v>
      </x:c>
    </x:row>
    <x:row r="433" spans="1:18">
      <x:c r="A433" s="145" t="str">
        <x:f t="shared" si="40"/>
        <x:v>20251203</x:v>
      </x:c>
      <x:c r="B433" s="8" t="s">
        <x:v>5</x:v>
      </x:c>
      <x:c r="C433" s="8">
        <x:v>1740</x:v>
      </x:c>
      <x:c r="D433" s="7" t="s">
        <x:v>1</x:v>
      </x:c>
      <x:c r="E433" s="8">
        <x:v>1540</x:v>
      </x:c>
      <x:c r="F433" s="8" t="s">
        <x:v>40</x:v>
      </x:c>
      <x:c r="G433" s="15" t="str">
        <x:f>IF(OR(N433="",N433&gt;기본입력!$C$34),"",VLOOKUP(O433,기본입력!$A$9:$F$33,5))</x:f>
        <x:v>양현수_53778</x:v>
      </x:c>
      <x:c r="H433" s="15" t="str">
        <x:f>IF(OR(N433="",N433&gt;기본입력!$C$34),"",기본입력!$C$6)</x:f>
        <x:v>1교육실(실습겸용강의실)_243089</x:v>
      </x:c>
      <x:c r="I433" s="15" t="str">
        <x:f>IF(OR(O433="",N433&gt;기본입력!$C$34),"",VLOOKUP(O433,기본입력!$A$9:$F$33,6,FALSE))</x:f>
        <x:v>인공지능 프로그래밍__2</x:v>
      </x:c>
      <x:c r="J433" s="38" t="str">
        <x:f t="shared" si="36"/>
        <x:v>인공지능 프로그래밍</x:v>
      </x:c>
      <x:c r="K433" s="38" t="str">
        <x:f t="shared" si="37"/>
        <x:v>1교육실(실습겸용강의실)</x:v>
      </x:c>
      <x:c r="L433" s="38" t="str">
        <x:f t="shared" si="38"/>
        <x:v>양현수</x:v>
      </x:c>
      <x:c r="M433" s="63"/>
      <x:c r="N433" s="30">
        <x:f>IF(F433="2","",COUNTIF($F$3:$F433,"=1"))</x:f>
        <x:v>383</x:v>
      </x:c>
      <x:c r="O433" s="30">
        <x:f t="shared" si="39"/>
        <x:v>5</x:v>
      </x:c>
      <x:c r="P433" s="30">
        <x:f t="shared" si="41"/>
        <x:v>1</x:v>
      </x:c>
      <x:c r="Q433" s="30">
        <x:f>COUNTIF($P$3:P433,"=3")</x:f>
        <x:v>48</x:v>
      </x:c>
      <x:c r="R433" s="29">
        <x:f>WORKDAY(기본입력!$H$2,Q433-1,공휴일)</x:f>
        <x:v>45994</x:v>
      </x:c>
    </x:row>
    <x:row r="434" spans="1:18">
      <x:c r="A434" s="145" t="str">
        <x:f t="shared" si="40"/>
        <x:v>20251203</x:v>
      </x:c>
      <x:c r="B434" s="8" t="s">
        <x:v>5</x:v>
      </x:c>
      <x:c r="C434" s="8">
        <x:v>1740</x:v>
      </x:c>
      <x:c r="D434" s="7" t="s">
        <x:v>1</x:v>
      </x:c>
      <x:c r="E434" s="8">
        <x:v>1640</x:v>
      </x:c>
      <x:c r="F434" s="8" t="s">
        <x:v>40</x:v>
      </x:c>
      <x:c r="G434" s="15" t="str">
        <x:f>IF(OR(N434="",N434&gt;기본입력!$C$34),"",VLOOKUP(O434,기본입력!$A$9:$F$33,5))</x:f>
        <x:v>양현수_53778</x:v>
      </x:c>
      <x:c r="H434" s="15" t="str">
        <x:f>IF(OR(N434="",N434&gt;기본입력!$C$34),"",기본입력!$C$6)</x:f>
        <x:v>1교육실(실습겸용강의실)_243089</x:v>
      </x:c>
      <x:c r="I434" s="15" t="str">
        <x:f>IF(OR(O434="",N434&gt;기본입력!$C$34),"",VLOOKUP(O434,기본입력!$A$9:$F$33,6,FALSE))</x:f>
        <x:v>인공지능 프로그래밍__2</x:v>
      </x:c>
      <x:c r="J434" s="38" t="str">
        <x:f t="shared" ref="J434:J497" si="42">IF(F434="2","",LEFT(I434,FIND("_",I434,2)-1))</x:f>
        <x:v>인공지능 프로그래밍</x:v>
      </x:c>
      <x:c r="K434" s="38" t="str">
        <x:f t="shared" ref="K434:K497" si="43">IF(F434="2","",LEFT(H434,FIND("_",H434,2)-1))</x:f>
        <x:v>1교육실(실습겸용강의실)</x:v>
      </x:c>
      <x:c r="L434" s="38" t="str">
        <x:f t="shared" ref="L434:L497" si="44">IF(F434="2","",LEFT(G434,FIND("_",G434,2)-1))</x:f>
        <x:v>양현수</x:v>
      </x:c>
      <x:c r="M434" s="63"/>
      <x:c r="N434" s="30">
        <x:f>IF(F434="2","",COUNTIF($F$3:$F434,"=1"))</x:f>
        <x:v>384</x:v>
      </x:c>
      <x:c r="O434" s="30">
        <x:f t="shared" si="39"/>
        <x:v>5</x:v>
      </x:c>
      <x:c r="P434" s="30">
        <x:f t="shared" si="41"/>
        <x:v>2</x:v>
      </x:c>
      <x:c r="Q434" s="30">
        <x:f>COUNTIF($P$3:P434,"=3")</x:f>
        <x:v>48</x:v>
      </x:c>
      <x:c r="R434" s="29">
        <x:f>WORKDAY(기본입력!$H$2,Q434-1,공휴일)</x:f>
        <x:v>45994</x:v>
      </x:c>
    </x:row>
    <x:row r="435" spans="1:18">
      <x:c r="A435" s="144" t="str">
        <x:f t="shared" si="40"/>
        <x:v>20251204</x:v>
      </x:c>
      <x:c r="B435" s="6" t="s">
        <x:v>5</x:v>
      </x:c>
      <x:c r="C435" s="6">
        <x:v>1740</x:v>
      </x:c>
      <x:c r="D435" s="5" t="s">
        <x:v>1</x:v>
      </x:c>
      <x:c r="E435" s="6" t="s">
        <x:v>5</x:v>
      </x:c>
      <x:c r="F435" s="6" t="s">
        <x:v>40</x:v>
      </x:c>
      <x:c r="G435" s="14" t="str">
        <x:f>IF(OR(N435="",N435&gt;기본입력!$C$34),"",VLOOKUP(O435,기본입력!$A$9:$F$33,5))</x:f>
        <x:v>양현수_53778</x:v>
      </x:c>
      <x:c r="H435" s="14" t="str">
        <x:f>IF(OR(N435="",N435&gt;기본입력!$C$34),"",기본입력!$C$6)</x:f>
        <x:v>1교육실(실습겸용강의실)_243089</x:v>
      </x:c>
      <x:c r="I435" s="14" t="str">
        <x:f>IF(OR(O435="",N435&gt;기본입력!$C$34),"",VLOOKUP(O435,기본입력!$A$9:$F$33,6,FALSE))</x:f>
        <x:v>인공지능 프로그래밍__2</x:v>
      </x:c>
      <x:c r="J435" s="38" t="str">
        <x:f t="shared" si="42"/>
        <x:v>인공지능 프로그래밍</x:v>
      </x:c>
      <x:c r="K435" s="38" t="str">
        <x:f t="shared" si="43"/>
        <x:v>1교육실(실습겸용강의실)</x:v>
      </x:c>
      <x:c r="L435" s="38" t="str">
        <x:f t="shared" si="44"/>
        <x:v>양현수</x:v>
      </x:c>
      <x:c r="M435" s="63"/>
      <x:c r="N435" s="30">
        <x:f>IF(F435="2","",COUNTIF($F$3:$F435,"=1"))</x:f>
        <x:v>385</x:v>
      </x:c>
      <x:c r="O435" s="30">
        <x:f t="shared" si="39"/>
        <x:v>5</x:v>
      </x:c>
      <x:c r="P435" s="30">
        <x:f t="shared" si="41"/>
        <x:v>3</x:v>
      </x:c>
      <x:c r="Q435" s="30">
        <x:f>COUNTIF($P$3:P435,"=3")</x:f>
        <x:v>49</x:v>
      </x:c>
      <x:c r="R435" s="29">
        <x:f>WORKDAY(기본입력!$H$2,Q435-1,공휴일)</x:f>
        <x:v>45995</x:v>
      </x:c>
    </x:row>
    <x:row r="436" spans="1:18">
      <x:c r="A436" s="144" t="str">
        <x:f t="shared" si="40"/>
        <x:v>20251204</x:v>
      </x:c>
      <x:c r="B436" s="6" t="s">
        <x:v>5</x:v>
      </x:c>
      <x:c r="C436" s="6">
        <x:v>1740</x:v>
      </x:c>
      <x:c r="D436" s="5" t="s">
        <x:v>1</x:v>
      </x:c>
      <x:c r="E436" s="6" t="s">
        <x:v>117</x:v>
      </x:c>
      <x:c r="F436" s="6" t="s">
        <x:v>40</x:v>
      </x:c>
      <x:c r="G436" s="14" t="str">
        <x:f>IF(OR(N436="",N436&gt;기본입력!$C$34),"",VLOOKUP(O436,기본입력!$A$9:$F$33,5))</x:f>
        <x:v>양현수_53778</x:v>
      </x:c>
      <x:c r="H436" s="14" t="str">
        <x:f>IF(OR(N436="",N436&gt;기본입력!$C$34),"",기본입력!$C$6)</x:f>
        <x:v>1교육실(실습겸용강의실)_243089</x:v>
      </x:c>
      <x:c r="I436" s="14" t="str">
        <x:f>IF(OR(O436="",N436&gt;기본입력!$C$34),"",VLOOKUP(O436,기본입력!$A$9:$F$33,6,FALSE))</x:f>
        <x:v>인공지능 프로그래밍__2</x:v>
      </x:c>
      <x:c r="J436" s="38" t="str">
        <x:f t="shared" si="42"/>
        <x:v>인공지능 프로그래밍</x:v>
      </x:c>
      <x:c r="K436" s="38" t="str">
        <x:f t="shared" si="43"/>
        <x:v>1교육실(실습겸용강의실)</x:v>
      </x:c>
      <x:c r="L436" s="38" t="str">
        <x:f t="shared" si="44"/>
        <x:v>양현수</x:v>
      </x:c>
      <x:c r="M436" s="63"/>
      <x:c r="N436" s="30">
        <x:f>IF(F436="2","",COUNTIF($F$3:$F436,"=1"))</x:f>
        <x:v>386</x:v>
      </x:c>
      <x:c r="O436" s="30">
        <x:f t="shared" si="39"/>
        <x:v>5</x:v>
      </x:c>
      <x:c r="P436" s="30">
        <x:f t="shared" si="41"/>
        <x:v>4</x:v>
      </x:c>
      <x:c r="Q436" s="30">
        <x:f>COUNTIF($P$3:P436,"=3")</x:f>
        <x:v>49</x:v>
      </x:c>
      <x:c r="R436" s="29">
        <x:f>WORKDAY(기본입력!$H$2,Q436-1,공휴일)</x:f>
        <x:v>45995</x:v>
      </x:c>
    </x:row>
    <x:row r="437" spans="1:18">
      <x:c r="A437" s="144" t="str">
        <x:f t="shared" si="40"/>
        <x:v>20251204</x:v>
      </x:c>
      <x:c r="B437" s="6" t="s">
        <x:v>5</x:v>
      </x:c>
      <x:c r="C437" s="6">
        <x:v>1740</x:v>
      </x:c>
      <x:c r="D437" s="5" t="s">
        <x:v>1</x:v>
      </x:c>
      <x:c r="E437" s="6" t="s">
        <x:v>87</x:v>
      </x:c>
      <x:c r="F437" s="6" t="s">
        <x:v>40</x:v>
      </x:c>
      <x:c r="G437" s="14" t="str">
        <x:f>IF(OR(N437="",N437&gt;기본입력!$C$34),"",VLOOKUP(O437,기본입력!$A$9:$F$33,5))</x:f>
        <x:v>양현수_53778</x:v>
      </x:c>
      <x:c r="H437" s="14" t="str">
        <x:f>IF(OR(N437="",N437&gt;기본입력!$C$34),"",기본입력!$C$6)</x:f>
        <x:v>1교육실(실습겸용강의실)_243089</x:v>
      </x:c>
      <x:c r="I437" s="14" t="str">
        <x:f>IF(OR(O437="",N437&gt;기본입력!$C$34),"",VLOOKUP(O437,기본입력!$A$9:$F$33,6,FALSE))</x:f>
        <x:v>인공지능 프로그래밍__2</x:v>
      </x:c>
      <x:c r="J437" s="38" t="str">
        <x:f t="shared" si="42"/>
        <x:v>인공지능 프로그래밍</x:v>
      </x:c>
      <x:c r="K437" s="38" t="str">
        <x:f t="shared" si="43"/>
        <x:v>1교육실(실습겸용강의실)</x:v>
      </x:c>
      <x:c r="L437" s="38" t="str">
        <x:f t="shared" si="44"/>
        <x:v>양현수</x:v>
      </x:c>
      <x:c r="M437" s="63"/>
      <x:c r="N437" s="30">
        <x:f>IF(F437="2","",COUNTIF($F$3:$F437,"=1"))</x:f>
        <x:v>387</x:v>
      </x:c>
      <x:c r="O437" s="30">
        <x:f t="shared" si="39"/>
        <x:v>5</x:v>
      </x:c>
      <x:c r="P437" s="30">
        <x:f t="shared" si="41"/>
        <x:v>5</x:v>
      </x:c>
      <x:c r="Q437" s="30">
        <x:f>COUNTIF($P$3:P437,"=3")</x:f>
        <x:v>49</x:v>
      </x:c>
      <x:c r="R437" s="29">
        <x:f>WORKDAY(기본입력!$H$2,Q437-1,공휴일)</x:f>
        <x:v>45995</x:v>
      </x:c>
    </x:row>
    <x:row r="438" spans="1:18">
      <x:c r="A438" s="144" t="str">
        <x:f t="shared" si="40"/>
        <x:v>20251204</x:v>
      </x:c>
      <x:c r="B438" s="6" t="s">
        <x:v>5</x:v>
      </x:c>
      <x:c r="C438" s="6">
        <x:v>1740</x:v>
      </x:c>
      <x:c r="D438" s="5" t="s">
        <x:v>1</x:v>
      </x:c>
      <x:c r="E438" s="6" t="s">
        <x:v>88</x:v>
      </x:c>
      <x:c r="F438" s="6" t="s">
        <x:v>40</x:v>
      </x:c>
      <x:c r="G438" s="14" t="str">
        <x:f>IF(OR(N438="",N438&gt;기본입력!$C$34),"",VLOOKUP(O438,기본입력!$A$9:$F$33,5))</x:f>
        <x:v>양현수_53778</x:v>
      </x:c>
      <x:c r="H438" s="14" t="str">
        <x:f>IF(OR(N438="",N438&gt;기본입력!$C$34),"",기본입력!$C$6)</x:f>
        <x:v>1교육실(실습겸용강의실)_243089</x:v>
      </x:c>
      <x:c r="I438" s="14" t="str">
        <x:f>IF(OR(O438="",N438&gt;기본입력!$C$34),"",VLOOKUP(O438,기본입력!$A$9:$F$33,6,FALSE))</x:f>
        <x:v>인공지능 프로그래밍__2</x:v>
      </x:c>
      <x:c r="J438" s="38" t="str">
        <x:f t="shared" si="42"/>
        <x:v>인공지능 프로그래밍</x:v>
      </x:c>
      <x:c r="K438" s="38" t="str">
        <x:f t="shared" si="43"/>
        <x:v>1교육실(실습겸용강의실)</x:v>
      </x:c>
      <x:c r="L438" s="38" t="str">
        <x:f t="shared" si="44"/>
        <x:v>양현수</x:v>
      </x:c>
      <x:c r="M438" s="63"/>
      <x:c r="N438" s="30">
        <x:f>IF(F438="2","",COUNTIF($F$3:$F438,"=1"))</x:f>
        <x:v>388</x:v>
      </x:c>
      <x:c r="O438" s="30">
        <x:f t="shared" si="39"/>
        <x:v>5</x:v>
      </x:c>
      <x:c r="P438" s="30">
        <x:f t="shared" si="41"/>
        <x:v>6</x:v>
      </x:c>
      <x:c r="Q438" s="30">
        <x:f>COUNTIF($P$3:P438,"=3")</x:f>
        <x:v>49</x:v>
      </x:c>
      <x:c r="R438" s="29">
        <x:f>WORKDAY(기본입력!$H$2,Q438-1,공휴일)</x:f>
        <x:v>45995</x:v>
      </x:c>
    </x:row>
    <x:row r="439" spans="1:18">
      <x:c r="A439" s="144" t="str">
        <x:f t="shared" si="40"/>
        <x:v>20251204</x:v>
      </x:c>
      <x:c r="B439" s="6" t="s">
        <x:v>5</x:v>
      </x:c>
      <x:c r="C439" s="6">
        <x:v>1740</x:v>
      </x:c>
      <x:c r="D439" s="5" t="s">
        <x:v>1</x:v>
      </x:c>
      <x:c r="E439" s="6" t="s">
        <x:v>0</x:v>
      </x:c>
      <x:c r="F439" s="6" t="s">
        <x:v>41</x:v>
      </x:c>
      <x:c r="G439" s="14" t="str">
        <x:f>IF(OR(N439="",N439&gt;기본입력!$C$34),"",VLOOKUP(O439,기본입력!$A$9:$F$33,5))</x:f>
        <x:v/>
      </x:c>
      <x:c r="H439" s="14" t="str">
        <x:f>IF(OR(N439="",N439&gt;기본입력!$C$34),"",기본입력!$C$6)</x:f>
        <x:v/>
      </x:c>
      <x:c r="I439" s="14" t="str">
        <x:f>IF(OR(O439="",N439&gt;기본입력!$C$34),"",VLOOKUP(O439,기본입력!$A$9:$F$33,6,FALSE))</x:f>
        <x:v/>
      </x:c>
      <x:c r="J439" s="38" t="str">
        <x:f t="shared" si="42"/>
        <x:v/>
      </x:c>
      <x:c r="K439" s="38" t="str">
        <x:f t="shared" si="43"/>
        <x:v/>
      </x:c>
      <x:c r="L439" s="38" t="str">
        <x:f t="shared" si="44"/>
        <x:v/>
      </x:c>
      <x:c r="M439" s="63"/>
      <x:c r="N439" s="30" t="str">
        <x:f>IF(F439="2","",COUNTIF($F$3:$F439,"=1"))</x:f>
        <x:v/>
      </x:c>
      <x:c r="O439" s="30" t="str">
        <x:f t="shared" si="39"/>
        <x:v/>
      </x:c>
      <x:c r="P439" s="30">
        <x:f t="shared" si="41"/>
        <x:v>7</x:v>
      </x:c>
      <x:c r="Q439" s="30">
        <x:f>COUNTIF($P$3:P439,"=3")</x:f>
        <x:v>49</x:v>
      </x:c>
      <x:c r="R439" s="29">
        <x:f>WORKDAY(기본입력!$H$2,Q439-1,공휴일)</x:f>
        <x:v>45995</x:v>
      </x:c>
    </x:row>
    <x:row r="440" spans="1:18">
      <x:c r="A440" s="144" t="str">
        <x:f t="shared" si="40"/>
        <x:v>20251204</x:v>
      </x:c>
      <x:c r="B440" s="6" t="s">
        <x:v>5</x:v>
      </x:c>
      <x:c r="C440" s="6">
        <x:v>1740</x:v>
      </x:c>
      <x:c r="D440" s="5" t="s">
        <x:v>1</x:v>
      </x:c>
      <x:c r="E440" s="6">
        <x:v>1340</x:v>
      </x:c>
      <x:c r="F440" s="6" t="s">
        <x:v>40</x:v>
      </x:c>
      <x:c r="G440" s="14" t="str">
        <x:f>IF(OR(N440="",N440&gt;기본입력!$C$34),"",VLOOKUP(O440,기본입력!$A$9:$F$33,5))</x:f>
        <x:v>양현수_53778</x:v>
      </x:c>
      <x:c r="H440" s="14" t="str">
        <x:f>IF(OR(N440="",N440&gt;기본입력!$C$34),"",기본입력!$C$6)</x:f>
        <x:v>1교육실(실습겸용강의실)_243089</x:v>
      </x:c>
      <x:c r="I440" s="14" t="str">
        <x:f>IF(OR(O440="",N440&gt;기본입력!$C$34),"",VLOOKUP(O440,기본입력!$A$9:$F$33,6,FALSE))</x:f>
        <x:v>인공지능 프로그래밍__2</x:v>
      </x:c>
      <x:c r="J440" s="38" t="str">
        <x:f t="shared" si="42"/>
        <x:v>인공지능 프로그래밍</x:v>
      </x:c>
      <x:c r="K440" s="38" t="str">
        <x:f t="shared" si="43"/>
        <x:v>1교육실(실습겸용강의실)</x:v>
      </x:c>
      <x:c r="L440" s="38" t="str">
        <x:f t="shared" si="44"/>
        <x:v>양현수</x:v>
      </x:c>
      <x:c r="M440" s="63"/>
      <x:c r="N440" s="30">
        <x:f>IF(F440="2","",COUNTIF($F$3:$F440,"=1"))</x:f>
        <x:v>389</x:v>
      </x:c>
      <x:c r="O440" s="30">
        <x:f t="shared" si="39"/>
        <x:v>5</x:v>
      </x:c>
      <x:c r="P440" s="30">
        <x:f t="shared" si="41"/>
        <x:v>8</x:v>
      </x:c>
      <x:c r="Q440" s="30">
        <x:f>COUNTIF($P$3:P440,"=3")</x:f>
        <x:v>49</x:v>
      </x:c>
      <x:c r="R440" s="29">
        <x:f>WORKDAY(기본입력!$H$2,Q440-1,공휴일)</x:f>
        <x:v>45995</x:v>
      </x:c>
    </x:row>
    <x:row r="441" spans="1:18">
      <x:c r="A441" s="144" t="str">
        <x:f t="shared" si="40"/>
        <x:v>20251204</x:v>
      </x:c>
      <x:c r="B441" s="6" t="s">
        <x:v>5</x:v>
      </x:c>
      <x:c r="C441" s="6">
        <x:v>1740</x:v>
      </x:c>
      <x:c r="D441" s="5" t="s">
        <x:v>1</x:v>
      </x:c>
      <x:c r="E441" s="6">
        <x:v>1440</x:v>
      </x:c>
      <x:c r="F441" s="6" t="s">
        <x:v>40</x:v>
      </x:c>
      <x:c r="G441" s="14" t="str">
        <x:f>IF(OR(N441="",N441&gt;기본입력!$C$34),"",VLOOKUP(O441,기본입력!$A$9:$F$33,5))</x:f>
        <x:v>양현수_53778</x:v>
      </x:c>
      <x:c r="H441" s="14" t="str">
        <x:f>IF(OR(N441="",N441&gt;기본입력!$C$34),"",기본입력!$C$6)</x:f>
        <x:v>1교육실(실습겸용강의실)_243089</x:v>
      </x:c>
      <x:c r="I441" s="14" t="str">
        <x:f>IF(OR(O441="",N441&gt;기본입력!$C$34),"",VLOOKUP(O441,기본입력!$A$9:$F$33,6,FALSE))</x:f>
        <x:v>인공지능 프로그래밍__2</x:v>
      </x:c>
      <x:c r="J441" s="38" t="str">
        <x:f t="shared" si="42"/>
        <x:v>인공지능 프로그래밍</x:v>
      </x:c>
      <x:c r="K441" s="38" t="str">
        <x:f t="shared" si="43"/>
        <x:v>1교육실(실습겸용강의실)</x:v>
      </x:c>
      <x:c r="L441" s="38" t="str">
        <x:f t="shared" si="44"/>
        <x:v>양현수</x:v>
      </x:c>
      <x:c r="M441" s="63"/>
      <x:c r="N441" s="30">
        <x:f>IF(F441="2","",COUNTIF($F$3:$F441,"=1"))</x:f>
        <x:v>390</x:v>
      </x:c>
      <x:c r="O441" s="30">
        <x:f t="shared" si="39"/>
        <x:v>5</x:v>
      </x:c>
      <x:c r="P441" s="30">
        <x:f t="shared" si="41"/>
        <x:v>0</x:v>
      </x:c>
      <x:c r="Q441" s="30">
        <x:f>COUNTIF($P$3:P441,"=3")</x:f>
        <x:v>49</x:v>
      </x:c>
      <x:c r="R441" s="29">
        <x:f>WORKDAY(기본입력!$H$2,Q441-1,공휴일)</x:f>
        <x:v>45995</x:v>
      </x:c>
    </x:row>
    <x:row r="442" spans="1:18">
      <x:c r="A442" s="144" t="str">
        <x:f t="shared" si="40"/>
        <x:v>20251204</x:v>
      </x:c>
      <x:c r="B442" s="6" t="s">
        <x:v>5</x:v>
      </x:c>
      <x:c r="C442" s="6">
        <x:v>1740</x:v>
      </x:c>
      <x:c r="D442" s="5" t="s">
        <x:v>1</x:v>
      </x:c>
      <x:c r="E442" s="6">
        <x:v>1540</x:v>
      </x:c>
      <x:c r="F442" s="6" t="s">
        <x:v>40</x:v>
      </x:c>
      <x:c r="G442" s="14" t="str">
        <x:f>IF(OR(N442="",N442&gt;기본입력!$C$34),"",VLOOKUP(O442,기본입력!$A$9:$F$33,5))</x:f>
        <x:v>양현수_53778</x:v>
      </x:c>
      <x:c r="H442" s="14" t="str">
        <x:f>IF(OR(N442="",N442&gt;기본입력!$C$34),"",기본입력!$C$6)</x:f>
        <x:v>1교육실(실습겸용강의실)_243089</x:v>
      </x:c>
      <x:c r="I442" s="14" t="str">
        <x:f>IF(OR(O442="",N442&gt;기본입력!$C$34),"",VLOOKUP(O442,기본입력!$A$9:$F$33,6,FALSE))</x:f>
        <x:v>인공지능 프로그래밍__2</x:v>
      </x:c>
      <x:c r="J442" s="38" t="str">
        <x:f t="shared" si="42"/>
        <x:v>인공지능 프로그래밍</x:v>
      </x:c>
      <x:c r="K442" s="38" t="str">
        <x:f t="shared" si="43"/>
        <x:v>1교육실(실습겸용강의실)</x:v>
      </x:c>
      <x:c r="L442" s="38" t="str">
        <x:f t="shared" si="44"/>
        <x:v>양현수</x:v>
      </x:c>
      <x:c r="M442" s="63"/>
      <x:c r="N442" s="30">
        <x:f>IF(F442="2","",COUNTIF($F$3:$F442,"=1"))</x:f>
        <x:v>391</x:v>
      </x:c>
      <x:c r="O442" s="30">
        <x:f t="shared" si="39"/>
        <x:v>5</x:v>
      </x:c>
      <x:c r="P442" s="30">
        <x:f t="shared" si="41"/>
        <x:v>1</x:v>
      </x:c>
      <x:c r="Q442" s="30">
        <x:f>COUNTIF($P$3:P442,"=3")</x:f>
        <x:v>49</x:v>
      </x:c>
      <x:c r="R442" s="29">
        <x:f>WORKDAY(기본입력!$H$2,Q442-1,공휴일)</x:f>
        <x:v>45995</x:v>
      </x:c>
    </x:row>
    <x:row r="443" spans="1:18">
      <x:c r="A443" s="144" t="str">
        <x:f t="shared" si="40"/>
        <x:v>20251204</x:v>
      </x:c>
      <x:c r="B443" s="6" t="s">
        <x:v>5</x:v>
      </x:c>
      <x:c r="C443" s="6">
        <x:v>1740</x:v>
      </x:c>
      <x:c r="D443" s="5" t="s">
        <x:v>1</x:v>
      </x:c>
      <x:c r="E443" s="6">
        <x:v>1640</x:v>
      </x:c>
      <x:c r="F443" s="6" t="s">
        <x:v>40</x:v>
      </x:c>
      <x:c r="G443" s="14" t="str">
        <x:f>IF(OR(N443="",N443&gt;기본입력!$C$34),"",VLOOKUP(O443,기본입력!$A$9:$F$33,5))</x:f>
        <x:v>양현수_53778</x:v>
      </x:c>
      <x:c r="H443" s="14" t="str">
        <x:f>IF(OR(N443="",N443&gt;기본입력!$C$34),"",기본입력!$C$6)</x:f>
        <x:v>1교육실(실습겸용강의실)_243089</x:v>
      </x:c>
      <x:c r="I443" s="14" t="str">
        <x:f>IF(OR(O443="",N443&gt;기본입력!$C$34),"",VLOOKUP(O443,기본입력!$A$9:$F$33,6,FALSE))</x:f>
        <x:v>인공지능 프로그래밍__2</x:v>
      </x:c>
      <x:c r="J443" s="38" t="str">
        <x:f t="shared" si="42"/>
        <x:v>인공지능 프로그래밍</x:v>
      </x:c>
      <x:c r="K443" s="38" t="str">
        <x:f t="shared" si="43"/>
        <x:v>1교육실(실습겸용강의실)</x:v>
      </x:c>
      <x:c r="L443" s="38" t="str">
        <x:f t="shared" si="44"/>
        <x:v>양현수</x:v>
      </x:c>
      <x:c r="M443" s="63"/>
      <x:c r="N443" s="30">
        <x:f>IF(F443="2","",COUNTIF($F$3:$F443,"=1"))</x:f>
        <x:v>392</x:v>
      </x:c>
      <x:c r="O443" s="30">
        <x:f t="shared" si="39"/>
        <x:v>5</x:v>
      </x:c>
      <x:c r="P443" s="30">
        <x:f t="shared" si="41"/>
        <x:v>2</x:v>
      </x:c>
      <x:c r="Q443" s="30">
        <x:f>COUNTIF($P$3:P443,"=3")</x:f>
        <x:v>49</x:v>
      </x:c>
      <x:c r="R443" s="29">
        <x:f>WORKDAY(기본입력!$H$2,Q443-1,공휴일)</x:f>
        <x:v>45995</x:v>
      </x:c>
    </x:row>
    <x:row r="444" spans="1:18">
      <x:c r="A444" s="145" t="str">
        <x:f t="shared" si="40"/>
        <x:v>20251205</x:v>
      </x:c>
      <x:c r="B444" s="8" t="s">
        <x:v>5</x:v>
      </x:c>
      <x:c r="C444" s="8">
        <x:v>1740</x:v>
      </x:c>
      <x:c r="D444" s="7" t="s">
        <x:v>1</x:v>
      </x:c>
      <x:c r="E444" s="8" t="s">
        <x:v>5</x:v>
      </x:c>
      <x:c r="F444" s="8" t="s">
        <x:v>40</x:v>
      </x:c>
      <x:c r="G444" s="15" t="str">
        <x:f>IF(OR(N444="",N444&gt;기본입력!$C$34),"",VLOOKUP(O444,기본입력!$A$9:$F$33,5))</x:f>
        <x:v>양현수_53778</x:v>
      </x:c>
      <x:c r="H444" s="15" t="str">
        <x:f>IF(OR(N444="",N444&gt;기본입력!$C$34),"",기본입력!$C$6)</x:f>
        <x:v>1교육실(실습겸용강의실)_243089</x:v>
      </x:c>
      <x:c r="I444" s="15" t="str">
        <x:f>IF(OR(O444="",N444&gt;기본입력!$C$34),"",VLOOKUP(O444,기본입력!$A$9:$F$33,6,FALSE))</x:f>
        <x:v>인공지능 프로그래밍__2</x:v>
      </x:c>
      <x:c r="J444" s="38" t="str">
        <x:f t="shared" si="42"/>
        <x:v>인공지능 프로그래밍</x:v>
      </x:c>
      <x:c r="K444" s="38" t="str">
        <x:f t="shared" si="43"/>
        <x:v>1교육실(실습겸용강의실)</x:v>
      </x:c>
      <x:c r="L444" s="38" t="str">
        <x:f t="shared" si="44"/>
        <x:v>양현수</x:v>
      </x:c>
      <x:c r="M444" s="63"/>
      <x:c r="N444" s="30">
        <x:f>IF(F444="2","",COUNTIF($F$3:$F444,"=1"))</x:f>
        <x:v>393</x:v>
      </x:c>
      <x:c r="O444" s="30">
        <x:f t="shared" si="39"/>
        <x:v>5</x:v>
      </x:c>
      <x:c r="P444" s="30">
        <x:f t="shared" si="41"/>
        <x:v>3</x:v>
      </x:c>
      <x:c r="Q444" s="30">
        <x:f>COUNTIF($P$3:P444,"=3")</x:f>
        <x:v>50</x:v>
      </x:c>
      <x:c r="R444" s="29">
        <x:f>WORKDAY(기본입력!$H$2,Q444-1,공휴일)</x:f>
        <x:v>45996</x:v>
      </x:c>
    </x:row>
    <x:row r="445" spans="1:18">
      <x:c r="A445" s="145" t="str">
        <x:f t="shared" si="40"/>
        <x:v>20251205</x:v>
      </x:c>
      <x:c r="B445" s="8" t="s">
        <x:v>5</x:v>
      </x:c>
      <x:c r="C445" s="8">
        <x:v>1740</x:v>
      </x:c>
      <x:c r="D445" s="7" t="s">
        <x:v>1</x:v>
      </x:c>
      <x:c r="E445" s="8" t="s">
        <x:v>117</x:v>
      </x:c>
      <x:c r="F445" s="8" t="s">
        <x:v>40</x:v>
      </x:c>
      <x:c r="G445" s="15" t="str">
        <x:f>IF(OR(N445="",N445&gt;기본입력!$C$34),"",VLOOKUP(O445,기본입력!$A$9:$F$33,5))</x:f>
        <x:v>양현수_53778</x:v>
      </x:c>
      <x:c r="H445" s="15" t="str">
        <x:f>IF(OR(N445="",N445&gt;기본입력!$C$34),"",기본입력!$C$6)</x:f>
        <x:v>1교육실(실습겸용강의실)_243089</x:v>
      </x:c>
      <x:c r="I445" s="15" t="str">
        <x:f>IF(OR(O445="",N445&gt;기본입력!$C$34),"",VLOOKUP(O445,기본입력!$A$9:$F$33,6,FALSE))</x:f>
        <x:v>인공지능 프로그래밍__2</x:v>
      </x:c>
      <x:c r="J445" s="38" t="str">
        <x:f t="shared" si="42"/>
        <x:v>인공지능 프로그래밍</x:v>
      </x:c>
      <x:c r="K445" s="38" t="str">
        <x:f t="shared" si="43"/>
        <x:v>1교육실(실습겸용강의실)</x:v>
      </x:c>
      <x:c r="L445" s="38" t="str">
        <x:f t="shared" si="44"/>
        <x:v>양현수</x:v>
      </x:c>
      <x:c r="M445" s="63"/>
      <x:c r="N445" s="30">
        <x:f>IF(F445="2","",COUNTIF($F$3:$F445,"=1"))</x:f>
        <x:v>394</x:v>
      </x:c>
      <x:c r="O445" s="30">
        <x:f t="shared" si="39"/>
        <x:v>5</x:v>
      </x:c>
      <x:c r="P445" s="30">
        <x:f t="shared" si="41"/>
        <x:v>4</x:v>
      </x:c>
      <x:c r="Q445" s="30">
        <x:f>COUNTIF($P$3:P445,"=3")</x:f>
        <x:v>50</x:v>
      </x:c>
      <x:c r="R445" s="29">
        <x:f>WORKDAY(기본입력!$H$2,Q445-1,공휴일)</x:f>
        <x:v>45996</x:v>
      </x:c>
    </x:row>
    <x:row r="446" spans="1:18">
      <x:c r="A446" s="145" t="str">
        <x:f t="shared" si="40"/>
        <x:v>20251205</x:v>
      </x:c>
      <x:c r="B446" s="8" t="s">
        <x:v>5</x:v>
      </x:c>
      <x:c r="C446" s="8">
        <x:v>1740</x:v>
      </x:c>
      <x:c r="D446" s="7" t="s">
        <x:v>1</x:v>
      </x:c>
      <x:c r="E446" s="8" t="s">
        <x:v>87</x:v>
      </x:c>
      <x:c r="F446" s="8" t="s">
        <x:v>40</x:v>
      </x:c>
      <x:c r="G446" s="15" t="str">
        <x:f>IF(OR(N446="",N446&gt;기본입력!$C$34),"",VLOOKUP(O446,기본입력!$A$9:$F$33,5))</x:f>
        <x:v>양현수_53778</x:v>
      </x:c>
      <x:c r="H446" s="15" t="str">
        <x:f>IF(OR(N446="",N446&gt;기본입력!$C$34),"",기본입력!$C$6)</x:f>
        <x:v>1교육실(실습겸용강의실)_243089</x:v>
      </x:c>
      <x:c r="I446" s="15" t="str">
        <x:f>IF(OR(O446="",N446&gt;기본입력!$C$34),"",VLOOKUP(O446,기본입력!$A$9:$F$33,6,FALSE))</x:f>
        <x:v>인공지능 프로그래밍__2</x:v>
      </x:c>
      <x:c r="J446" s="38" t="str">
        <x:f t="shared" si="42"/>
        <x:v>인공지능 프로그래밍</x:v>
      </x:c>
      <x:c r="K446" s="38" t="str">
        <x:f t="shared" si="43"/>
        <x:v>1교육실(실습겸용강의실)</x:v>
      </x:c>
      <x:c r="L446" s="38" t="str">
        <x:f t="shared" si="44"/>
        <x:v>양현수</x:v>
      </x:c>
      <x:c r="M446" s="63"/>
      <x:c r="N446" s="30">
        <x:f>IF(F446="2","",COUNTIF($F$3:$F446,"=1"))</x:f>
        <x:v>395</x:v>
      </x:c>
      <x:c r="O446" s="30">
        <x:f t="shared" si="39"/>
        <x:v>5</x:v>
      </x:c>
      <x:c r="P446" s="30">
        <x:f t="shared" si="41"/>
        <x:v>5</x:v>
      </x:c>
      <x:c r="Q446" s="30">
        <x:f>COUNTIF($P$3:P446,"=3")</x:f>
        <x:v>50</x:v>
      </x:c>
      <x:c r="R446" s="29">
        <x:f>WORKDAY(기본입력!$H$2,Q446-1,공휴일)</x:f>
        <x:v>45996</x:v>
      </x:c>
    </x:row>
    <x:row r="447" spans="1:18">
      <x:c r="A447" s="145" t="str">
        <x:f t="shared" si="40"/>
        <x:v>20251205</x:v>
      </x:c>
      <x:c r="B447" s="8" t="s">
        <x:v>5</x:v>
      </x:c>
      <x:c r="C447" s="8">
        <x:v>1740</x:v>
      </x:c>
      <x:c r="D447" s="7" t="s">
        <x:v>1</x:v>
      </x:c>
      <x:c r="E447" s="8" t="s">
        <x:v>88</x:v>
      </x:c>
      <x:c r="F447" s="8" t="s">
        <x:v>40</x:v>
      </x:c>
      <x:c r="G447" s="15" t="str">
        <x:f>IF(OR(N447="",N447&gt;기본입력!$C$34),"",VLOOKUP(O447,기본입력!$A$9:$F$33,5))</x:f>
        <x:v>양현수_53778</x:v>
      </x:c>
      <x:c r="H447" s="15" t="str">
        <x:f>IF(OR(N447="",N447&gt;기본입력!$C$34),"",기본입력!$C$6)</x:f>
        <x:v>1교육실(실습겸용강의실)_243089</x:v>
      </x:c>
      <x:c r="I447" s="15" t="str">
        <x:f>IF(OR(O447="",N447&gt;기본입력!$C$34),"",VLOOKUP(O447,기본입력!$A$9:$F$33,6,FALSE))</x:f>
        <x:v>인공지능 프로그래밍__2</x:v>
      </x:c>
      <x:c r="J447" s="38" t="str">
        <x:f t="shared" si="42"/>
        <x:v>인공지능 프로그래밍</x:v>
      </x:c>
      <x:c r="K447" s="38" t="str">
        <x:f t="shared" si="43"/>
        <x:v>1교육실(실습겸용강의실)</x:v>
      </x:c>
      <x:c r="L447" s="38" t="str">
        <x:f t="shared" si="44"/>
        <x:v>양현수</x:v>
      </x:c>
      <x:c r="M447" s="63"/>
      <x:c r="N447" s="30">
        <x:f>IF(F447="2","",COUNTIF($F$3:$F447,"=1"))</x:f>
        <x:v>396</x:v>
      </x:c>
      <x:c r="O447" s="30">
        <x:f t="shared" si="39"/>
        <x:v>5</x:v>
      </x:c>
      <x:c r="P447" s="30">
        <x:f t="shared" si="41"/>
        <x:v>6</x:v>
      </x:c>
      <x:c r="Q447" s="30">
        <x:f>COUNTIF($P$3:P447,"=3")</x:f>
        <x:v>50</x:v>
      </x:c>
      <x:c r="R447" s="29">
        <x:f>WORKDAY(기본입력!$H$2,Q447-1,공휴일)</x:f>
        <x:v>45996</x:v>
      </x:c>
    </x:row>
    <x:row r="448" spans="1:18">
      <x:c r="A448" s="145" t="str">
        <x:f t="shared" si="40"/>
        <x:v>20251205</x:v>
      </x:c>
      <x:c r="B448" s="8" t="s">
        <x:v>5</x:v>
      </x:c>
      <x:c r="C448" s="8">
        <x:v>1740</x:v>
      </x:c>
      <x:c r="D448" s="7" t="s">
        <x:v>1</x:v>
      </x:c>
      <x:c r="E448" s="8" t="s">
        <x:v>0</x:v>
      </x:c>
      <x:c r="F448" s="8" t="s">
        <x:v>41</x:v>
      </x:c>
      <x:c r="G448" s="15" t="str">
        <x:f>IF(OR(N448="",N448&gt;기본입력!$C$34),"",VLOOKUP(O448,기본입력!$A$9:$F$33,5))</x:f>
        <x:v/>
      </x:c>
      <x:c r="H448" s="15" t="str">
        <x:f>IF(OR(N448="",N448&gt;기본입력!$C$34),"",기본입력!$C$6)</x:f>
        <x:v/>
      </x:c>
      <x:c r="I448" s="15" t="str">
        <x:f>IF(OR(O448="",N448&gt;기본입력!$C$34),"",VLOOKUP(O448,기본입력!$A$9:$F$33,6,FALSE))</x:f>
        <x:v/>
      </x:c>
      <x:c r="J448" s="38" t="str">
        <x:f t="shared" si="42"/>
        <x:v/>
      </x:c>
      <x:c r="K448" s="38" t="str">
        <x:f t="shared" si="43"/>
        <x:v/>
      </x:c>
      <x:c r="L448" s="38" t="str">
        <x:f t="shared" si="44"/>
        <x:v/>
      </x:c>
      <x:c r="M448" s="63"/>
      <x:c r="N448" s="30" t="str">
        <x:f>IF(F448="2","",COUNTIF($F$3:$F448,"=1"))</x:f>
        <x:v/>
      </x:c>
      <x:c r="O448" s="30" t="str">
        <x:f t="shared" si="39"/>
        <x:v/>
      </x:c>
      <x:c r="P448" s="30">
        <x:f t="shared" si="41"/>
        <x:v>7</x:v>
      </x:c>
      <x:c r="Q448" s="30">
        <x:f>COUNTIF($P$3:P448,"=3")</x:f>
        <x:v>50</x:v>
      </x:c>
      <x:c r="R448" s="29">
        <x:f>WORKDAY(기본입력!$H$2,Q448-1,공휴일)</x:f>
        <x:v>45996</x:v>
      </x:c>
    </x:row>
    <x:row r="449" spans="1:18">
      <x:c r="A449" s="145" t="str">
        <x:f t="shared" si="40"/>
        <x:v>20251205</x:v>
      </x:c>
      <x:c r="B449" s="8" t="s">
        <x:v>5</x:v>
      </x:c>
      <x:c r="C449" s="8">
        <x:v>1740</x:v>
      </x:c>
      <x:c r="D449" s="7" t="s">
        <x:v>1</x:v>
      </x:c>
      <x:c r="E449" s="8">
        <x:v>1340</x:v>
      </x:c>
      <x:c r="F449" s="8" t="s">
        <x:v>40</x:v>
      </x:c>
      <x:c r="G449" s="15" t="str">
        <x:f>IF(OR(N449="",N449&gt;기본입력!$C$34),"",VLOOKUP(O449,기본입력!$A$9:$F$33,5))</x:f>
        <x:v>양현수_53778</x:v>
      </x:c>
      <x:c r="H449" s="15" t="str">
        <x:f>IF(OR(N449="",N449&gt;기본입력!$C$34),"",기본입력!$C$6)</x:f>
        <x:v>1교육실(실습겸용강의실)_243089</x:v>
      </x:c>
      <x:c r="I449" s="15" t="str">
        <x:f>IF(OR(O449="",N449&gt;기본입력!$C$34),"",VLOOKUP(O449,기본입력!$A$9:$F$33,6,FALSE))</x:f>
        <x:v>인공지능 프로그래밍__2</x:v>
      </x:c>
      <x:c r="J449" s="38" t="str">
        <x:f t="shared" si="42"/>
        <x:v>인공지능 프로그래밍</x:v>
      </x:c>
      <x:c r="K449" s="38" t="str">
        <x:f t="shared" si="43"/>
        <x:v>1교육실(실습겸용강의실)</x:v>
      </x:c>
      <x:c r="L449" s="38" t="str">
        <x:f t="shared" si="44"/>
        <x:v>양현수</x:v>
      </x:c>
      <x:c r="M449" s="63"/>
      <x:c r="N449" s="30">
        <x:f>IF(F449="2","",COUNTIF($F$3:$F449,"=1"))</x:f>
        <x:v>397</x:v>
      </x:c>
      <x:c r="O449" s="30">
        <x:f t="shared" si="39"/>
        <x:v>5</x:v>
      </x:c>
      <x:c r="P449" s="30">
        <x:f t="shared" si="41"/>
        <x:v>8</x:v>
      </x:c>
      <x:c r="Q449" s="30">
        <x:f>COUNTIF($P$3:P449,"=3")</x:f>
        <x:v>50</x:v>
      </x:c>
      <x:c r="R449" s="29">
        <x:f>WORKDAY(기본입력!$H$2,Q449-1,공휴일)</x:f>
        <x:v>45996</x:v>
      </x:c>
    </x:row>
    <x:row r="450" spans="1:18">
      <x:c r="A450" s="145" t="str">
        <x:f t="shared" si="40"/>
        <x:v>20251205</x:v>
      </x:c>
      <x:c r="B450" s="8" t="s">
        <x:v>5</x:v>
      </x:c>
      <x:c r="C450" s="8">
        <x:v>1740</x:v>
      </x:c>
      <x:c r="D450" s="7" t="s">
        <x:v>1</x:v>
      </x:c>
      <x:c r="E450" s="8">
        <x:v>1440</x:v>
      </x:c>
      <x:c r="F450" s="8" t="s">
        <x:v>40</x:v>
      </x:c>
      <x:c r="G450" s="15" t="str">
        <x:f>IF(OR(N450="",N450&gt;기본입력!$C$34),"",VLOOKUP(O450,기본입력!$A$9:$F$33,5))</x:f>
        <x:v>양현수_53778</x:v>
      </x:c>
      <x:c r="H450" s="15" t="str">
        <x:f>IF(OR(N450="",N450&gt;기본입력!$C$34),"",기본입력!$C$6)</x:f>
        <x:v>1교육실(실습겸용강의실)_243089</x:v>
      </x:c>
      <x:c r="I450" s="15" t="str">
        <x:f>IF(OR(O450="",N450&gt;기본입력!$C$34),"",VLOOKUP(O450,기본입력!$A$9:$F$33,6,FALSE))</x:f>
        <x:v>인공지능 프로그래밍__2</x:v>
      </x:c>
      <x:c r="J450" s="38" t="str">
        <x:f t="shared" si="42"/>
        <x:v>인공지능 프로그래밍</x:v>
      </x:c>
      <x:c r="K450" s="38" t="str">
        <x:f t="shared" si="43"/>
        <x:v>1교육실(실습겸용강의실)</x:v>
      </x:c>
      <x:c r="L450" s="38" t="str">
        <x:f t="shared" si="44"/>
        <x:v>양현수</x:v>
      </x:c>
      <x:c r="M450" s="63"/>
      <x:c r="N450" s="30">
        <x:f>IF(F450="2","",COUNTIF($F$3:$F450,"=1"))</x:f>
        <x:v>398</x:v>
      </x:c>
      <x:c r="O450" s="30">
        <x:f t="shared" si="39"/>
        <x:v>5</x:v>
      </x:c>
      <x:c r="P450" s="30">
        <x:f t="shared" si="41"/>
        <x:v>0</x:v>
      </x:c>
      <x:c r="Q450" s="30">
        <x:f>COUNTIF($P$3:P450,"=3")</x:f>
        <x:v>50</x:v>
      </x:c>
      <x:c r="R450" s="29">
        <x:f>WORKDAY(기본입력!$H$2,Q450-1,공휴일)</x:f>
        <x:v>45996</x:v>
      </x:c>
    </x:row>
    <x:row r="451" spans="1:18">
      <x:c r="A451" s="145" t="str">
        <x:f t="shared" si="40"/>
        <x:v>20251205</x:v>
      </x:c>
      <x:c r="B451" s="8" t="s">
        <x:v>5</x:v>
      </x:c>
      <x:c r="C451" s="8">
        <x:v>1740</x:v>
      </x:c>
      <x:c r="D451" s="7" t="s">
        <x:v>1</x:v>
      </x:c>
      <x:c r="E451" s="8">
        <x:v>1540</x:v>
      </x:c>
      <x:c r="F451" s="8" t="s">
        <x:v>40</x:v>
      </x:c>
      <x:c r="G451" s="15" t="str">
        <x:f>IF(OR(N451="",N451&gt;기본입력!$C$34),"",VLOOKUP(O451,기본입력!$A$9:$F$33,5))</x:f>
        <x:v>양현수_53778</x:v>
      </x:c>
      <x:c r="H451" s="15" t="str">
        <x:f>IF(OR(N451="",N451&gt;기본입력!$C$34),"",기본입력!$C$6)</x:f>
        <x:v>1교육실(실습겸용강의실)_243089</x:v>
      </x:c>
      <x:c r="I451" s="15" t="str">
        <x:f>IF(OR(O451="",N451&gt;기본입력!$C$34),"",VLOOKUP(O451,기본입력!$A$9:$F$33,6,FALSE))</x:f>
        <x:v>인공지능 프로그래밍__2</x:v>
      </x:c>
      <x:c r="J451" s="38" t="str">
        <x:f t="shared" si="42"/>
        <x:v>인공지능 프로그래밍</x:v>
      </x:c>
      <x:c r="K451" s="38" t="str">
        <x:f t="shared" si="43"/>
        <x:v>1교육실(실습겸용강의실)</x:v>
      </x:c>
      <x:c r="L451" s="38" t="str">
        <x:f t="shared" si="44"/>
        <x:v>양현수</x:v>
      </x:c>
      <x:c r="M451" s="63"/>
      <x:c r="N451" s="30">
        <x:f>IF(F451="2","",COUNTIF($F$3:$F451,"=1"))</x:f>
        <x:v>399</x:v>
      </x:c>
      <x:c r="O451" s="30">
        <x:f t="shared" ref="O451:O514" si="45">IF(F451="2","",IF(N451&lt;=누적시수1,1,IF(N451&lt;=누적시수2,2,IF(N451&lt;=누적시수3,3,IF(N451&lt;=누적시수4,4,IF(N451&lt;=누적시수5,5,IF(N451&lt;=누적시수6,6,IF(N451&lt;=누적시수7,7,IF(N451&lt;=누적시수8,8,IF(N451&lt;=누적시수9,9,IF(N451&lt;=누적시수10,10,IF(N451&lt;=누적시수11,11,IF(N451&lt;=누적시수12,12,IF(N451&lt;=누적시수13,13,IF(N451&lt;=누적시수14,14,IF(N451&lt;=누적시수15,15,IF(N451&lt;=누적시수16,16,IF(N451&lt;=누적시수17,17,IF(N451&lt;=누적시수18,18,IF(N451&lt;=누적시수19,19,IF(N451&lt;=누적시수20,20,IF(N451&lt;=누적시수21,21,IF(N451&lt;=누적시수22,22,IF(N451&lt;=누적시수23,23,IF(N451&lt;=누적시수24,24,IF(N451&lt;=누적시수25,25,0))))))))))))))))))))))))))</x:f>
        <x:v>5</x:v>
      </x:c>
      <x:c r="P451" s="30">
        <x:f t="shared" si="41"/>
        <x:v>1</x:v>
      </x:c>
      <x:c r="Q451" s="30">
        <x:f>COUNTIF($P$3:P451,"=3")</x:f>
        <x:v>50</x:v>
      </x:c>
      <x:c r="R451" s="29">
        <x:f>WORKDAY(기본입력!$H$2,Q451-1,공휴일)</x:f>
        <x:v>45996</x:v>
      </x:c>
    </x:row>
    <x:row r="452" spans="1:18">
      <x:c r="A452" s="145" t="str">
        <x:f t="shared" ref="A452:A515" si="46">TEXT(R452,"yyyymmdd")</x:f>
        <x:v>20251205</x:v>
      </x:c>
      <x:c r="B452" s="8" t="s">
        <x:v>5</x:v>
      </x:c>
      <x:c r="C452" s="8">
        <x:v>1740</x:v>
      </x:c>
      <x:c r="D452" s="7" t="s">
        <x:v>1</x:v>
      </x:c>
      <x:c r="E452" s="8">
        <x:v>1640</x:v>
      </x:c>
      <x:c r="F452" s="8" t="s">
        <x:v>40</x:v>
      </x:c>
      <x:c r="G452" s="15" t="str">
        <x:f>IF(OR(N452="",N452&gt;기본입력!$C$34),"",VLOOKUP(O452,기본입력!$A$9:$F$33,5))</x:f>
        <x:v>양현수_53778</x:v>
      </x:c>
      <x:c r="H452" s="15" t="str">
        <x:f>IF(OR(N452="",N452&gt;기본입력!$C$34),"",기본입력!$C$6)</x:f>
        <x:v>1교육실(실습겸용강의실)_243089</x:v>
      </x:c>
      <x:c r="I452" s="15" t="str">
        <x:f>IF(OR(O452="",N452&gt;기본입력!$C$34),"",VLOOKUP(O452,기본입력!$A$9:$F$33,6,FALSE))</x:f>
        <x:v>인공지능 프로그래밍__2</x:v>
      </x:c>
      <x:c r="J452" s="38" t="str">
        <x:f t="shared" si="42"/>
        <x:v>인공지능 프로그래밍</x:v>
      </x:c>
      <x:c r="K452" s="38" t="str">
        <x:f t="shared" si="43"/>
        <x:v>1교육실(실습겸용강의실)</x:v>
      </x:c>
      <x:c r="L452" s="38" t="str">
        <x:f t="shared" si="44"/>
        <x:v>양현수</x:v>
      </x:c>
      <x:c r="M452" s="63"/>
      <x:c r="N452" s="30">
        <x:f>IF(F452="2","",COUNTIF($F$3:$F452,"=1"))</x:f>
        <x:v>400</x:v>
      </x:c>
      <x:c r="O452" s="30">
        <x:f t="shared" si="45"/>
        <x:v>5</x:v>
      </x:c>
      <x:c r="P452" s="30">
        <x:f t="shared" ref="P452:P515" si="47">MOD(ROW(),9)</x:f>
        <x:v>2</x:v>
      </x:c>
      <x:c r="Q452" s="30">
        <x:f>COUNTIF($P$3:P452,"=3")</x:f>
        <x:v>50</x:v>
      </x:c>
      <x:c r="R452" s="29">
        <x:f>WORKDAY(기본입력!$H$2,Q452-1,공휴일)</x:f>
        <x:v>45996</x:v>
      </x:c>
    </x:row>
    <x:row r="453" spans="1:18">
      <x:c r="A453" s="144" t="str">
        <x:f t="shared" si="46"/>
        <x:v>20251208</x:v>
      </x:c>
      <x:c r="B453" s="6" t="s">
        <x:v>5</x:v>
      </x:c>
      <x:c r="C453" s="6">
        <x:v>1740</x:v>
      </x:c>
      <x:c r="D453" s="5" t="s">
        <x:v>1</x:v>
      </x:c>
      <x:c r="E453" s="6" t="s">
        <x:v>5</x:v>
      </x:c>
      <x:c r="F453" s="6" t="s">
        <x:v>40</x:v>
      </x:c>
      <x:c r="G453" s="14" t="str">
        <x:f>IF(OR(N453="",N453&gt;기본입력!$C$34),"",VLOOKUP(O453,기본입력!$A$9:$F$33,5))</x:f>
        <x:v>양현수_53778</x:v>
      </x:c>
      <x:c r="H453" s="14" t="str">
        <x:f>IF(OR(N453="",N453&gt;기본입력!$C$34),"",기본입력!$C$6)</x:f>
        <x:v>1교육실(실습겸용강의실)_243089</x:v>
      </x:c>
      <x:c r="I453" s="14" t="str">
        <x:f>IF(OR(O453="",N453&gt;기본입력!$C$34),"",VLOOKUP(O453,기본입력!$A$9:$F$33,6,FALSE))</x:f>
        <x:v>인공지능 프로그래밍__2</x:v>
      </x:c>
      <x:c r="J453" s="38" t="str">
        <x:f t="shared" si="42"/>
        <x:v>인공지능 프로그래밍</x:v>
      </x:c>
      <x:c r="K453" s="38" t="str">
        <x:f t="shared" si="43"/>
        <x:v>1교육실(실습겸용강의실)</x:v>
      </x:c>
      <x:c r="L453" s="38" t="str">
        <x:f t="shared" si="44"/>
        <x:v>양현수</x:v>
      </x:c>
      <x:c r="M453" s="63"/>
      <x:c r="N453" s="30">
        <x:f>IF(F453="2","",COUNTIF($F$3:$F453,"=1"))</x:f>
        <x:v>401</x:v>
      </x:c>
      <x:c r="O453" s="30">
        <x:f t="shared" si="45"/>
        <x:v>5</x:v>
      </x:c>
      <x:c r="P453" s="30">
        <x:f t="shared" si="47"/>
        <x:v>3</x:v>
      </x:c>
      <x:c r="Q453" s="30">
        <x:f>COUNTIF($P$3:P453,"=3")</x:f>
        <x:v>51</x:v>
      </x:c>
      <x:c r="R453" s="29">
        <x:f>WORKDAY(기본입력!$H$2,Q453-1,공휴일)</x:f>
        <x:v>45999</x:v>
      </x:c>
    </x:row>
    <x:row r="454" spans="1:18">
      <x:c r="A454" s="144" t="str">
        <x:f t="shared" si="46"/>
        <x:v>20251208</x:v>
      </x:c>
      <x:c r="B454" s="6" t="s">
        <x:v>5</x:v>
      </x:c>
      <x:c r="C454" s="6">
        <x:v>1740</x:v>
      </x:c>
      <x:c r="D454" s="5" t="s">
        <x:v>1</x:v>
      </x:c>
      <x:c r="E454" s="6" t="s">
        <x:v>117</x:v>
      </x:c>
      <x:c r="F454" s="6" t="s">
        <x:v>40</x:v>
      </x:c>
      <x:c r="G454" s="14" t="str">
        <x:f>IF(OR(N454="",N454&gt;기본입력!$C$34),"",VLOOKUP(O454,기본입력!$A$9:$F$33,5))</x:f>
        <x:v>양현수_53778</x:v>
      </x:c>
      <x:c r="H454" s="14" t="str">
        <x:f>IF(OR(N454="",N454&gt;기본입력!$C$34),"",기본입력!$C$6)</x:f>
        <x:v>1교육실(실습겸용강의실)_243089</x:v>
      </x:c>
      <x:c r="I454" s="14" t="str">
        <x:f>IF(OR(O454="",N454&gt;기본입력!$C$34),"",VLOOKUP(O454,기본입력!$A$9:$F$33,6,FALSE))</x:f>
        <x:v>인공지능 프로그래밍__2</x:v>
      </x:c>
      <x:c r="J454" s="38" t="str">
        <x:f t="shared" si="42"/>
        <x:v>인공지능 프로그래밍</x:v>
      </x:c>
      <x:c r="K454" s="38" t="str">
        <x:f t="shared" si="43"/>
        <x:v>1교육실(실습겸용강의실)</x:v>
      </x:c>
      <x:c r="L454" s="38" t="str">
        <x:f t="shared" si="44"/>
        <x:v>양현수</x:v>
      </x:c>
      <x:c r="M454" s="63"/>
      <x:c r="N454" s="30">
        <x:f>IF(F454="2","",COUNTIF($F$3:$F454,"=1"))</x:f>
        <x:v>402</x:v>
      </x:c>
      <x:c r="O454" s="30">
        <x:f t="shared" si="45"/>
        <x:v>5</x:v>
      </x:c>
      <x:c r="P454" s="30">
        <x:f t="shared" si="47"/>
        <x:v>4</x:v>
      </x:c>
      <x:c r="Q454" s="30">
        <x:f>COUNTIF($P$3:P454,"=3")</x:f>
        <x:v>51</x:v>
      </x:c>
      <x:c r="R454" s="29">
        <x:f>WORKDAY(기본입력!$H$2,Q454-1,공휴일)</x:f>
        <x:v>45999</x:v>
      </x:c>
    </x:row>
    <x:row r="455" spans="1:18">
      <x:c r="A455" s="144" t="str">
        <x:f t="shared" si="46"/>
        <x:v>20251208</x:v>
      </x:c>
      <x:c r="B455" s="6" t="s">
        <x:v>5</x:v>
      </x:c>
      <x:c r="C455" s="6">
        <x:v>1740</x:v>
      </x:c>
      <x:c r="D455" s="5" t="s">
        <x:v>1</x:v>
      </x:c>
      <x:c r="E455" s="6" t="s">
        <x:v>87</x:v>
      </x:c>
      <x:c r="F455" s="6" t="s">
        <x:v>40</x:v>
      </x:c>
      <x:c r="G455" s="14" t="str">
        <x:f>IF(OR(N455="",N455&gt;기본입력!$C$34),"",VLOOKUP(O455,기본입력!$A$9:$F$33,5))</x:f>
        <x:v>양현수_53778</x:v>
      </x:c>
      <x:c r="H455" s="14" t="str">
        <x:f>IF(OR(N455="",N455&gt;기본입력!$C$34),"",기본입력!$C$6)</x:f>
        <x:v>1교육실(실습겸용강의실)_243089</x:v>
      </x:c>
      <x:c r="I455" s="14" t="str">
        <x:f>IF(OR(O455="",N455&gt;기본입력!$C$34),"",VLOOKUP(O455,기본입력!$A$9:$F$33,6,FALSE))</x:f>
        <x:v>인공지능 프로그래밍__2</x:v>
      </x:c>
      <x:c r="J455" s="38" t="str">
        <x:f t="shared" si="42"/>
        <x:v>인공지능 프로그래밍</x:v>
      </x:c>
      <x:c r="K455" s="38" t="str">
        <x:f t="shared" si="43"/>
        <x:v>1교육실(실습겸용강의실)</x:v>
      </x:c>
      <x:c r="L455" s="38" t="str">
        <x:f t="shared" si="44"/>
        <x:v>양현수</x:v>
      </x:c>
      <x:c r="M455" s="63"/>
      <x:c r="N455" s="30">
        <x:f>IF(F455="2","",COUNTIF($F$3:$F455,"=1"))</x:f>
        <x:v>403</x:v>
      </x:c>
      <x:c r="O455" s="30">
        <x:f t="shared" si="45"/>
        <x:v>5</x:v>
      </x:c>
      <x:c r="P455" s="30">
        <x:f t="shared" si="47"/>
        <x:v>5</x:v>
      </x:c>
      <x:c r="Q455" s="30">
        <x:f>COUNTIF($P$3:P455,"=3")</x:f>
        <x:v>51</x:v>
      </x:c>
      <x:c r="R455" s="29">
        <x:f>WORKDAY(기본입력!$H$2,Q455-1,공휴일)</x:f>
        <x:v>45999</x:v>
      </x:c>
    </x:row>
    <x:row r="456" spans="1:18">
      <x:c r="A456" s="144" t="str">
        <x:f t="shared" si="46"/>
        <x:v>20251208</x:v>
      </x:c>
      <x:c r="B456" s="6" t="s">
        <x:v>5</x:v>
      </x:c>
      <x:c r="C456" s="6">
        <x:v>1740</x:v>
      </x:c>
      <x:c r="D456" s="5" t="s">
        <x:v>1</x:v>
      </x:c>
      <x:c r="E456" s="6" t="s">
        <x:v>88</x:v>
      </x:c>
      <x:c r="F456" s="6" t="s">
        <x:v>40</x:v>
      </x:c>
      <x:c r="G456" s="14" t="str">
        <x:f>IF(OR(N456="",N456&gt;기본입력!$C$34),"",VLOOKUP(O456,기본입력!$A$9:$F$33,5))</x:f>
        <x:v>양현수_53778</x:v>
      </x:c>
      <x:c r="H456" s="14" t="str">
        <x:f>IF(OR(N456="",N456&gt;기본입력!$C$34),"",기본입력!$C$6)</x:f>
        <x:v>1교육실(실습겸용강의실)_243089</x:v>
      </x:c>
      <x:c r="I456" s="14" t="str">
        <x:f>IF(OR(O456="",N456&gt;기본입력!$C$34),"",VLOOKUP(O456,기본입력!$A$9:$F$33,6,FALSE))</x:f>
        <x:v>인공지능 프로그래밍__2</x:v>
      </x:c>
      <x:c r="J456" s="38" t="str">
        <x:f t="shared" si="42"/>
        <x:v>인공지능 프로그래밍</x:v>
      </x:c>
      <x:c r="K456" s="38" t="str">
        <x:f t="shared" si="43"/>
        <x:v>1교육실(실습겸용강의실)</x:v>
      </x:c>
      <x:c r="L456" s="38" t="str">
        <x:f t="shared" si="44"/>
        <x:v>양현수</x:v>
      </x:c>
      <x:c r="M456" s="63"/>
      <x:c r="N456" s="30">
        <x:f>IF(F456="2","",COUNTIF($F$3:$F456,"=1"))</x:f>
        <x:v>404</x:v>
      </x:c>
      <x:c r="O456" s="30">
        <x:f t="shared" si="45"/>
        <x:v>5</x:v>
      </x:c>
      <x:c r="P456" s="30">
        <x:f t="shared" si="47"/>
        <x:v>6</x:v>
      </x:c>
      <x:c r="Q456" s="30">
        <x:f>COUNTIF($P$3:P456,"=3")</x:f>
        <x:v>51</x:v>
      </x:c>
      <x:c r="R456" s="29">
        <x:f>WORKDAY(기본입력!$H$2,Q456-1,공휴일)</x:f>
        <x:v>45999</x:v>
      </x:c>
    </x:row>
    <x:row r="457" spans="1:18">
      <x:c r="A457" s="144" t="str">
        <x:f t="shared" si="46"/>
        <x:v>20251208</x:v>
      </x:c>
      <x:c r="B457" s="6" t="s">
        <x:v>5</x:v>
      </x:c>
      <x:c r="C457" s="6">
        <x:v>1740</x:v>
      </x:c>
      <x:c r="D457" s="5" t="s">
        <x:v>1</x:v>
      </x:c>
      <x:c r="E457" s="6" t="s">
        <x:v>0</x:v>
      </x:c>
      <x:c r="F457" s="6" t="s">
        <x:v>41</x:v>
      </x:c>
      <x:c r="G457" s="14" t="str">
        <x:f>IF(OR(N457="",N457&gt;기본입력!$C$34),"",VLOOKUP(O457,기본입력!$A$9:$F$33,5))</x:f>
        <x:v/>
      </x:c>
      <x:c r="H457" s="14" t="str">
        <x:f>IF(OR(N457="",N457&gt;기본입력!$C$34),"",기본입력!$C$6)</x:f>
        <x:v/>
      </x:c>
      <x:c r="I457" s="14" t="str">
        <x:f>IF(OR(O457="",N457&gt;기본입력!$C$34),"",VLOOKUP(O457,기본입력!$A$9:$F$33,6,FALSE))</x:f>
        <x:v/>
      </x:c>
      <x:c r="J457" s="38" t="str">
        <x:f t="shared" si="42"/>
        <x:v/>
      </x:c>
      <x:c r="K457" s="38" t="str">
        <x:f t="shared" si="43"/>
        <x:v/>
      </x:c>
      <x:c r="L457" s="38" t="str">
        <x:f t="shared" si="44"/>
        <x:v/>
      </x:c>
      <x:c r="M457" s="63"/>
      <x:c r="N457" s="30" t="str">
        <x:f>IF(F457="2","",COUNTIF($F$3:$F457,"=1"))</x:f>
        <x:v/>
      </x:c>
      <x:c r="O457" s="30" t="str">
        <x:f t="shared" si="45"/>
        <x:v/>
      </x:c>
      <x:c r="P457" s="30">
        <x:f t="shared" si="47"/>
        <x:v>7</x:v>
      </x:c>
      <x:c r="Q457" s="30">
        <x:f>COUNTIF($P$3:P457,"=3")</x:f>
        <x:v>51</x:v>
      </x:c>
      <x:c r="R457" s="29">
        <x:f>WORKDAY(기본입력!$H$2,Q457-1,공휴일)</x:f>
        <x:v>45999</x:v>
      </x:c>
    </x:row>
    <x:row r="458" spans="1:18">
      <x:c r="A458" s="144" t="str">
        <x:f t="shared" si="46"/>
        <x:v>20251208</x:v>
      </x:c>
      <x:c r="B458" s="6" t="s">
        <x:v>5</x:v>
      </x:c>
      <x:c r="C458" s="6">
        <x:v>1740</x:v>
      </x:c>
      <x:c r="D458" s="5" t="s">
        <x:v>1</x:v>
      </x:c>
      <x:c r="E458" s="6">
        <x:v>1340</x:v>
      </x:c>
      <x:c r="F458" s="6" t="s">
        <x:v>40</x:v>
      </x:c>
      <x:c r="G458" s="14" t="str">
        <x:f>IF(OR(N458="",N458&gt;기본입력!$C$34),"",VLOOKUP(O458,기본입력!$A$9:$F$33,5))</x:f>
        <x:v>양현수_53778</x:v>
      </x:c>
      <x:c r="H458" s="14" t="str">
        <x:f>IF(OR(N458="",N458&gt;기본입력!$C$34),"",기본입력!$C$6)</x:f>
        <x:v>1교육실(실습겸용강의실)_243089</x:v>
      </x:c>
      <x:c r="I458" s="14" t="str">
        <x:f>IF(OR(O458="",N458&gt;기본입력!$C$34),"",VLOOKUP(O458,기본입력!$A$9:$F$33,6,FALSE))</x:f>
        <x:v>인공지능 프로그래밍__2</x:v>
      </x:c>
      <x:c r="J458" s="38" t="str">
        <x:f t="shared" si="42"/>
        <x:v>인공지능 프로그래밍</x:v>
      </x:c>
      <x:c r="K458" s="38" t="str">
        <x:f t="shared" si="43"/>
        <x:v>1교육실(실습겸용강의실)</x:v>
      </x:c>
      <x:c r="L458" s="38" t="str">
        <x:f t="shared" si="44"/>
        <x:v>양현수</x:v>
      </x:c>
      <x:c r="M458" s="63"/>
      <x:c r="N458" s="30">
        <x:f>IF(F458="2","",COUNTIF($F$3:$F458,"=1"))</x:f>
        <x:v>405</x:v>
      </x:c>
      <x:c r="O458" s="30">
        <x:f t="shared" si="45"/>
        <x:v>5</x:v>
      </x:c>
      <x:c r="P458" s="30">
        <x:f t="shared" si="47"/>
        <x:v>8</x:v>
      </x:c>
      <x:c r="Q458" s="30">
        <x:f>COUNTIF($P$3:P458,"=3")</x:f>
        <x:v>51</x:v>
      </x:c>
      <x:c r="R458" s="29">
        <x:f>WORKDAY(기본입력!$H$2,Q458-1,공휴일)</x:f>
        <x:v>45999</x:v>
      </x:c>
    </x:row>
    <x:row r="459" spans="1:18">
      <x:c r="A459" s="144" t="str">
        <x:f t="shared" si="46"/>
        <x:v>20251208</x:v>
      </x:c>
      <x:c r="B459" s="6" t="s">
        <x:v>5</x:v>
      </x:c>
      <x:c r="C459" s="6">
        <x:v>1740</x:v>
      </x:c>
      <x:c r="D459" s="5" t="s">
        <x:v>1</x:v>
      </x:c>
      <x:c r="E459" s="6">
        <x:v>1440</x:v>
      </x:c>
      <x:c r="F459" s="6" t="s">
        <x:v>40</x:v>
      </x:c>
      <x:c r="G459" s="14" t="str">
        <x:f>IF(OR(N459="",N459&gt;기본입력!$C$34),"",VLOOKUP(O459,기본입력!$A$9:$F$33,5))</x:f>
        <x:v>양현수_53778</x:v>
      </x:c>
      <x:c r="H459" s="14" t="str">
        <x:f>IF(OR(N459="",N459&gt;기본입력!$C$34),"",기본입력!$C$6)</x:f>
        <x:v>1교육실(실습겸용강의실)_243089</x:v>
      </x:c>
      <x:c r="I459" s="14" t="str">
        <x:f>IF(OR(O459="",N459&gt;기본입력!$C$34),"",VLOOKUP(O459,기본입력!$A$9:$F$33,6,FALSE))</x:f>
        <x:v>인공지능 프로그래밍__2</x:v>
      </x:c>
      <x:c r="J459" s="38" t="str">
        <x:f t="shared" si="42"/>
        <x:v>인공지능 프로그래밍</x:v>
      </x:c>
      <x:c r="K459" s="38" t="str">
        <x:f t="shared" si="43"/>
        <x:v>1교육실(실습겸용강의실)</x:v>
      </x:c>
      <x:c r="L459" s="38" t="str">
        <x:f t="shared" si="44"/>
        <x:v>양현수</x:v>
      </x:c>
      <x:c r="M459" s="63"/>
      <x:c r="N459" s="30">
        <x:f>IF(F459="2","",COUNTIF($F$3:$F459,"=1"))</x:f>
        <x:v>406</x:v>
      </x:c>
      <x:c r="O459" s="30">
        <x:f t="shared" si="45"/>
        <x:v>5</x:v>
      </x:c>
      <x:c r="P459" s="30">
        <x:f t="shared" si="47"/>
        <x:v>0</x:v>
      </x:c>
      <x:c r="Q459" s="30">
        <x:f>COUNTIF($P$3:P459,"=3")</x:f>
        <x:v>51</x:v>
      </x:c>
      <x:c r="R459" s="29">
        <x:f>WORKDAY(기본입력!$H$2,Q459-1,공휴일)</x:f>
        <x:v>45999</x:v>
      </x:c>
    </x:row>
    <x:row r="460" spans="1:18">
      <x:c r="A460" s="144" t="str">
        <x:f t="shared" si="46"/>
        <x:v>20251208</x:v>
      </x:c>
      <x:c r="B460" s="6" t="s">
        <x:v>5</x:v>
      </x:c>
      <x:c r="C460" s="6">
        <x:v>1740</x:v>
      </x:c>
      <x:c r="D460" s="5" t="s">
        <x:v>1</x:v>
      </x:c>
      <x:c r="E460" s="6">
        <x:v>1540</x:v>
      </x:c>
      <x:c r="F460" s="6" t="s">
        <x:v>40</x:v>
      </x:c>
      <x:c r="G460" s="14" t="str">
        <x:f>IF(OR(N460="",N460&gt;기본입력!$C$34),"",VLOOKUP(O460,기본입력!$A$9:$F$33,5))</x:f>
        <x:v>양현수_53778</x:v>
      </x:c>
      <x:c r="H460" s="14" t="str">
        <x:f>IF(OR(N460="",N460&gt;기본입력!$C$34),"",기본입력!$C$6)</x:f>
        <x:v>1교육실(실습겸용강의실)_243089</x:v>
      </x:c>
      <x:c r="I460" s="14" t="str">
        <x:f>IF(OR(O460="",N460&gt;기본입력!$C$34),"",VLOOKUP(O460,기본입력!$A$9:$F$33,6,FALSE))</x:f>
        <x:v>인공지능 프로그래밍__2</x:v>
      </x:c>
      <x:c r="J460" s="38" t="str">
        <x:f t="shared" si="42"/>
        <x:v>인공지능 프로그래밍</x:v>
      </x:c>
      <x:c r="K460" s="38" t="str">
        <x:f t="shared" si="43"/>
        <x:v>1교육실(실습겸용강의실)</x:v>
      </x:c>
      <x:c r="L460" s="38" t="str">
        <x:f t="shared" si="44"/>
        <x:v>양현수</x:v>
      </x:c>
      <x:c r="M460" s="63"/>
      <x:c r="N460" s="30">
        <x:f>IF(F460="2","",COUNTIF($F$3:$F460,"=1"))</x:f>
        <x:v>407</x:v>
      </x:c>
      <x:c r="O460" s="30">
        <x:f t="shared" si="45"/>
        <x:v>5</x:v>
      </x:c>
      <x:c r="P460" s="30">
        <x:f t="shared" si="47"/>
        <x:v>1</x:v>
      </x:c>
      <x:c r="Q460" s="30">
        <x:f>COUNTIF($P$3:P460,"=3")</x:f>
        <x:v>51</x:v>
      </x:c>
      <x:c r="R460" s="29">
        <x:f>WORKDAY(기본입력!$H$2,Q460-1,공휴일)</x:f>
        <x:v>45999</x:v>
      </x:c>
    </x:row>
    <x:row r="461" spans="1:18">
      <x:c r="A461" s="144" t="str">
        <x:f t="shared" si="46"/>
        <x:v>20251208</x:v>
      </x:c>
      <x:c r="B461" s="6" t="s">
        <x:v>5</x:v>
      </x:c>
      <x:c r="C461" s="6">
        <x:v>1740</x:v>
      </x:c>
      <x:c r="D461" s="5" t="s">
        <x:v>1</x:v>
      </x:c>
      <x:c r="E461" s="6">
        <x:v>1640</x:v>
      </x:c>
      <x:c r="F461" s="6" t="s">
        <x:v>40</x:v>
      </x:c>
      <x:c r="G461" s="14" t="str">
        <x:f>IF(OR(N461="",N461&gt;기본입력!$C$34),"",VLOOKUP(O461,기본입력!$A$9:$F$33,5))</x:f>
        <x:v>양현수_53778</x:v>
      </x:c>
      <x:c r="H461" s="14" t="str">
        <x:f>IF(OR(N461="",N461&gt;기본입력!$C$34),"",기본입력!$C$6)</x:f>
        <x:v>1교육실(실습겸용강의실)_243089</x:v>
      </x:c>
      <x:c r="I461" s="14" t="str">
        <x:f>IF(OR(O461="",N461&gt;기본입력!$C$34),"",VLOOKUP(O461,기본입력!$A$9:$F$33,6,FALSE))</x:f>
        <x:v>인공지능 프로그래밍__2</x:v>
      </x:c>
      <x:c r="J461" s="38" t="str">
        <x:f t="shared" si="42"/>
        <x:v>인공지능 프로그래밍</x:v>
      </x:c>
      <x:c r="K461" s="38" t="str">
        <x:f t="shared" si="43"/>
        <x:v>1교육실(실습겸용강의실)</x:v>
      </x:c>
      <x:c r="L461" s="38" t="str">
        <x:f t="shared" si="44"/>
        <x:v>양현수</x:v>
      </x:c>
      <x:c r="M461" s="63"/>
      <x:c r="N461" s="30">
        <x:f>IF(F461="2","",COUNTIF($F$3:$F461,"=1"))</x:f>
        <x:v>408</x:v>
      </x:c>
      <x:c r="O461" s="30">
        <x:f t="shared" si="45"/>
        <x:v>5</x:v>
      </x:c>
      <x:c r="P461" s="30">
        <x:f t="shared" si="47"/>
        <x:v>2</x:v>
      </x:c>
      <x:c r="Q461" s="30">
        <x:f>COUNTIF($P$3:P461,"=3")</x:f>
        <x:v>51</x:v>
      </x:c>
      <x:c r="R461" s="29">
        <x:f>WORKDAY(기본입력!$H$2,Q461-1,공휴일)</x:f>
        <x:v>45999</x:v>
      </x:c>
    </x:row>
    <x:row r="462" spans="1:18">
      <x:c r="A462" s="145" t="str">
        <x:f t="shared" si="46"/>
        <x:v>20251209</x:v>
      </x:c>
      <x:c r="B462" s="8" t="s">
        <x:v>5</x:v>
      </x:c>
      <x:c r="C462" s="8">
        <x:v>1740</x:v>
      </x:c>
      <x:c r="D462" s="7" t="s">
        <x:v>1</x:v>
      </x:c>
      <x:c r="E462" s="8" t="s">
        <x:v>5</x:v>
      </x:c>
      <x:c r="F462" s="8" t="s">
        <x:v>40</x:v>
      </x:c>
      <x:c r="G462" s="15" t="str">
        <x:f>IF(OR(N462="",N462&gt;기본입력!$C$34),"",VLOOKUP(O462,기본입력!$A$9:$F$33,5))</x:f>
        <x:v>양현수_53778</x:v>
      </x:c>
      <x:c r="H462" s="15" t="str">
        <x:f>IF(OR(N462="",N462&gt;기본입력!$C$34),"",기본입력!$C$6)</x:f>
        <x:v>1교육실(실습겸용강의실)_243089</x:v>
      </x:c>
      <x:c r="I462" s="15" t="str">
        <x:f>IF(OR(O462="",N462&gt;기본입력!$C$34),"",VLOOKUP(O462,기본입력!$A$9:$F$33,6,FALSE))</x:f>
        <x:v>인공지능 프로그래밍__2</x:v>
      </x:c>
      <x:c r="J462" s="38" t="str">
        <x:f t="shared" si="42"/>
        <x:v>인공지능 프로그래밍</x:v>
      </x:c>
      <x:c r="K462" s="38" t="str">
        <x:f t="shared" si="43"/>
        <x:v>1교육실(실습겸용강의실)</x:v>
      </x:c>
      <x:c r="L462" s="38" t="str">
        <x:f t="shared" si="44"/>
        <x:v>양현수</x:v>
      </x:c>
      <x:c r="M462" s="63"/>
      <x:c r="N462" s="30">
        <x:f>IF(F462="2","",COUNTIF($F$3:$F462,"=1"))</x:f>
        <x:v>409</x:v>
      </x:c>
      <x:c r="O462" s="30">
        <x:f t="shared" si="45"/>
        <x:v>5</x:v>
      </x:c>
      <x:c r="P462" s="30">
        <x:f t="shared" si="47"/>
        <x:v>3</x:v>
      </x:c>
      <x:c r="Q462" s="30">
        <x:f>COUNTIF($P$3:P462,"=3")</x:f>
        <x:v>52</x:v>
      </x:c>
      <x:c r="R462" s="29">
        <x:f>WORKDAY(기본입력!$H$2,Q462-1,공휴일)</x:f>
        <x:v>46000</x:v>
      </x:c>
    </x:row>
    <x:row r="463" spans="1:18">
      <x:c r="A463" s="145" t="str">
        <x:f t="shared" si="46"/>
        <x:v>20251209</x:v>
      </x:c>
      <x:c r="B463" s="8" t="s">
        <x:v>5</x:v>
      </x:c>
      <x:c r="C463" s="8">
        <x:v>1740</x:v>
      </x:c>
      <x:c r="D463" s="7" t="s">
        <x:v>1</x:v>
      </x:c>
      <x:c r="E463" s="8" t="s">
        <x:v>117</x:v>
      </x:c>
      <x:c r="F463" s="8" t="s">
        <x:v>40</x:v>
      </x:c>
      <x:c r="G463" s="15" t="str">
        <x:f>IF(OR(N463="",N463&gt;기본입력!$C$34),"",VLOOKUP(O463,기본입력!$A$9:$F$33,5))</x:f>
        <x:v>양현수_53778</x:v>
      </x:c>
      <x:c r="H463" s="15" t="str">
        <x:f>IF(OR(N463="",N463&gt;기본입력!$C$34),"",기본입력!$C$6)</x:f>
        <x:v>1교육실(실습겸용강의실)_243089</x:v>
      </x:c>
      <x:c r="I463" s="15" t="str">
        <x:f>IF(OR(O463="",N463&gt;기본입력!$C$34),"",VLOOKUP(O463,기본입력!$A$9:$F$33,6,FALSE))</x:f>
        <x:v>인공지능 프로그래밍__2</x:v>
      </x:c>
      <x:c r="J463" s="38" t="str">
        <x:f t="shared" si="42"/>
        <x:v>인공지능 프로그래밍</x:v>
      </x:c>
      <x:c r="K463" s="38" t="str">
        <x:f t="shared" si="43"/>
        <x:v>1교육실(실습겸용강의실)</x:v>
      </x:c>
      <x:c r="L463" s="38" t="str">
        <x:f t="shared" si="44"/>
        <x:v>양현수</x:v>
      </x:c>
      <x:c r="M463" s="63"/>
      <x:c r="N463" s="30">
        <x:f>IF(F463="2","",COUNTIF($F$3:$F463,"=1"))</x:f>
        <x:v>410</x:v>
      </x:c>
      <x:c r="O463" s="30">
        <x:f t="shared" si="45"/>
        <x:v>5</x:v>
      </x:c>
      <x:c r="P463" s="30">
        <x:f t="shared" si="47"/>
        <x:v>4</x:v>
      </x:c>
      <x:c r="Q463" s="30">
        <x:f>COUNTIF($P$3:P463,"=3")</x:f>
        <x:v>52</x:v>
      </x:c>
      <x:c r="R463" s="29">
        <x:f>WORKDAY(기본입력!$H$2,Q463-1,공휴일)</x:f>
        <x:v>46000</x:v>
      </x:c>
    </x:row>
    <x:row r="464" spans="1:18">
      <x:c r="A464" s="145" t="str">
        <x:f t="shared" si="46"/>
        <x:v>20251209</x:v>
      </x:c>
      <x:c r="B464" s="8" t="s">
        <x:v>5</x:v>
      </x:c>
      <x:c r="C464" s="8">
        <x:v>1740</x:v>
      </x:c>
      <x:c r="D464" s="7" t="s">
        <x:v>1</x:v>
      </x:c>
      <x:c r="E464" s="8" t="s">
        <x:v>87</x:v>
      </x:c>
      <x:c r="F464" s="8" t="s">
        <x:v>40</x:v>
      </x:c>
      <x:c r="G464" s="15" t="str">
        <x:f>IF(OR(N464="",N464&gt;기본입력!$C$34),"",VLOOKUP(O464,기본입력!$A$9:$F$33,5))</x:f>
        <x:v>양현수_53778</x:v>
      </x:c>
      <x:c r="H464" s="15" t="str">
        <x:f>IF(OR(N464="",N464&gt;기본입력!$C$34),"",기본입력!$C$6)</x:f>
        <x:v>1교육실(실습겸용강의실)_243089</x:v>
      </x:c>
      <x:c r="I464" s="15" t="str">
        <x:f>IF(OR(O464="",N464&gt;기본입력!$C$34),"",VLOOKUP(O464,기본입력!$A$9:$F$33,6,FALSE))</x:f>
        <x:v>인공지능 프로그래밍__2</x:v>
      </x:c>
      <x:c r="J464" s="38" t="str">
        <x:f t="shared" si="42"/>
        <x:v>인공지능 프로그래밍</x:v>
      </x:c>
      <x:c r="K464" s="38" t="str">
        <x:f t="shared" si="43"/>
        <x:v>1교육실(실습겸용강의실)</x:v>
      </x:c>
      <x:c r="L464" s="38" t="str">
        <x:f t="shared" si="44"/>
        <x:v>양현수</x:v>
      </x:c>
      <x:c r="M464" s="63"/>
      <x:c r="N464" s="30">
        <x:f>IF(F464="2","",COUNTIF($F$3:$F464,"=1"))</x:f>
        <x:v>411</x:v>
      </x:c>
      <x:c r="O464" s="30">
        <x:f t="shared" si="45"/>
        <x:v>5</x:v>
      </x:c>
      <x:c r="P464" s="30">
        <x:f t="shared" si="47"/>
        <x:v>5</x:v>
      </x:c>
      <x:c r="Q464" s="30">
        <x:f>COUNTIF($P$3:P464,"=3")</x:f>
        <x:v>52</x:v>
      </x:c>
      <x:c r="R464" s="29">
        <x:f>WORKDAY(기본입력!$H$2,Q464-1,공휴일)</x:f>
        <x:v>46000</x:v>
      </x:c>
    </x:row>
    <x:row r="465" spans="1:18">
      <x:c r="A465" s="145" t="str">
        <x:f t="shared" si="46"/>
        <x:v>20251209</x:v>
      </x:c>
      <x:c r="B465" s="8" t="s">
        <x:v>5</x:v>
      </x:c>
      <x:c r="C465" s="8">
        <x:v>1740</x:v>
      </x:c>
      <x:c r="D465" s="7" t="s">
        <x:v>1</x:v>
      </x:c>
      <x:c r="E465" s="8" t="s">
        <x:v>88</x:v>
      </x:c>
      <x:c r="F465" s="8" t="s">
        <x:v>40</x:v>
      </x:c>
      <x:c r="G465" s="15" t="str">
        <x:f>IF(OR(N465="",N465&gt;기본입력!$C$34),"",VLOOKUP(O465,기본입력!$A$9:$F$33,5))</x:f>
        <x:v>양현수_53778</x:v>
      </x:c>
      <x:c r="H465" s="15" t="str">
        <x:f>IF(OR(N465="",N465&gt;기본입력!$C$34),"",기본입력!$C$6)</x:f>
        <x:v>1교육실(실습겸용강의실)_243089</x:v>
      </x:c>
      <x:c r="I465" s="15" t="str">
        <x:f>IF(OR(O465="",N465&gt;기본입력!$C$34),"",VLOOKUP(O465,기본입력!$A$9:$F$33,6,FALSE))</x:f>
        <x:v>인공지능 프로그래밍__2</x:v>
      </x:c>
      <x:c r="J465" s="38" t="str">
        <x:f t="shared" si="42"/>
        <x:v>인공지능 프로그래밍</x:v>
      </x:c>
      <x:c r="K465" s="38" t="str">
        <x:f t="shared" si="43"/>
        <x:v>1교육실(실습겸용강의실)</x:v>
      </x:c>
      <x:c r="L465" s="38" t="str">
        <x:f t="shared" si="44"/>
        <x:v>양현수</x:v>
      </x:c>
      <x:c r="M465" s="63"/>
      <x:c r="N465" s="30">
        <x:f>IF(F465="2","",COUNTIF($F$3:$F465,"=1"))</x:f>
        <x:v>412</x:v>
      </x:c>
      <x:c r="O465" s="30">
        <x:f t="shared" si="45"/>
        <x:v>5</x:v>
      </x:c>
      <x:c r="P465" s="30">
        <x:f t="shared" si="47"/>
        <x:v>6</x:v>
      </x:c>
      <x:c r="Q465" s="30">
        <x:f>COUNTIF($P$3:P465,"=3")</x:f>
        <x:v>52</x:v>
      </x:c>
      <x:c r="R465" s="29">
        <x:f>WORKDAY(기본입력!$H$2,Q465-1,공휴일)</x:f>
        <x:v>46000</x:v>
      </x:c>
    </x:row>
    <x:row r="466" spans="1:18">
      <x:c r="A466" s="145" t="str">
        <x:f t="shared" si="46"/>
        <x:v>20251209</x:v>
      </x:c>
      <x:c r="B466" s="8" t="s">
        <x:v>5</x:v>
      </x:c>
      <x:c r="C466" s="8">
        <x:v>1740</x:v>
      </x:c>
      <x:c r="D466" s="7" t="s">
        <x:v>1</x:v>
      </x:c>
      <x:c r="E466" s="8" t="s">
        <x:v>0</x:v>
      </x:c>
      <x:c r="F466" s="8" t="s">
        <x:v>41</x:v>
      </x:c>
      <x:c r="G466" s="15" t="str">
        <x:f>IF(OR(N466="",N466&gt;기본입력!$C$34),"",VLOOKUP(O466,기본입력!$A$9:$F$33,5))</x:f>
        <x:v/>
      </x:c>
      <x:c r="H466" s="15" t="str">
        <x:f>IF(OR(N466="",N466&gt;기본입력!$C$34),"",기본입력!$C$6)</x:f>
        <x:v/>
      </x:c>
      <x:c r="I466" s="15" t="str">
        <x:f>IF(OR(O466="",N466&gt;기본입력!$C$34),"",VLOOKUP(O466,기본입력!$A$9:$F$33,6,FALSE))</x:f>
        <x:v/>
      </x:c>
      <x:c r="J466" s="38" t="str">
        <x:f t="shared" si="42"/>
        <x:v/>
      </x:c>
      <x:c r="K466" s="38" t="str">
        <x:f t="shared" si="43"/>
        <x:v/>
      </x:c>
      <x:c r="L466" s="38" t="str">
        <x:f t="shared" si="44"/>
        <x:v/>
      </x:c>
      <x:c r="M466" s="63"/>
      <x:c r="N466" s="30" t="str">
        <x:f>IF(F466="2","",COUNTIF($F$3:$F466,"=1"))</x:f>
        <x:v/>
      </x:c>
      <x:c r="O466" s="30" t="str">
        <x:f t="shared" si="45"/>
        <x:v/>
      </x:c>
      <x:c r="P466" s="30">
        <x:f t="shared" si="47"/>
        <x:v>7</x:v>
      </x:c>
      <x:c r="Q466" s="30">
        <x:f>COUNTIF($P$3:P466,"=3")</x:f>
        <x:v>52</x:v>
      </x:c>
      <x:c r="R466" s="29">
        <x:f>WORKDAY(기본입력!$H$2,Q466-1,공휴일)</x:f>
        <x:v>46000</x:v>
      </x:c>
    </x:row>
    <x:row r="467" spans="1:18">
      <x:c r="A467" s="145" t="str">
        <x:f t="shared" si="46"/>
        <x:v>20251209</x:v>
      </x:c>
      <x:c r="B467" s="8" t="s">
        <x:v>5</x:v>
      </x:c>
      <x:c r="C467" s="8">
        <x:v>1740</x:v>
      </x:c>
      <x:c r="D467" s="7" t="s">
        <x:v>1</x:v>
      </x:c>
      <x:c r="E467" s="8">
        <x:v>1340</x:v>
      </x:c>
      <x:c r="F467" s="8" t="s">
        <x:v>40</x:v>
      </x:c>
      <x:c r="G467" s="15" t="str">
        <x:f>IF(OR(N467="",N467&gt;기본입력!$C$34),"",VLOOKUP(O467,기본입력!$A$9:$F$33,5))</x:f>
        <x:v>양현수_53778</x:v>
      </x:c>
      <x:c r="H467" s="15" t="str">
        <x:f>IF(OR(N467="",N467&gt;기본입력!$C$34),"",기본입력!$C$6)</x:f>
        <x:v>1교육실(실습겸용강의실)_243089</x:v>
      </x:c>
      <x:c r="I467" s="15" t="str">
        <x:f>IF(OR(O467="",N467&gt;기본입력!$C$34),"",VLOOKUP(O467,기본입력!$A$9:$F$33,6,FALSE))</x:f>
        <x:v>인공지능 프로그래밍__2</x:v>
      </x:c>
      <x:c r="J467" s="38" t="str">
        <x:f t="shared" si="42"/>
        <x:v>인공지능 프로그래밍</x:v>
      </x:c>
      <x:c r="K467" s="38" t="str">
        <x:f t="shared" si="43"/>
        <x:v>1교육실(실습겸용강의실)</x:v>
      </x:c>
      <x:c r="L467" s="38" t="str">
        <x:f t="shared" si="44"/>
        <x:v>양현수</x:v>
      </x:c>
      <x:c r="M467" s="63"/>
      <x:c r="N467" s="30">
        <x:f>IF(F467="2","",COUNTIF($F$3:$F467,"=1"))</x:f>
        <x:v>413</x:v>
      </x:c>
      <x:c r="O467" s="30">
        <x:f t="shared" si="45"/>
        <x:v>5</x:v>
      </x:c>
      <x:c r="P467" s="30">
        <x:f t="shared" si="47"/>
        <x:v>8</x:v>
      </x:c>
      <x:c r="Q467" s="30">
        <x:f>COUNTIF($P$3:P467,"=3")</x:f>
        <x:v>52</x:v>
      </x:c>
      <x:c r="R467" s="29">
        <x:f>WORKDAY(기본입력!$H$2,Q467-1,공휴일)</x:f>
        <x:v>46000</x:v>
      </x:c>
    </x:row>
    <x:row r="468" spans="1:18">
      <x:c r="A468" s="145" t="str">
        <x:f t="shared" si="46"/>
        <x:v>20251209</x:v>
      </x:c>
      <x:c r="B468" s="8" t="s">
        <x:v>5</x:v>
      </x:c>
      <x:c r="C468" s="8">
        <x:v>1740</x:v>
      </x:c>
      <x:c r="D468" s="7" t="s">
        <x:v>1</x:v>
      </x:c>
      <x:c r="E468" s="8">
        <x:v>1440</x:v>
      </x:c>
      <x:c r="F468" s="8" t="s">
        <x:v>40</x:v>
      </x:c>
      <x:c r="G468" s="15" t="str">
        <x:f>IF(OR(N468="",N468&gt;기본입력!$C$34),"",VLOOKUP(O468,기본입력!$A$9:$F$33,5))</x:f>
        <x:v>양현수_53778</x:v>
      </x:c>
      <x:c r="H468" s="15" t="str">
        <x:f>IF(OR(N468="",N468&gt;기본입력!$C$34),"",기본입력!$C$6)</x:f>
        <x:v>1교육실(실습겸용강의실)_243089</x:v>
      </x:c>
      <x:c r="I468" s="15" t="str">
        <x:f>IF(OR(O468="",N468&gt;기본입력!$C$34),"",VLOOKUP(O468,기본입력!$A$9:$F$33,6,FALSE))</x:f>
        <x:v>인공지능 프로그래밍__2</x:v>
      </x:c>
      <x:c r="J468" s="38" t="str">
        <x:f t="shared" si="42"/>
        <x:v>인공지능 프로그래밍</x:v>
      </x:c>
      <x:c r="K468" s="38" t="str">
        <x:f t="shared" si="43"/>
        <x:v>1교육실(실습겸용강의실)</x:v>
      </x:c>
      <x:c r="L468" s="38" t="str">
        <x:f t="shared" si="44"/>
        <x:v>양현수</x:v>
      </x:c>
      <x:c r="M468" s="63"/>
      <x:c r="N468" s="30">
        <x:f>IF(F468="2","",COUNTIF($F$3:$F468,"=1"))</x:f>
        <x:v>414</x:v>
      </x:c>
      <x:c r="O468" s="30">
        <x:f t="shared" si="45"/>
        <x:v>5</x:v>
      </x:c>
      <x:c r="P468" s="30">
        <x:f t="shared" si="47"/>
        <x:v>0</x:v>
      </x:c>
      <x:c r="Q468" s="30">
        <x:f>COUNTIF($P$3:P468,"=3")</x:f>
        <x:v>52</x:v>
      </x:c>
      <x:c r="R468" s="29">
        <x:f>WORKDAY(기본입력!$H$2,Q468-1,공휴일)</x:f>
        <x:v>46000</x:v>
      </x:c>
    </x:row>
    <x:row r="469" spans="1:18">
      <x:c r="A469" s="145" t="str">
        <x:f t="shared" si="46"/>
        <x:v>20251209</x:v>
      </x:c>
      <x:c r="B469" s="8" t="s">
        <x:v>5</x:v>
      </x:c>
      <x:c r="C469" s="8">
        <x:v>1740</x:v>
      </x:c>
      <x:c r="D469" s="7" t="s">
        <x:v>1</x:v>
      </x:c>
      <x:c r="E469" s="8">
        <x:v>1540</x:v>
      </x:c>
      <x:c r="F469" s="8" t="s">
        <x:v>40</x:v>
      </x:c>
      <x:c r="G469" s="15" t="str">
        <x:f>IF(OR(N469="",N469&gt;기본입력!$C$34),"",VLOOKUP(O469,기본입력!$A$9:$F$33,5))</x:f>
        <x:v>양현수_53778</x:v>
      </x:c>
      <x:c r="H469" s="15" t="str">
        <x:f>IF(OR(N469="",N469&gt;기본입력!$C$34),"",기본입력!$C$6)</x:f>
        <x:v>1교육실(실습겸용강의실)_243089</x:v>
      </x:c>
      <x:c r="I469" s="15" t="str">
        <x:f>IF(OR(O469="",N469&gt;기본입력!$C$34),"",VLOOKUP(O469,기본입력!$A$9:$F$33,6,FALSE))</x:f>
        <x:v>인공지능 프로그래밍__2</x:v>
      </x:c>
      <x:c r="J469" s="38" t="str">
        <x:f t="shared" si="42"/>
        <x:v>인공지능 프로그래밍</x:v>
      </x:c>
      <x:c r="K469" s="38" t="str">
        <x:f t="shared" si="43"/>
        <x:v>1교육실(실습겸용강의실)</x:v>
      </x:c>
      <x:c r="L469" s="38" t="str">
        <x:f t="shared" si="44"/>
        <x:v>양현수</x:v>
      </x:c>
      <x:c r="M469" s="63"/>
      <x:c r="N469" s="30">
        <x:f>IF(F469="2","",COUNTIF($F$3:$F469,"=1"))</x:f>
        <x:v>415</x:v>
      </x:c>
      <x:c r="O469" s="30">
        <x:f t="shared" si="45"/>
        <x:v>5</x:v>
      </x:c>
      <x:c r="P469" s="30">
        <x:f t="shared" si="47"/>
        <x:v>1</x:v>
      </x:c>
      <x:c r="Q469" s="30">
        <x:f>COUNTIF($P$3:P469,"=3")</x:f>
        <x:v>52</x:v>
      </x:c>
      <x:c r="R469" s="29">
        <x:f>WORKDAY(기본입력!$H$2,Q469-1,공휴일)</x:f>
        <x:v>46000</x:v>
      </x:c>
    </x:row>
    <x:row r="470" spans="1:18">
      <x:c r="A470" s="145" t="str">
        <x:f t="shared" si="46"/>
        <x:v>20251209</x:v>
      </x:c>
      <x:c r="B470" s="8" t="s">
        <x:v>5</x:v>
      </x:c>
      <x:c r="C470" s="8">
        <x:v>1740</x:v>
      </x:c>
      <x:c r="D470" s="7" t="s">
        <x:v>1</x:v>
      </x:c>
      <x:c r="E470" s="8">
        <x:v>1640</x:v>
      </x:c>
      <x:c r="F470" s="8" t="s">
        <x:v>40</x:v>
      </x:c>
      <x:c r="G470" s="15" t="str">
        <x:f>IF(OR(N470="",N470&gt;기본입력!$C$34),"",VLOOKUP(O470,기본입력!$A$9:$F$33,5))</x:f>
        <x:v>양현수_53778</x:v>
      </x:c>
      <x:c r="H470" s="15" t="str">
        <x:f>IF(OR(N470="",N470&gt;기본입력!$C$34),"",기본입력!$C$6)</x:f>
        <x:v>1교육실(실습겸용강의실)_243089</x:v>
      </x:c>
      <x:c r="I470" s="15" t="str">
        <x:f>IF(OR(O470="",N470&gt;기본입력!$C$34),"",VLOOKUP(O470,기본입력!$A$9:$F$33,6,FALSE))</x:f>
        <x:v>인공지능 프로그래밍__2</x:v>
      </x:c>
      <x:c r="J470" s="38" t="str">
        <x:f t="shared" si="42"/>
        <x:v>인공지능 프로그래밍</x:v>
      </x:c>
      <x:c r="K470" s="38" t="str">
        <x:f t="shared" si="43"/>
        <x:v>1교육실(실습겸용강의실)</x:v>
      </x:c>
      <x:c r="L470" s="38" t="str">
        <x:f t="shared" si="44"/>
        <x:v>양현수</x:v>
      </x:c>
      <x:c r="M470" s="63"/>
      <x:c r="N470" s="30">
        <x:f>IF(F470="2","",COUNTIF($F$3:$F470,"=1"))</x:f>
        <x:v>416</x:v>
      </x:c>
      <x:c r="O470" s="30">
        <x:f t="shared" si="45"/>
        <x:v>5</x:v>
      </x:c>
      <x:c r="P470" s="30">
        <x:f t="shared" si="47"/>
        <x:v>2</x:v>
      </x:c>
      <x:c r="Q470" s="30">
        <x:f>COUNTIF($P$3:P470,"=3")</x:f>
        <x:v>52</x:v>
      </x:c>
      <x:c r="R470" s="29">
        <x:f>WORKDAY(기본입력!$H$2,Q470-1,공휴일)</x:f>
        <x:v>46000</x:v>
      </x:c>
    </x:row>
    <x:row r="471" spans="1:18">
      <x:c r="A471" s="144" t="str">
        <x:f t="shared" si="46"/>
        <x:v>20251210</x:v>
      </x:c>
      <x:c r="B471" s="6" t="s">
        <x:v>5</x:v>
      </x:c>
      <x:c r="C471" s="6">
        <x:v>1740</x:v>
      </x:c>
      <x:c r="D471" s="5" t="s">
        <x:v>1</x:v>
      </x:c>
      <x:c r="E471" s="6" t="s">
        <x:v>5</x:v>
      </x:c>
      <x:c r="F471" s="6" t="s">
        <x:v>40</x:v>
      </x:c>
      <x:c r="G471" s="14" t="str">
        <x:f>IF(OR(N471="",N471&gt;기본입력!$C$34),"",VLOOKUP(O471,기본입력!$A$9:$F$33,5))</x:f>
        <x:v>양현수_53778</x:v>
      </x:c>
      <x:c r="H471" s="14" t="str">
        <x:f>IF(OR(N471="",N471&gt;기본입력!$C$34),"",기본입력!$C$6)</x:f>
        <x:v>1교육실(실습겸용강의실)_243089</x:v>
      </x:c>
      <x:c r="I471" s="14" t="str">
        <x:f>IF(OR(O471="",N471&gt;기본입력!$C$34),"",VLOOKUP(O471,기본입력!$A$9:$F$33,6,FALSE))</x:f>
        <x:v>인공지능 프로그래밍__2</x:v>
      </x:c>
      <x:c r="J471" s="38" t="str">
        <x:f t="shared" si="42"/>
        <x:v>인공지능 프로그래밍</x:v>
      </x:c>
      <x:c r="K471" s="38" t="str">
        <x:f t="shared" si="43"/>
        <x:v>1교육실(실습겸용강의실)</x:v>
      </x:c>
      <x:c r="L471" s="38" t="str">
        <x:f t="shared" si="44"/>
        <x:v>양현수</x:v>
      </x:c>
      <x:c r="M471" s="63"/>
      <x:c r="N471" s="30">
        <x:f>IF(F471="2","",COUNTIF($F$3:$F471,"=1"))</x:f>
        <x:v>417</x:v>
      </x:c>
      <x:c r="O471" s="30">
        <x:f t="shared" si="45"/>
        <x:v>5</x:v>
      </x:c>
      <x:c r="P471" s="30">
        <x:f t="shared" si="47"/>
        <x:v>3</x:v>
      </x:c>
      <x:c r="Q471" s="30">
        <x:f>COUNTIF($P$3:P471,"=3")</x:f>
        <x:v>53</x:v>
      </x:c>
      <x:c r="R471" s="29">
        <x:f>WORKDAY(기본입력!$H$2,Q471-1,공휴일)</x:f>
        <x:v>46001</x:v>
      </x:c>
    </x:row>
    <x:row r="472" spans="1:18">
      <x:c r="A472" s="144" t="str">
        <x:f t="shared" si="46"/>
        <x:v>20251210</x:v>
      </x:c>
      <x:c r="B472" s="6" t="s">
        <x:v>5</x:v>
      </x:c>
      <x:c r="C472" s="6">
        <x:v>1740</x:v>
      </x:c>
      <x:c r="D472" s="5" t="s">
        <x:v>1</x:v>
      </x:c>
      <x:c r="E472" s="6" t="s">
        <x:v>117</x:v>
      </x:c>
      <x:c r="F472" s="6" t="s">
        <x:v>40</x:v>
      </x:c>
      <x:c r="G472" s="14" t="str">
        <x:f>IF(OR(N472="",N472&gt;기본입력!$C$34),"",VLOOKUP(O472,기본입력!$A$9:$F$33,5))</x:f>
        <x:v>양현수_53778</x:v>
      </x:c>
      <x:c r="H472" s="14" t="str">
        <x:f>IF(OR(N472="",N472&gt;기본입력!$C$34),"",기본입력!$C$6)</x:f>
        <x:v>1교육실(실습겸용강의실)_243089</x:v>
      </x:c>
      <x:c r="I472" s="14" t="str">
        <x:f>IF(OR(O472="",N472&gt;기본입력!$C$34),"",VLOOKUP(O472,기본입력!$A$9:$F$33,6,FALSE))</x:f>
        <x:v>인공지능 프로그래밍__2</x:v>
      </x:c>
      <x:c r="J472" s="38" t="str">
        <x:f t="shared" si="42"/>
        <x:v>인공지능 프로그래밍</x:v>
      </x:c>
      <x:c r="K472" s="38" t="str">
        <x:f t="shared" si="43"/>
        <x:v>1교육실(실습겸용강의실)</x:v>
      </x:c>
      <x:c r="L472" s="38" t="str">
        <x:f t="shared" si="44"/>
        <x:v>양현수</x:v>
      </x:c>
      <x:c r="M472" s="63"/>
      <x:c r="N472" s="30">
        <x:f>IF(F472="2","",COUNTIF($F$3:$F472,"=1"))</x:f>
        <x:v>418</x:v>
      </x:c>
      <x:c r="O472" s="30">
        <x:f t="shared" si="45"/>
        <x:v>5</x:v>
      </x:c>
      <x:c r="P472" s="30">
        <x:f t="shared" si="47"/>
        <x:v>4</x:v>
      </x:c>
      <x:c r="Q472" s="30">
        <x:f>COUNTIF($P$3:P472,"=3")</x:f>
        <x:v>53</x:v>
      </x:c>
      <x:c r="R472" s="29">
        <x:f>WORKDAY(기본입력!$H$2,Q472-1,공휴일)</x:f>
        <x:v>46001</x:v>
      </x:c>
    </x:row>
    <x:row r="473" spans="1:18">
      <x:c r="A473" s="144" t="str">
        <x:f t="shared" si="46"/>
        <x:v>20251210</x:v>
      </x:c>
      <x:c r="B473" s="6" t="s">
        <x:v>5</x:v>
      </x:c>
      <x:c r="C473" s="6">
        <x:v>1740</x:v>
      </x:c>
      <x:c r="D473" s="5" t="s">
        <x:v>1</x:v>
      </x:c>
      <x:c r="E473" s="6" t="s">
        <x:v>87</x:v>
      </x:c>
      <x:c r="F473" s="6" t="s">
        <x:v>40</x:v>
      </x:c>
      <x:c r="G473" s="14" t="str">
        <x:f>IF(OR(N473="",N473&gt;기본입력!$C$34),"",VLOOKUP(O473,기본입력!$A$9:$F$33,5))</x:f>
        <x:v>양현수_53778</x:v>
      </x:c>
      <x:c r="H473" s="14" t="str">
        <x:f>IF(OR(N473="",N473&gt;기본입력!$C$34),"",기본입력!$C$6)</x:f>
        <x:v>1교육실(실습겸용강의실)_243089</x:v>
      </x:c>
      <x:c r="I473" s="14" t="str">
        <x:f>IF(OR(O473="",N473&gt;기본입력!$C$34),"",VLOOKUP(O473,기본입력!$A$9:$F$33,6,FALSE))</x:f>
        <x:v>인공지능 프로그래밍__2</x:v>
      </x:c>
      <x:c r="J473" s="38" t="str">
        <x:f t="shared" si="42"/>
        <x:v>인공지능 프로그래밍</x:v>
      </x:c>
      <x:c r="K473" s="38" t="str">
        <x:f t="shared" si="43"/>
        <x:v>1교육실(실습겸용강의실)</x:v>
      </x:c>
      <x:c r="L473" s="38" t="str">
        <x:f t="shared" si="44"/>
        <x:v>양현수</x:v>
      </x:c>
      <x:c r="M473" s="63"/>
      <x:c r="N473" s="30">
        <x:f>IF(F473="2","",COUNTIF($F$3:$F473,"=1"))</x:f>
        <x:v>419</x:v>
      </x:c>
      <x:c r="O473" s="30">
        <x:f t="shared" si="45"/>
        <x:v>5</x:v>
      </x:c>
      <x:c r="P473" s="30">
        <x:f t="shared" si="47"/>
        <x:v>5</x:v>
      </x:c>
      <x:c r="Q473" s="30">
        <x:f>COUNTIF($P$3:P473,"=3")</x:f>
        <x:v>53</x:v>
      </x:c>
      <x:c r="R473" s="29">
        <x:f>WORKDAY(기본입력!$H$2,Q473-1,공휴일)</x:f>
        <x:v>46001</x:v>
      </x:c>
    </x:row>
    <x:row r="474" spans="1:18">
      <x:c r="A474" s="144" t="str">
        <x:f t="shared" si="46"/>
        <x:v>20251210</x:v>
      </x:c>
      <x:c r="B474" s="6" t="s">
        <x:v>5</x:v>
      </x:c>
      <x:c r="C474" s="6">
        <x:v>1740</x:v>
      </x:c>
      <x:c r="D474" s="5" t="s">
        <x:v>1</x:v>
      </x:c>
      <x:c r="E474" s="6" t="s">
        <x:v>88</x:v>
      </x:c>
      <x:c r="F474" s="6" t="s">
        <x:v>40</x:v>
      </x:c>
      <x:c r="G474" s="14" t="str">
        <x:f>IF(OR(N474="",N474&gt;기본입력!$C$34),"",VLOOKUP(O474,기본입력!$A$9:$F$33,5))</x:f>
        <x:v>양현수_53778</x:v>
      </x:c>
      <x:c r="H474" s="14" t="str">
        <x:f>IF(OR(N474="",N474&gt;기본입력!$C$34),"",기본입력!$C$6)</x:f>
        <x:v>1교육실(실습겸용강의실)_243089</x:v>
      </x:c>
      <x:c r="I474" s="14" t="str">
        <x:f>IF(OR(O474="",N474&gt;기본입력!$C$34),"",VLOOKUP(O474,기본입력!$A$9:$F$33,6,FALSE))</x:f>
        <x:v>인공지능 프로그래밍__2</x:v>
      </x:c>
      <x:c r="J474" s="38" t="str">
        <x:f t="shared" si="42"/>
        <x:v>인공지능 프로그래밍</x:v>
      </x:c>
      <x:c r="K474" s="38" t="str">
        <x:f t="shared" si="43"/>
        <x:v>1교육실(실습겸용강의실)</x:v>
      </x:c>
      <x:c r="L474" s="38" t="str">
        <x:f t="shared" si="44"/>
        <x:v>양현수</x:v>
      </x:c>
      <x:c r="M474" s="63"/>
      <x:c r="N474" s="30">
        <x:f>IF(F474="2","",COUNTIF($F$3:$F474,"=1"))</x:f>
        <x:v>420</x:v>
      </x:c>
      <x:c r="O474" s="30">
        <x:f t="shared" si="45"/>
        <x:v>5</x:v>
      </x:c>
      <x:c r="P474" s="30">
        <x:f t="shared" si="47"/>
        <x:v>6</x:v>
      </x:c>
      <x:c r="Q474" s="30">
        <x:f>COUNTIF($P$3:P474,"=3")</x:f>
        <x:v>53</x:v>
      </x:c>
      <x:c r="R474" s="29">
        <x:f>WORKDAY(기본입력!$H$2,Q474-1,공휴일)</x:f>
        <x:v>46001</x:v>
      </x:c>
    </x:row>
    <x:row r="475" spans="1:18">
      <x:c r="A475" s="144" t="str">
        <x:f t="shared" si="46"/>
        <x:v>20251210</x:v>
      </x:c>
      <x:c r="B475" s="6" t="s">
        <x:v>5</x:v>
      </x:c>
      <x:c r="C475" s="6">
        <x:v>1740</x:v>
      </x:c>
      <x:c r="D475" s="5" t="s">
        <x:v>1</x:v>
      </x:c>
      <x:c r="E475" s="6" t="s">
        <x:v>0</x:v>
      </x:c>
      <x:c r="F475" s="6" t="s">
        <x:v>41</x:v>
      </x:c>
      <x:c r="G475" s="14" t="str">
        <x:f>IF(OR(N475="",N475&gt;기본입력!$C$34),"",VLOOKUP(O475,기본입력!$A$9:$F$33,5))</x:f>
        <x:v/>
      </x:c>
      <x:c r="H475" s="14" t="str">
        <x:f>IF(OR(N475="",N475&gt;기본입력!$C$34),"",기본입력!$C$6)</x:f>
        <x:v/>
      </x:c>
      <x:c r="I475" s="14" t="str">
        <x:f>IF(OR(O475="",N475&gt;기본입력!$C$34),"",VLOOKUP(O475,기본입력!$A$9:$F$33,6,FALSE))</x:f>
        <x:v/>
      </x:c>
      <x:c r="J475" s="38" t="str">
        <x:f t="shared" si="42"/>
        <x:v/>
      </x:c>
      <x:c r="K475" s="38" t="str">
        <x:f t="shared" si="43"/>
        <x:v/>
      </x:c>
      <x:c r="L475" s="38" t="str">
        <x:f t="shared" si="44"/>
        <x:v/>
      </x:c>
      <x:c r="M475" s="63"/>
      <x:c r="N475" s="30" t="str">
        <x:f>IF(F475="2","",COUNTIF($F$3:$F475,"=1"))</x:f>
        <x:v/>
      </x:c>
      <x:c r="O475" s="30" t="str">
        <x:f t="shared" si="45"/>
        <x:v/>
      </x:c>
      <x:c r="P475" s="30">
        <x:f t="shared" si="47"/>
        <x:v>7</x:v>
      </x:c>
      <x:c r="Q475" s="30">
        <x:f>COUNTIF($P$3:P475,"=3")</x:f>
        <x:v>53</x:v>
      </x:c>
      <x:c r="R475" s="29">
        <x:f>WORKDAY(기본입력!$H$2,Q475-1,공휴일)</x:f>
        <x:v>46001</x:v>
      </x:c>
    </x:row>
    <x:row r="476" spans="1:18">
      <x:c r="A476" s="144" t="str">
        <x:f t="shared" si="46"/>
        <x:v>20251210</x:v>
      </x:c>
      <x:c r="B476" s="6" t="s">
        <x:v>5</x:v>
      </x:c>
      <x:c r="C476" s="6">
        <x:v>1740</x:v>
      </x:c>
      <x:c r="D476" s="5" t="s">
        <x:v>1</x:v>
      </x:c>
      <x:c r="E476" s="6">
        <x:v>1340</x:v>
      </x:c>
      <x:c r="F476" s="6" t="s">
        <x:v>40</x:v>
      </x:c>
      <x:c r="G476" s="14" t="str">
        <x:f>IF(OR(N476="",N476&gt;기본입력!$C$34),"",VLOOKUP(O476,기본입력!$A$9:$F$33,5))</x:f>
        <x:v>양현수_53778</x:v>
      </x:c>
      <x:c r="H476" s="14" t="str">
        <x:f>IF(OR(N476="",N476&gt;기본입력!$C$34),"",기본입력!$C$6)</x:f>
        <x:v>1교육실(실습겸용강의실)_243089</x:v>
      </x:c>
      <x:c r="I476" s="14" t="str">
        <x:f>IF(OR(O476="",N476&gt;기본입력!$C$34),"",VLOOKUP(O476,기본입력!$A$9:$F$33,6,FALSE))</x:f>
        <x:v>Advanced 프로젝트_9</x:v>
      </x:c>
      <x:c r="J476" s="38" t="str">
        <x:f t="shared" si="42"/>
        <x:v>Advanced 프로젝트</x:v>
      </x:c>
      <x:c r="K476" s="38" t="str">
        <x:f t="shared" si="43"/>
        <x:v>1교육실(실습겸용강의실)</x:v>
      </x:c>
      <x:c r="L476" s="38" t="str">
        <x:f t="shared" si="44"/>
        <x:v>양현수</x:v>
      </x:c>
      <x:c r="M476" s="63"/>
      <x:c r="N476" s="30">
        <x:f>IF(F476="2","",COUNTIF($F$3:$F476,"=1"))</x:f>
        <x:v>421</x:v>
      </x:c>
      <x:c r="O476" s="30">
        <x:f t="shared" si="45"/>
        <x:v>6</x:v>
      </x:c>
      <x:c r="P476" s="30">
        <x:f t="shared" si="47"/>
        <x:v>8</x:v>
      </x:c>
      <x:c r="Q476" s="30">
        <x:f>COUNTIF($P$3:P476,"=3")</x:f>
        <x:v>53</x:v>
      </x:c>
      <x:c r="R476" s="29">
        <x:f>WORKDAY(기본입력!$H$2,Q476-1,공휴일)</x:f>
        <x:v>46001</x:v>
      </x:c>
    </x:row>
    <x:row r="477" spans="1:18">
      <x:c r="A477" s="144" t="str">
        <x:f t="shared" si="46"/>
        <x:v>20251210</x:v>
      </x:c>
      <x:c r="B477" s="6" t="s">
        <x:v>5</x:v>
      </x:c>
      <x:c r="C477" s="6">
        <x:v>1740</x:v>
      </x:c>
      <x:c r="D477" s="5" t="s">
        <x:v>1</x:v>
      </x:c>
      <x:c r="E477" s="6">
        <x:v>1440</x:v>
      </x:c>
      <x:c r="F477" s="6" t="s">
        <x:v>40</x:v>
      </x:c>
      <x:c r="G477" s="14" t="str">
        <x:f>IF(OR(N477="",N477&gt;기본입력!$C$34),"",VLOOKUP(O477,기본입력!$A$9:$F$33,5))</x:f>
        <x:v>양현수_53778</x:v>
      </x:c>
      <x:c r="H477" s="14" t="str">
        <x:f>IF(OR(N477="",N477&gt;기본입력!$C$34),"",기본입력!$C$6)</x:f>
        <x:v>1교육실(실습겸용강의실)_243089</x:v>
      </x:c>
      <x:c r="I477" s="14" t="str">
        <x:f>IF(OR(O477="",N477&gt;기본입력!$C$34),"",VLOOKUP(O477,기본입력!$A$9:$F$33,6,FALSE))</x:f>
        <x:v>Advanced 프로젝트_9</x:v>
      </x:c>
      <x:c r="J477" s="38" t="str">
        <x:f t="shared" si="42"/>
        <x:v>Advanced 프로젝트</x:v>
      </x:c>
      <x:c r="K477" s="38" t="str">
        <x:f t="shared" si="43"/>
        <x:v>1교육실(실습겸용강의실)</x:v>
      </x:c>
      <x:c r="L477" s="38" t="str">
        <x:f t="shared" si="44"/>
        <x:v>양현수</x:v>
      </x:c>
      <x:c r="M477" s="63"/>
      <x:c r="N477" s="30">
        <x:f>IF(F477="2","",COUNTIF($F$3:$F477,"=1"))</x:f>
        <x:v>422</x:v>
      </x:c>
      <x:c r="O477" s="30">
        <x:f t="shared" si="45"/>
        <x:v>6</x:v>
      </x:c>
      <x:c r="P477" s="30">
        <x:f t="shared" si="47"/>
        <x:v>0</x:v>
      </x:c>
      <x:c r="Q477" s="30">
        <x:f>COUNTIF($P$3:P477,"=3")</x:f>
        <x:v>53</x:v>
      </x:c>
      <x:c r="R477" s="29">
        <x:f>WORKDAY(기본입력!$H$2,Q477-1,공휴일)</x:f>
        <x:v>46001</x:v>
      </x:c>
    </x:row>
    <x:row r="478" spans="1:18">
      <x:c r="A478" s="144" t="str">
        <x:f t="shared" si="46"/>
        <x:v>20251210</x:v>
      </x:c>
      <x:c r="B478" s="6" t="s">
        <x:v>5</x:v>
      </x:c>
      <x:c r="C478" s="6">
        <x:v>1740</x:v>
      </x:c>
      <x:c r="D478" s="5" t="s">
        <x:v>1</x:v>
      </x:c>
      <x:c r="E478" s="6">
        <x:v>1540</x:v>
      </x:c>
      <x:c r="F478" s="6" t="s">
        <x:v>40</x:v>
      </x:c>
      <x:c r="G478" s="14" t="str">
        <x:f>IF(OR(N478="",N478&gt;기본입력!$C$34),"",VLOOKUP(O478,기본입력!$A$9:$F$33,5))</x:f>
        <x:v>양현수_53778</x:v>
      </x:c>
      <x:c r="H478" s="14" t="str">
        <x:f>IF(OR(N478="",N478&gt;기본입력!$C$34),"",기본입력!$C$6)</x:f>
        <x:v>1교육실(실습겸용강의실)_243089</x:v>
      </x:c>
      <x:c r="I478" s="14" t="str">
        <x:f>IF(OR(O478="",N478&gt;기본입력!$C$34),"",VLOOKUP(O478,기본입력!$A$9:$F$33,6,FALSE))</x:f>
        <x:v>Advanced 프로젝트_9</x:v>
      </x:c>
      <x:c r="J478" s="38" t="str">
        <x:f t="shared" si="42"/>
        <x:v>Advanced 프로젝트</x:v>
      </x:c>
      <x:c r="K478" s="38" t="str">
        <x:f t="shared" si="43"/>
        <x:v>1교육실(실습겸용강의실)</x:v>
      </x:c>
      <x:c r="L478" s="38" t="str">
        <x:f t="shared" si="44"/>
        <x:v>양현수</x:v>
      </x:c>
      <x:c r="M478" s="63"/>
      <x:c r="N478" s="30">
        <x:f>IF(F478="2","",COUNTIF($F$3:$F478,"=1"))</x:f>
        <x:v>423</x:v>
      </x:c>
      <x:c r="O478" s="30">
        <x:f t="shared" si="45"/>
        <x:v>6</x:v>
      </x:c>
      <x:c r="P478" s="30">
        <x:f t="shared" si="47"/>
        <x:v>1</x:v>
      </x:c>
      <x:c r="Q478" s="30">
        <x:f>COUNTIF($P$3:P478,"=3")</x:f>
        <x:v>53</x:v>
      </x:c>
      <x:c r="R478" s="29">
        <x:f>WORKDAY(기본입력!$H$2,Q478-1,공휴일)</x:f>
        <x:v>46001</x:v>
      </x:c>
    </x:row>
    <x:row r="479" spans="1:18">
      <x:c r="A479" s="144" t="str">
        <x:f t="shared" si="46"/>
        <x:v>20251210</x:v>
      </x:c>
      <x:c r="B479" s="6" t="s">
        <x:v>5</x:v>
      </x:c>
      <x:c r="C479" s="6">
        <x:v>1740</x:v>
      </x:c>
      <x:c r="D479" s="5" t="s">
        <x:v>1</x:v>
      </x:c>
      <x:c r="E479" s="6">
        <x:v>1640</x:v>
      </x:c>
      <x:c r="F479" s="6" t="s">
        <x:v>40</x:v>
      </x:c>
      <x:c r="G479" s="14" t="str">
        <x:f>IF(OR(N479="",N479&gt;기본입력!$C$34),"",VLOOKUP(O479,기본입력!$A$9:$F$33,5))</x:f>
        <x:v>양현수_53778</x:v>
      </x:c>
      <x:c r="H479" s="14" t="str">
        <x:f>IF(OR(N479="",N479&gt;기본입력!$C$34),"",기본입력!$C$6)</x:f>
        <x:v>1교육실(실습겸용강의실)_243089</x:v>
      </x:c>
      <x:c r="I479" s="14" t="str">
        <x:f>IF(OR(O479="",N479&gt;기본입력!$C$34),"",VLOOKUP(O479,기본입력!$A$9:$F$33,6,FALSE))</x:f>
        <x:v>Advanced 프로젝트_9</x:v>
      </x:c>
      <x:c r="J479" s="38" t="str">
        <x:f t="shared" si="42"/>
        <x:v>Advanced 프로젝트</x:v>
      </x:c>
      <x:c r="K479" s="38" t="str">
        <x:f t="shared" si="43"/>
        <x:v>1교육실(실습겸용강의실)</x:v>
      </x:c>
      <x:c r="L479" s="38" t="str">
        <x:f t="shared" si="44"/>
        <x:v>양현수</x:v>
      </x:c>
      <x:c r="M479" s="63"/>
      <x:c r="N479" s="30">
        <x:f>IF(F479="2","",COUNTIF($F$3:$F479,"=1"))</x:f>
        <x:v>424</x:v>
      </x:c>
      <x:c r="O479" s="30">
        <x:f t="shared" si="45"/>
        <x:v>6</x:v>
      </x:c>
      <x:c r="P479" s="30">
        <x:f t="shared" si="47"/>
        <x:v>2</x:v>
      </x:c>
      <x:c r="Q479" s="30">
        <x:f>COUNTIF($P$3:P479,"=3")</x:f>
        <x:v>53</x:v>
      </x:c>
      <x:c r="R479" s="29">
        <x:f>WORKDAY(기본입력!$H$2,Q479-1,공휴일)</x:f>
        <x:v>46001</x:v>
      </x:c>
    </x:row>
    <x:row r="480" spans="1:18">
      <x:c r="A480" s="145" t="str">
        <x:f t="shared" si="46"/>
        <x:v>20251211</x:v>
      </x:c>
      <x:c r="B480" s="8" t="s">
        <x:v>5</x:v>
      </x:c>
      <x:c r="C480" s="8">
        <x:v>1740</x:v>
      </x:c>
      <x:c r="D480" s="7" t="s">
        <x:v>1</x:v>
      </x:c>
      <x:c r="E480" s="8" t="s">
        <x:v>5</x:v>
      </x:c>
      <x:c r="F480" s="8" t="s">
        <x:v>40</x:v>
      </x:c>
      <x:c r="G480" s="15" t="str">
        <x:f>IF(OR(N480="",N480&gt;기본입력!$C$34),"",VLOOKUP(O480,기본입력!$A$9:$F$33,5))</x:f>
        <x:v>양현수_53778</x:v>
      </x:c>
      <x:c r="H480" s="15" t="str">
        <x:f>IF(OR(N480="",N480&gt;기본입력!$C$34),"",기본입력!$C$6)</x:f>
        <x:v>1교육실(실습겸용강의실)_243089</x:v>
      </x:c>
      <x:c r="I480" s="15" t="str">
        <x:f>IF(OR(O480="",N480&gt;기본입력!$C$34),"",VLOOKUP(O480,기본입력!$A$9:$F$33,6,FALSE))</x:f>
        <x:v>Advanced 프로젝트_9</x:v>
      </x:c>
      <x:c r="J480" s="38" t="str">
        <x:f t="shared" si="42"/>
        <x:v>Advanced 프로젝트</x:v>
      </x:c>
      <x:c r="K480" s="38" t="str">
        <x:f t="shared" si="43"/>
        <x:v>1교육실(실습겸용강의실)</x:v>
      </x:c>
      <x:c r="L480" s="38" t="str">
        <x:f t="shared" si="44"/>
        <x:v>양현수</x:v>
      </x:c>
      <x:c r="M480" s="63"/>
      <x:c r="N480" s="30">
        <x:f>IF(F480="2","",COUNTIF($F$3:$F480,"=1"))</x:f>
        <x:v>425</x:v>
      </x:c>
      <x:c r="O480" s="30">
        <x:f t="shared" si="45"/>
        <x:v>6</x:v>
      </x:c>
      <x:c r="P480" s="30">
        <x:f t="shared" si="47"/>
        <x:v>3</x:v>
      </x:c>
      <x:c r="Q480" s="30">
        <x:f>COUNTIF($P$3:P480,"=3")</x:f>
        <x:v>54</x:v>
      </x:c>
      <x:c r="R480" s="29">
        <x:f>WORKDAY(기본입력!$H$2,Q480-1,공휴일)</x:f>
        <x:v>46002</x:v>
      </x:c>
    </x:row>
    <x:row r="481" spans="1:18">
      <x:c r="A481" s="145" t="str">
        <x:f t="shared" si="46"/>
        <x:v>20251211</x:v>
      </x:c>
      <x:c r="B481" s="8" t="s">
        <x:v>5</x:v>
      </x:c>
      <x:c r="C481" s="8">
        <x:v>1740</x:v>
      </x:c>
      <x:c r="D481" s="7" t="s">
        <x:v>1</x:v>
      </x:c>
      <x:c r="E481" s="8" t="s">
        <x:v>117</x:v>
      </x:c>
      <x:c r="F481" s="8" t="s">
        <x:v>40</x:v>
      </x:c>
      <x:c r="G481" s="15" t="str">
        <x:f>IF(OR(N481="",N481&gt;기본입력!$C$34),"",VLOOKUP(O481,기본입력!$A$9:$F$33,5))</x:f>
        <x:v>양현수_53778</x:v>
      </x:c>
      <x:c r="H481" s="15" t="str">
        <x:f>IF(OR(N481="",N481&gt;기본입력!$C$34),"",기본입력!$C$6)</x:f>
        <x:v>1교육실(실습겸용강의실)_243089</x:v>
      </x:c>
      <x:c r="I481" s="15" t="str">
        <x:f>IF(OR(O481="",N481&gt;기본입력!$C$34),"",VLOOKUP(O481,기본입력!$A$9:$F$33,6,FALSE))</x:f>
        <x:v>Advanced 프로젝트_9</x:v>
      </x:c>
      <x:c r="J481" s="38" t="str">
        <x:f t="shared" si="42"/>
        <x:v>Advanced 프로젝트</x:v>
      </x:c>
      <x:c r="K481" s="38" t="str">
        <x:f t="shared" si="43"/>
        <x:v>1교육실(실습겸용강의실)</x:v>
      </x:c>
      <x:c r="L481" s="38" t="str">
        <x:f t="shared" si="44"/>
        <x:v>양현수</x:v>
      </x:c>
      <x:c r="M481" s="63"/>
      <x:c r="N481" s="30">
        <x:f>IF(F481="2","",COUNTIF($F$3:$F481,"=1"))</x:f>
        <x:v>426</x:v>
      </x:c>
      <x:c r="O481" s="30">
        <x:f t="shared" si="45"/>
        <x:v>6</x:v>
      </x:c>
      <x:c r="P481" s="30">
        <x:f t="shared" si="47"/>
        <x:v>4</x:v>
      </x:c>
      <x:c r="Q481" s="30">
        <x:f>COUNTIF($P$3:P481,"=3")</x:f>
        <x:v>54</x:v>
      </x:c>
      <x:c r="R481" s="29">
        <x:f>WORKDAY(기본입력!$H$2,Q481-1,공휴일)</x:f>
        <x:v>46002</x:v>
      </x:c>
    </x:row>
    <x:row r="482" spans="1:18">
      <x:c r="A482" s="145" t="str">
        <x:f t="shared" si="46"/>
        <x:v>20251211</x:v>
      </x:c>
      <x:c r="B482" s="8" t="s">
        <x:v>5</x:v>
      </x:c>
      <x:c r="C482" s="8">
        <x:v>1740</x:v>
      </x:c>
      <x:c r="D482" s="7" t="s">
        <x:v>1</x:v>
      </x:c>
      <x:c r="E482" s="8" t="s">
        <x:v>87</x:v>
      </x:c>
      <x:c r="F482" s="8" t="s">
        <x:v>40</x:v>
      </x:c>
      <x:c r="G482" s="15" t="str">
        <x:f>IF(OR(N482="",N482&gt;기본입력!$C$34),"",VLOOKUP(O482,기본입력!$A$9:$F$33,5))</x:f>
        <x:v>양현수_53778</x:v>
      </x:c>
      <x:c r="H482" s="15" t="str">
        <x:f>IF(OR(N482="",N482&gt;기본입력!$C$34),"",기본입력!$C$6)</x:f>
        <x:v>1교육실(실습겸용강의실)_243089</x:v>
      </x:c>
      <x:c r="I482" s="15" t="str">
        <x:f>IF(OR(O482="",N482&gt;기본입력!$C$34),"",VLOOKUP(O482,기본입력!$A$9:$F$33,6,FALSE))</x:f>
        <x:v>Advanced 프로젝트_9</x:v>
      </x:c>
      <x:c r="J482" s="38" t="str">
        <x:f t="shared" si="42"/>
        <x:v>Advanced 프로젝트</x:v>
      </x:c>
      <x:c r="K482" s="38" t="str">
        <x:f t="shared" si="43"/>
        <x:v>1교육실(실습겸용강의실)</x:v>
      </x:c>
      <x:c r="L482" s="38" t="str">
        <x:f t="shared" si="44"/>
        <x:v>양현수</x:v>
      </x:c>
      <x:c r="M482" s="63"/>
      <x:c r="N482" s="30">
        <x:f>IF(F482="2","",COUNTIF($F$3:$F482,"=1"))</x:f>
        <x:v>427</x:v>
      </x:c>
      <x:c r="O482" s="30">
        <x:f t="shared" si="45"/>
        <x:v>6</x:v>
      </x:c>
      <x:c r="P482" s="30">
        <x:f t="shared" si="47"/>
        <x:v>5</x:v>
      </x:c>
      <x:c r="Q482" s="30">
        <x:f>COUNTIF($P$3:P482,"=3")</x:f>
        <x:v>54</x:v>
      </x:c>
      <x:c r="R482" s="29">
        <x:f>WORKDAY(기본입력!$H$2,Q482-1,공휴일)</x:f>
        <x:v>46002</x:v>
      </x:c>
    </x:row>
    <x:row r="483" spans="1:18">
      <x:c r="A483" s="145" t="str">
        <x:f t="shared" si="46"/>
        <x:v>20251211</x:v>
      </x:c>
      <x:c r="B483" s="8" t="s">
        <x:v>5</x:v>
      </x:c>
      <x:c r="C483" s="8">
        <x:v>1740</x:v>
      </x:c>
      <x:c r="D483" s="7" t="s">
        <x:v>1</x:v>
      </x:c>
      <x:c r="E483" s="8" t="s">
        <x:v>88</x:v>
      </x:c>
      <x:c r="F483" s="8" t="s">
        <x:v>40</x:v>
      </x:c>
      <x:c r="G483" s="15" t="str">
        <x:f>IF(OR(N483="",N483&gt;기본입력!$C$34),"",VLOOKUP(O483,기본입력!$A$9:$F$33,5))</x:f>
        <x:v>양현수_53778</x:v>
      </x:c>
      <x:c r="H483" s="15" t="str">
        <x:f>IF(OR(N483="",N483&gt;기본입력!$C$34),"",기본입력!$C$6)</x:f>
        <x:v>1교육실(실습겸용강의실)_243089</x:v>
      </x:c>
      <x:c r="I483" s="15" t="str">
        <x:f>IF(OR(O483="",N483&gt;기본입력!$C$34),"",VLOOKUP(O483,기본입력!$A$9:$F$33,6,FALSE))</x:f>
        <x:v>Advanced 프로젝트_9</x:v>
      </x:c>
      <x:c r="J483" s="38" t="str">
        <x:f t="shared" si="42"/>
        <x:v>Advanced 프로젝트</x:v>
      </x:c>
      <x:c r="K483" s="38" t="str">
        <x:f t="shared" si="43"/>
        <x:v>1교육실(실습겸용강의실)</x:v>
      </x:c>
      <x:c r="L483" s="38" t="str">
        <x:f t="shared" si="44"/>
        <x:v>양현수</x:v>
      </x:c>
      <x:c r="M483" s="63"/>
      <x:c r="N483" s="30">
        <x:f>IF(F483="2","",COUNTIF($F$3:$F483,"=1"))</x:f>
        <x:v>428</x:v>
      </x:c>
      <x:c r="O483" s="30">
        <x:f t="shared" si="45"/>
        <x:v>6</x:v>
      </x:c>
      <x:c r="P483" s="30">
        <x:f t="shared" si="47"/>
        <x:v>6</x:v>
      </x:c>
      <x:c r="Q483" s="30">
        <x:f>COUNTIF($P$3:P483,"=3")</x:f>
        <x:v>54</x:v>
      </x:c>
      <x:c r="R483" s="29">
        <x:f>WORKDAY(기본입력!$H$2,Q483-1,공휴일)</x:f>
        <x:v>46002</x:v>
      </x:c>
    </x:row>
    <x:row r="484" spans="1:18">
      <x:c r="A484" s="145" t="str">
        <x:f t="shared" si="46"/>
        <x:v>20251211</x:v>
      </x:c>
      <x:c r="B484" s="8" t="s">
        <x:v>5</x:v>
      </x:c>
      <x:c r="C484" s="8">
        <x:v>1740</x:v>
      </x:c>
      <x:c r="D484" s="7" t="s">
        <x:v>1</x:v>
      </x:c>
      <x:c r="E484" s="8" t="s">
        <x:v>0</x:v>
      </x:c>
      <x:c r="F484" s="8" t="s">
        <x:v>41</x:v>
      </x:c>
      <x:c r="G484" s="15" t="str">
        <x:f>IF(OR(N484="",N484&gt;기본입력!$C$34),"",VLOOKUP(O484,기본입력!$A$9:$F$33,5))</x:f>
        <x:v/>
      </x:c>
      <x:c r="H484" s="15" t="str">
        <x:f>IF(OR(N484="",N484&gt;기본입력!$C$34),"",기본입력!$C$6)</x:f>
        <x:v/>
      </x:c>
      <x:c r="I484" s="15" t="str">
        <x:f>IF(OR(O484="",N484&gt;기본입력!$C$34),"",VLOOKUP(O484,기본입력!$A$9:$F$33,6,FALSE))</x:f>
        <x:v/>
      </x:c>
      <x:c r="J484" s="38" t="str">
        <x:f t="shared" si="42"/>
        <x:v/>
      </x:c>
      <x:c r="K484" s="38" t="str">
        <x:f t="shared" si="43"/>
        <x:v/>
      </x:c>
      <x:c r="L484" s="38" t="str">
        <x:f t="shared" si="44"/>
        <x:v/>
      </x:c>
      <x:c r="M484" s="63"/>
      <x:c r="N484" s="30" t="str">
        <x:f>IF(F484="2","",COUNTIF($F$3:$F484,"=1"))</x:f>
        <x:v/>
      </x:c>
      <x:c r="O484" s="30" t="str">
        <x:f t="shared" si="45"/>
        <x:v/>
      </x:c>
      <x:c r="P484" s="30">
        <x:f t="shared" si="47"/>
        <x:v>7</x:v>
      </x:c>
      <x:c r="Q484" s="30">
        <x:f>COUNTIF($P$3:P484,"=3")</x:f>
        <x:v>54</x:v>
      </x:c>
      <x:c r="R484" s="29">
        <x:f>WORKDAY(기본입력!$H$2,Q484-1,공휴일)</x:f>
        <x:v>46002</x:v>
      </x:c>
    </x:row>
    <x:row r="485" spans="1:18">
      <x:c r="A485" s="145" t="str">
        <x:f t="shared" si="46"/>
        <x:v>20251211</x:v>
      </x:c>
      <x:c r="B485" s="8" t="s">
        <x:v>5</x:v>
      </x:c>
      <x:c r="C485" s="8">
        <x:v>1740</x:v>
      </x:c>
      <x:c r="D485" s="7" t="s">
        <x:v>1</x:v>
      </x:c>
      <x:c r="E485" s="8">
        <x:v>1340</x:v>
      </x:c>
      <x:c r="F485" s="8" t="s">
        <x:v>40</x:v>
      </x:c>
      <x:c r="G485" s="15" t="str">
        <x:f>IF(OR(N485="",N485&gt;기본입력!$C$34),"",VLOOKUP(O485,기본입력!$A$9:$F$33,5))</x:f>
        <x:v>양현수_53778</x:v>
      </x:c>
      <x:c r="H485" s="15" t="str">
        <x:f>IF(OR(N485="",N485&gt;기본입력!$C$34),"",기본입력!$C$6)</x:f>
        <x:v>1교육실(실습겸용강의실)_243089</x:v>
      </x:c>
      <x:c r="I485" s="15" t="str">
        <x:f>IF(OR(O485="",N485&gt;기본입력!$C$34),"",VLOOKUP(O485,기본입력!$A$9:$F$33,6,FALSE))</x:f>
        <x:v>Advanced 프로젝트_9</x:v>
      </x:c>
      <x:c r="J485" s="38" t="str">
        <x:f t="shared" si="42"/>
        <x:v>Advanced 프로젝트</x:v>
      </x:c>
      <x:c r="K485" s="38" t="str">
        <x:f t="shared" si="43"/>
        <x:v>1교육실(실습겸용강의실)</x:v>
      </x:c>
      <x:c r="L485" s="38" t="str">
        <x:f t="shared" si="44"/>
        <x:v>양현수</x:v>
      </x:c>
      <x:c r="M485" s="63"/>
      <x:c r="N485" s="30">
        <x:f>IF(F485="2","",COUNTIF($F$3:$F485,"=1"))</x:f>
        <x:v>429</x:v>
      </x:c>
      <x:c r="O485" s="30">
        <x:f t="shared" si="45"/>
        <x:v>6</x:v>
      </x:c>
      <x:c r="P485" s="30">
        <x:f t="shared" si="47"/>
        <x:v>8</x:v>
      </x:c>
      <x:c r="Q485" s="30">
        <x:f>COUNTIF($P$3:P485,"=3")</x:f>
        <x:v>54</x:v>
      </x:c>
      <x:c r="R485" s="29">
        <x:f>WORKDAY(기본입력!$H$2,Q485-1,공휴일)</x:f>
        <x:v>46002</x:v>
      </x:c>
    </x:row>
    <x:row r="486" spans="1:18">
      <x:c r="A486" s="145" t="str">
        <x:f t="shared" si="46"/>
        <x:v>20251211</x:v>
      </x:c>
      <x:c r="B486" s="8" t="s">
        <x:v>5</x:v>
      </x:c>
      <x:c r="C486" s="8">
        <x:v>1740</x:v>
      </x:c>
      <x:c r="D486" s="7" t="s">
        <x:v>1</x:v>
      </x:c>
      <x:c r="E486" s="8">
        <x:v>1440</x:v>
      </x:c>
      <x:c r="F486" s="8" t="s">
        <x:v>40</x:v>
      </x:c>
      <x:c r="G486" s="15" t="str">
        <x:f>IF(OR(N486="",N486&gt;기본입력!$C$34),"",VLOOKUP(O486,기본입력!$A$9:$F$33,5))</x:f>
        <x:v>양현수_53778</x:v>
      </x:c>
      <x:c r="H486" s="15" t="str">
        <x:f>IF(OR(N486="",N486&gt;기본입력!$C$34),"",기본입력!$C$6)</x:f>
        <x:v>1교육실(실습겸용강의실)_243089</x:v>
      </x:c>
      <x:c r="I486" s="15" t="str">
        <x:f>IF(OR(O486="",N486&gt;기본입력!$C$34),"",VLOOKUP(O486,기본입력!$A$9:$F$33,6,FALSE))</x:f>
        <x:v>Advanced 프로젝트_9</x:v>
      </x:c>
      <x:c r="J486" s="38" t="str">
        <x:f t="shared" si="42"/>
        <x:v>Advanced 프로젝트</x:v>
      </x:c>
      <x:c r="K486" s="38" t="str">
        <x:f t="shared" si="43"/>
        <x:v>1교육실(실습겸용강의실)</x:v>
      </x:c>
      <x:c r="L486" s="38" t="str">
        <x:f t="shared" si="44"/>
        <x:v>양현수</x:v>
      </x:c>
      <x:c r="M486" s="63"/>
      <x:c r="N486" s="30">
        <x:f>IF(F486="2","",COUNTIF($F$3:$F486,"=1"))</x:f>
        <x:v>430</x:v>
      </x:c>
      <x:c r="O486" s="30">
        <x:f t="shared" si="45"/>
        <x:v>6</x:v>
      </x:c>
      <x:c r="P486" s="30">
        <x:f t="shared" si="47"/>
        <x:v>0</x:v>
      </x:c>
      <x:c r="Q486" s="30">
        <x:f>COUNTIF($P$3:P486,"=3")</x:f>
        <x:v>54</x:v>
      </x:c>
      <x:c r="R486" s="29">
        <x:f>WORKDAY(기본입력!$H$2,Q486-1,공휴일)</x:f>
        <x:v>46002</x:v>
      </x:c>
    </x:row>
    <x:row r="487" spans="1:18">
      <x:c r="A487" s="145" t="str">
        <x:f t="shared" si="46"/>
        <x:v>20251211</x:v>
      </x:c>
      <x:c r="B487" s="8" t="s">
        <x:v>5</x:v>
      </x:c>
      <x:c r="C487" s="8">
        <x:v>1740</x:v>
      </x:c>
      <x:c r="D487" s="7" t="s">
        <x:v>1</x:v>
      </x:c>
      <x:c r="E487" s="8">
        <x:v>1540</x:v>
      </x:c>
      <x:c r="F487" s="8" t="s">
        <x:v>40</x:v>
      </x:c>
      <x:c r="G487" s="15" t="str">
        <x:f>IF(OR(N487="",N487&gt;기본입력!$C$34),"",VLOOKUP(O487,기본입력!$A$9:$F$33,5))</x:f>
        <x:v>양현수_53778</x:v>
      </x:c>
      <x:c r="H487" s="15" t="str">
        <x:f>IF(OR(N487="",N487&gt;기본입력!$C$34),"",기본입력!$C$6)</x:f>
        <x:v>1교육실(실습겸용강의실)_243089</x:v>
      </x:c>
      <x:c r="I487" s="15" t="str">
        <x:f>IF(OR(O487="",N487&gt;기본입력!$C$34),"",VLOOKUP(O487,기본입력!$A$9:$F$33,6,FALSE))</x:f>
        <x:v>Advanced 프로젝트_9</x:v>
      </x:c>
      <x:c r="J487" s="38" t="str">
        <x:f t="shared" si="42"/>
        <x:v>Advanced 프로젝트</x:v>
      </x:c>
      <x:c r="K487" s="38" t="str">
        <x:f t="shared" si="43"/>
        <x:v>1교육실(실습겸용강의실)</x:v>
      </x:c>
      <x:c r="L487" s="38" t="str">
        <x:f t="shared" si="44"/>
        <x:v>양현수</x:v>
      </x:c>
      <x:c r="M487" s="63"/>
      <x:c r="N487" s="30">
        <x:f>IF(F487="2","",COUNTIF($F$3:$F487,"=1"))</x:f>
        <x:v>431</x:v>
      </x:c>
      <x:c r="O487" s="30">
        <x:f t="shared" si="45"/>
        <x:v>6</x:v>
      </x:c>
      <x:c r="P487" s="30">
        <x:f t="shared" si="47"/>
        <x:v>1</x:v>
      </x:c>
      <x:c r="Q487" s="30">
        <x:f>COUNTIF($P$3:P487,"=3")</x:f>
        <x:v>54</x:v>
      </x:c>
      <x:c r="R487" s="29">
        <x:f>WORKDAY(기본입력!$H$2,Q487-1,공휴일)</x:f>
        <x:v>46002</x:v>
      </x:c>
    </x:row>
    <x:row r="488" spans="1:18">
      <x:c r="A488" s="145" t="str">
        <x:f t="shared" si="46"/>
        <x:v>20251211</x:v>
      </x:c>
      <x:c r="B488" s="8" t="s">
        <x:v>5</x:v>
      </x:c>
      <x:c r="C488" s="8">
        <x:v>1740</x:v>
      </x:c>
      <x:c r="D488" s="7" t="s">
        <x:v>1</x:v>
      </x:c>
      <x:c r="E488" s="8">
        <x:v>1640</x:v>
      </x:c>
      <x:c r="F488" s="8" t="s">
        <x:v>40</x:v>
      </x:c>
      <x:c r="G488" s="15" t="str">
        <x:f>IF(OR(N488="",N488&gt;기본입력!$C$34),"",VLOOKUP(O488,기본입력!$A$9:$F$33,5))</x:f>
        <x:v>양현수_53778</x:v>
      </x:c>
      <x:c r="H488" s="15" t="str">
        <x:f>IF(OR(N488="",N488&gt;기본입력!$C$34),"",기본입력!$C$6)</x:f>
        <x:v>1교육실(실습겸용강의실)_243089</x:v>
      </x:c>
      <x:c r="I488" s="15" t="str">
        <x:f>IF(OR(O488="",N488&gt;기본입력!$C$34),"",VLOOKUP(O488,기본입력!$A$9:$F$33,6,FALSE))</x:f>
        <x:v>Advanced 프로젝트_9</x:v>
      </x:c>
      <x:c r="J488" s="38" t="str">
        <x:f t="shared" si="42"/>
        <x:v>Advanced 프로젝트</x:v>
      </x:c>
      <x:c r="K488" s="38" t="str">
        <x:f t="shared" si="43"/>
        <x:v>1교육실(실습겸용강의실)</x:v>
      </x:c>
      <x:c r="L488" s="38" t="str">
        <x:f t="shared" si="44"/>
        <x:v>양현수</x:v>
      </x:c>
      <x:c r="M488" s="63"/>
      <x:c r="N488" s="30">
        <x:f>IF(F488="2","",COUNTIF($F$3:$F488,"=1"))</x:f>
        <x:v>432</x:v>
      </x:c>
      <x:c r="O488" s="30">
        <x:f t="shared" si="45"/>
        <x:v>6</x:v>
      </x:c>
      <x:c r="P488" s="30">
        <x:f t="shared" si="47"/>
        <x:v>2</x:v>
      </x:c>
      <x:c r="Q488" s="30">
        <x:f>COUNTIF($P$3:P488,"=3")</x:f>
        <x:v>54</x:v>
      </x:c>
      <x:c r="R488" s="29">
        <x:f>WORKDAY(기본입력!$H$2,Q488-1,공휴일)</x:f>
        <x:v>46002</x:v>
      </x:c>
    </x:row>
    <x:row r="489" spans="1:18">
      <x:c r="A489" s="144" t="str">
        <x:f t="shared" si="46"/>
        <x:v>20251212</x:v>
      </x:c>
      <x:c r="B489" s="6" t="s">
        <x:v>5</x:v>
      </x:c>
      <x:c r="C489" s="6">
        <x:v>1740</x:v>
      </x:c>
      <x:c r="D489" s="5" t="s">
        <x:v>1</x:v>
      </x:c>
      <x:c r="E489" s="6" t="s">
        <x:v>5</x:v>
      </x:c>
      <x:c r="F489" s="6" t="s">
        <x:v>40</x:v>
      </x:c>
      <x:c r="G489" s="14" t="str">
        <x:f>IF(OR(N489="",N489&gt;기본입력!$C$34),"",VLOOKUP(O489,기본입력!$A$9:$F$33,5))</x:f>
        <x:v>양현수_53778</x:v>
      </x:c>
      <x:c r="H489" s="14" t="str">
        <x:f>IF(OR(N489="",N489&gt;기본입력!$C$34),"",기본입력!$C$6)</x:f>
        <x:v>1교육실(실습겸용강의실)_243089</x:v>
      </x:c>
      <x:c r="I489" s="14" t="str">
        <x:f>IF(OR(O489="",N489&gt;기본입력!$C$34),"",VLOOKUP(O489,기본입력!$A$9:$F$33,6,FALSE))</x:f>
        <x:v>Advanced 프로젝트_9</x:v>
      </x:c>
      <x:c r="J489" s="38" t="str">
        <x:f t="shared" si="42"/>
        <x:v>Advanced 프로젝트</x:v>
      </x:c>
      <x:c r="K489" s="38" t="str">
        <x:f t="shared" si="43"/>
        <x:v>1교육실(실습겸용강의실)</x:v>
      </x:c>
      <x:c r="L489" s="38" t="str">
        <x:f t="shared" si="44"/>
        <x:v>양현수</x:v>
      </x:c>
      <x:c r="M489" s="63"/>
      <x:c r="N489" s="30">
        <x:f>IF(F489="2","",COUNTIF($F$3:$F489,"=1"))</x:f>
        <x:v>433</x:v>
      </x:c>
      <x:c r="O489" s="30">
        <x:f t="shared" si="45"/>
        <x:v>6</x:v>
      </x:c>
      <x:c r="P489" s="30">
        <x:f t="shared" si="47"/>
        <x:v>3</x:v>
      </x:c>
      <x:c r="Q489" s="30">
        <x:f>COUNTIF($P$3:P489,"=3")</x:f>
        <x:v>55</x:v>
      </x:c>
      <x:c r="R489" s="29">
        <x:f>WORKDAY(기본입력!$H$2,Q489-1,공휴일)</x:f>
        <x:v>46003</x:v>
      </x:c>
    </x:row>
    <x:row r="490" spans="1:18">
      <x:c r="A490" s="144" t="str">
        <x:f t="shared" si="46"/>
        <x:v>20251212</x:v>
      </x:c>
      <x:c r="B490" s="6" t="s">
        <x:v>5</x:v>
      </x:c>
      <x:c r="C490" s="6">
        <x:v>1740</x:v>
      </x:c>
      <x:c r="D490" s="5" t="s">
        <x:v>1</x:v>
      </x:c>
      <x:c r="E490" s="6" t="s">
        <x:v>117</x:v>
      </x:c>
      <x:c r="F490" s="6" t="s">
        <x:v>40</x:v>
      </x:c>
      <x:c r="G490" s="14" t="str">
        <x:f>IF(OR(N490="",N490&gt;기본입력!$C$34),"",VLOOKUP(O490,기본입력!$A$9:$F$33,5))</x:f>
        <x:v>양현수_53778</x:v>
      </x:c>
      <x:c r="H490" s="14" t="str">
        <x:f>IF(OR(N490="",N490&gt;기본입력!$C$34),"",기본입력!$C$6)</x:f>
        <x:v>1교육실(실습겸용강의실)_243089</x:v>
      </x:c>
      <x:c r="I490" s="14" t="str">
        <x:f>IF(OR(O490="",N490&gt;기본입력!$C$34),"",VLOOKUP(O490,기본입력!$A$9:$F$33,6,FALSE))</x:f>
        <x:v>Advanced 프로젝트_9</x:v>
      </x:c>
      <x:c r="J490" s="38" t="str">
        <x:f t="shared" si="42"/>
        <x:v>Advanced 프로젝트</x:v>
      </x:c>
      <x:c r="K490" s="38" t="str">
        <x:f t="shared" si="43"/>
        <x:v>1교육실(실습겸용강의실)</x:v>
      </x:c>
      <x:c r="L490" s="38" t="str">
        <x:f t="shared" si="44"/>
        <x:v>양현수</x:v>
      </x:c>
      <x:c r="M490" s="63"/>
      <x:c r="N490" s="30">
        <x:f>IF(F490="2","",COUNTIF($F$3:$F490,"=1"))</x:f>
        <x:v>434</x:v>
      </x:c>
      <x:c r="O490" s="30">
        <x:f t="shared" si="45"/>
        <x:v>6</x:v>
      </x:c>
      <x:c r="P490" s="30">
        <x:f t="shared" si="47"/>
        <x:v>4</x:v>
      </x:c>
      <x:c r="Q490" s="30">
        <x:f>COUNTIF($P$3:P490,"=3")</x:f>
        <x:v>55</x:v>
      </x:c>
      <x:c r="R490" s="29">
        <x:f>WORKDAY(기본입력!$H$2,Q490-1,공휴일)</x:f>
        <x:v>46003</x:v>
      </x:c>
    </x:row>
    <x:row r="491" spans="1:18">
      <x:c r="A491" s="144" t="str">
        <x:f t="shared" si="46"/>
        <x:v>20251212</x:v>
      </x:c>
      <x:c r="B491" s="6" t="s">
        <x:v>5</x:v>
      </x:c>
      <x:c r="C491" s="6">
        <x:v>1740</x:v>
      </x:c>
      <x:c r="D491" s="5" t="s">
        <x:v>1</x:v>
      </x:c>
      <x:c r="E491" s="6" t="s">
        <x:v>87</x:v>
      </x:c>
      <x:c r="F491" s="6" t="s">
        <x:v>40</x:v>
      </x:c>
      <x:c r="G491" s="14" t="str">
        <x:f>IF(OR(N491="",N491&gt;기본입력!$C$34),"",VLOOKUP(O491,기본입력!$A$9:$F$33,5))</x:f>
        <x:v>양현수_53778</x:v>
      </x:c>
      <x:c r="H491" s="14" t="str">
        <x:f>IF(OR(N491="",N491&gt;기본입력!$C$34),"",기본입력!$C$6)</x:f>
        <x:v>1교육실(실습겸용강의실)_243089</x:v>
      </x:c>
      <x:c r="I491" s="14" t="str">
        <x:f>IF(OR(O491="",N491&gt;기본입력!$C$34),"",VLOOKUP(O491,기본입력!$A$9:$F$33,6,FALSE))</x:f>
        <x:v>Advanced 프로젝트_9</x:v>
      </x:c>
      <x:c r="J491" s="38" t="str">
        <x:f t="shared" si="42"/>
        <x:v>Advanced 프로젝트</x:v>
      </x:c>
      <x:c r="K491" s="38" t="str">
        <x:f t="shared" si="43"/>
        <x:v>1교육실(실습겸용강의실)</x:v>
      </x:c>
      <x:c r="L491" s="38" t="str">
        <x:f t="shared" si="44"/>
        <x:v>양현수</x:v>
      </x:c>
      <x:c r="M491" s="63"/>
      <x:c r="N491" s="30">
        <x:f>IF(F491="2","",COUNTIF($F$3:$F491,"=1"))</x:f>
        <x:v>435</x:v>
      </x:c>
      <x:c r="O491" s="30">
        <x:f t="shared" si="45"/>
        <x:v>6</x:v>
      </x:c>
      <x:c r="P491" s="30">
        <x:f t="shared" si="47"/>
        <x:v>5</x:v>
      </x:c>
      <x:c r="Q491" s="30">
        <x:f>COUNTIF($P$3:P491,"=3")</x:f>
        <x:v>55</x:v>
      </x:c>
      <x:c r="R491" s="29">
        <x:f>WORKDAY(기본입력!$H$2,Q491-1,공휴일)</x:f>
        <x:v>46003</x:v>
      </x:c>
    </x:row>
    <x:row r="492" spans="1:18">
      <x:c r="A492" s="144" t="str">
        <x:f t="shared" si="46"/>
        <x:v>20251212</x:v>
      </x:c>
      <x:c r="B492" s="6" t="s">
        <x:v>5</x:v>
      </x:c>
      <x:c r="C492" s="6">
        <x:v>1740</x:v>
      </x:c>
      <x:c r="D492" s="5" t="s">
        <x:v>1</x:v>
      </x:c>
      <x:c r="E492" s="6" t="s">
        <x:v>88</x:v>
      </x:c>
      <x:c r="F492" s="6" t="s">
        <x:v>40</x:v>
      </x:c>
      <x:c r="G492" s="14" t="str">
        <x:f>IF(OR(N492="",N492&gt;기본입력!$C$34),"",VLOOKUP(O492,기본입력!$A$9:$F$33,5))</x:f>
        <x:v>양현수_53778</x:v>
      </x:c>
      <x:c r="H492" s="14" t="str">
        <x:f>IF(OR(N492="",N492&gt;기본입력!$C$34),"",기본입력!$C$6)</x:f>
        <x:v>1교육실(실습겸용강의실)_243089</x:v>
      </x:c>
      <x:c r="I492" s="14" t="str">
        <x:f>IF(OR(O492="",N492&gt;기본입력!$C$34),"",VLOOKUP(O492,기본입력!$A$9:$F$33,6,FALSE))</x:f>
        <x:v>Advanced 프로젝트_9</x:v>
      </x:c>
      <x:c r="J492" s="38" t="str">
        <x:f t="shared" si="42"/>
        <x:v>Advanced 프로젝트</x:v>
      </x:c>
      <x:c r="K492" s="38" t="str">
        <x:f t="shared" si="43"/>
        <x:v>1교육실(실습겸용강의실)</x:v>
      </x:c>
      <x:c r="L492" s="38" t="str">
        <x:f t="shared" si="44"/>
        <x:v>양현수</x:v>
      </x:c>
      <x:c r="M492" s="63"/>
      <x:c r="N492" s="30">
        <x:f>IF(F492="2","",COUNTIF($F$3:$F492,"=1"))</x:f>
        <x:v>436</x:v>
      </x:c>
      <x:c r="O492" s="30">
        <x:f t="shared" si="45"/>
        <x:v>6</x:v>
      </x:c>
      <x:c r="P492" s="30">
        <x:f t="shared" si="47"/>
        <x:v>6</x:v>
      </x:c>
      <x:c r="Q492" s="30">
        <x:f>COUNTIF($P$3:P492,"=3")</x:f>
        <x:v>55</x:v>
      </x:c>
      <x:c r="R492" s="29">
        <x:f>WORKDAY(기본입력!$H$2,Q492-1,공휴일)</x:f>
        <x:v>46003</x:v>
      </x:c>
    </x:row>
    <x:row r="493" spans="1:18">
      <x:c r="A493" s="144" t="str">
        <x:f t="shared" si="46"/>
        <x:v>20251212</x:v>
      </x:c>
      <x:c r="B493" s="6" t="s">
        <x:v>5</x:v>
      </x:c>
      <x:c r="C493" s="6">
        <x:v>1740</x:v>
      </x:c>
      <x:c r="D493" s="5" t="s">
        <x:v>1</x:v>
      </x:c>
      <x:c r="E493" s="6" t="s">
        <x:v>0</x:v>
      </x:c>
      <x:c r="F493" s="6" t="s">
        <x:v>41</x:v>
      </x:c>
      <x:c r="G493" s="14" t="str">
        <x:f>IF(OR(N493="",N493&gt;기본입력!$C$34),"",VLOOKUP(O493,기본입력!$A$9:$F$33,5))</x:f>
        <x:v/>
      </x:c>
      <x:c r="H493" s="14" t="str">
        <x:f>IF(OR(N493="",N493&gt;기본입력!$C$34),"",기본입력!$C$6)</x:f>
        <x:v/>
      </x:c>
      <x:c r="I493" s="14" t="str">
        <x:f>IF(OR(O493="",N493&gt;기본입력!$C$34),"",VLOOKUP(O493,기본입력!$A$9:$F$33,6,FALSE))</x:f>
        <x:v/>
      </x:c>
      <x:c r="J493" s="38" t="str">
        <x:f t="shared" si="42"/>
        <x:v/>
      </x:c>
      <x:c r="K493" s="38" t="str">
        <x:f t="shared" si="43"/>
        <x:v/>
      </x:c>
      <x:c r="L493" s="38" t="str">
        <x:f t="shared" si="44"/>
        <x:v/>
      </x:c>
      <x:c r="M493" s="63"/>
      <x:c r="N493" s="30" t="str">
        <x:f>IF(F493="2","",COUNTIF($F$3:$F493,"=1"))</x:f>
        <x:v/>
      </x:c>
      <x:c r="O493" s="30" t="str">
        <x:f t="shared" si="45"/>
        <x:v/>
      </x:c>
      <x:c r="P493" s="30">
        <x:f t="shared" si="47"/>
        <x:v>7</x:v>
      </x:c>
      <x:c r="Q493" s="30">
        <x:f>COUNTIF($P$3:P493,"=3")</x:f>
        <x:v>55</x:v>
      </x:c>
      <x:c r="R493" s="29">
        <x:f>WORKDAY(기본입력!$H$2,Q493-1,공휴일)</x:f>
        <x:v>46003</x:v>
      </x:c>
    </x:row>
    <x:row r="494" spans="1:18">
      <x:c r="A494" s="144" t="str">
        <x:f t="shared" si="46"/>
        <x:v>20251212</x:v>
      </x:c>
      <x:c r="B494" s="6" t="s">
        <x:v>5</x:v>
      </x:c>
      <x:c r="C494" s="6">
        <x:v>1740</x:v>
      </x:c>
      <x:c r="D494" s="5" t="s">
        <x:v>1</x:v>
      </x:c>
      <x:c r="E494" s="6">
        <x:v>1340</x:v>
      </x:c>
      <x:c r="F494" s="6" t="s">
        <x:v>40</x:v>
      </x:c>
      <x:c r="G494" s="14" t="str">
        <x:f>IF(OR(N494="",N494&gt;기본입력!$C$34),"",VLOOKUP(O494,기본입력!$A$9:$F$33,5))</x:f>
        <x:v>양현수_53778</x:v>
      </x:c>
      <x:c r="H494" s="14" t="str">
        <x:f>IF(OR(N494="",N494&gt;기본입력!$C$34),"",기본입력!$C$6)</x:f>
        <x:v>1교육실(실습겸용강의실)_243089</x:v>
      </x:c>
      <x:c r="I494" s="14" t="str">
        <x:f>IF(OR(O494="",N494&gt;기본입력!$C$34),"",VLOOKUP(O494,기본입력!$A$9:$F$33,6,FALSE))</x:f>
        <x:v>Advanced 프로젝트_9</x:v>
      </x:c>
      <x:c r="J494" s="38" t="str">
        <x:f t="shared" si="42"/>
        <x:v>Advanced 프로젝트</x:v>
      </x:c>
      <x:c r="K494" s="38" t="str">
        <x:f t="shared" si="43"/>
        <x:v>1교육실(실습겸용강의실)</x:v>
      </x:c>
      <x:c r="L494" s="38" t="str">
        <x:f t="shared" si="44"/>
        <x:v>양현수</x:v>
      </x:c>
      <x:c r="M494" s="63"/>
      <x:c r="N494" s="30">
        <x:f>IF(F494="2","",COUNTIF($F$3:$F494,"=1"))</x:f>
        <x:v>437</x:v>
      </x:c>
      <x:c r="O494" s="30">
        <x:f t="shared" si="45"/>
        <x:v>6</x:v>
      </x:c>
      <x:c r="P494" s="30">
        <x:f t="shared" si="47"/>
        <x:v>8</x:v>
      </x:c>
      <x:c r="Q494" s="30">
        <x:f>COUNTIF($P$3:P494,"=3")</x:f>
        <x:v>55</x:v>
      </x:c>
      <x:c r="R494" s="29">
        <x:f>WORKDAY(기본입력!$H$2,Q494-1,공휴일)</x:f>
        <x:v>46003</x:v>
      </x:c>
    </x:row>
    <x:row r="495" spans="1:18">
      <x:c r="A495" s="144" t="str">
        <x:f t="shared" si="46"/>
        <x:v>20251212</x:v>
      </x:c>
      <x:c r="B495" s="6" t="s">
        <x:v>5</x:v>
      </x:c>
      <x:c r="C495" s="6">
        <x:v>1740</x:v>
      </x:c>
      <x:c r="D495" s="5" t="s">
        <x:v>1</x:v>
      </x:c>
      <x:c r="E495" s="6">
        <x:v>1440</x:v>
      </x:c>
      <x:c r="F495" s="6" t="s">
        <x:v>40</x:v>
      </x:c>
      <x:c r="G495" s="14" t="str">
        <x:f>IF(OR(N495="",N495&gt;기본입력!$C$34),"",VLOOKUP(O495,기본입력!$A$9:$F$33,5))</x:f>
        <x:v>양현수_53778</x:v>
      </x:c>
      <x:c r="H495" s="14" t="str">
        <x:f>IF(OR(N495="",N495&gt;기본입력!$C$34),"",기본입력!$C$6)</x:f>
        <x:v>1교육실(실습겸용강의실)_243089</x:v>
      </x:c>
      <x:c r="I495" s="14" t="str">
        <x:f>IF(OR(O495="",N495&gt;기본입력!$C$34),"",VLOOKUP(O495,기본입력!$A$9:$F$33,6,FALSE))</x:f>
        <x:v>Advanced 프로젝트_9</x:v>
      </x:c>
      <x:c r="J495" s="38" t="str">
        <x:f t="shared" si="42"/>
        <x:v>Advanced 프로젝트</x:v>
      </x:c>
      <x:c r="K495" s="38" t="str">
        <x:f t="shared" si="43"/>
        <x:v>1교육실(실습겸용강의실)</x:v>
      </x:c>
      <x:c r="L495" s="38" t="str">
        <x:f t="shared" si="44"/>
        <x:v>양현수</x:v>
      </x:c>
      <x:c r="M495" s="63"/>
      <x:c r="N495" s="30">
        <x:f>IF(F495="2","",COUNTIF($F$3:$F495,"=1"))</x:f>
        <x:v>438</x:v>
      </x:c>
      <x:c r="O495" s="30">
        <x:f t="shared" si="45"/>
        <x:v>6</x:v>
      </x:c>
      <x:c r="P495" s="30">
        <x:f t="shared" si="47"/>
        <x:v>0</x:v>
      </x:c>
      <x:c r="Q495" s="30">
        <x:f>COUNTIF($P$3:P495,"=3")</x:f>
        <x:v>55</x:v>
      </x:c>
      <x:c r="R495" s="29">
        <x:f>WORKDAY(기본입력!$H$2,Q495-1,공휴일)</x:f>
        <x:v>46003</x:v>
      </x:c>
    </x:row>
    <x:row r="496" spans="1:18">
      <x:c r="A496" s="144" t="str">
        <x:f t="shared" si="46"/>
        <x:v>20251212</x:v>
      </x:c>
      <x:c r="B496" s="6" t="s">
        <x:v>5</x:v>
      </x:c>
      <x:c r="C496" s="6">
        <x:v>1740</x:v>
      </x:c>
      <x:c r="D496" s="5" t="s">
        <x:v>1</x:v>
      </x:c>
      <x:c r="E496" s="6">
        <x:v>1540</x:v>
      </x:c>
      <x:c r="F496" s="6" t="s">
        <x:v>40</x:v>
      </x:c>
      <x:c r="G496" s="14" t="str">
        <x:f>IF(OR(N496="",N496&gt;기본입력!$C$34),"",VLOOKUP(O496,기본입력!$A$9:$F$33,5))</x:f>
        <x:v>양현수_53778</x:v>
      </x:c>
      <x:c r="H496" s="14" t="str">
        <x:f>IF(OR(N496="",N496&gt;기본입력!$C$34),"",기본입력!$C$6)</x:f>
        <x:v>1교육실(실습겸용강의실)_243089</x:v>
      </x:c>
      <x:c r="I496" s="14" t="str">
        <x:f>IF(OR(O496="",N496&gt;기본입력!$C$34),"",VLOOKUP(O496,기본입력!$A$9:$F$33,6,FALSE))</x:f>
        <x:v>Advanced 프로젝트_9</x:v>
      </x:c>
      <x:c r="J496" s="38" t="str">
        <x:f t="shared" si="42"/>
        <x:v>Advanced 프로젝트</x:v>
      </x:c>
      <x:c r="K496" s="38" t="str">
        <x:f t="shared" si="43"/>
        <x:v>1교육실(실습겸용강의실)</x:v>
      </x:c>
      <x:c r="L496" s="38" t="str">
        <x:f t="shared" si="44"/>
        <x:v>양현수</x:v>
      </x:c>
      <x:c r="M496" s="63"/>
      <x:c r="N496" s="30">
        <x:f>IF(F496="2","",COUNTIF($F$3:$F496,"=1"))</x:f>
        <x:v>439</x:v>
      </x:c>
      <x:c r="O496" s="30">
        <x:f t="shared" si="45"/>
        <x:v>6</x:v>
      </x:c>
      <x:c r="P496" s="30">
        <x:f t="shared" si="47"/>
        <x:v>1</x:v>
      </x:c>
      <x:c r="Q496" s="30">
        <x:f>COUNTIF($P$3:P496,"=3")</x:f>
        <x:v>55</x:v>
      </x:c>
      <x:c r="R496" s="29">
        <x:f>WORKDAY(기본입력!$H$2,Q496-1,공휴일)</x:f>
        <x:v>46003</x:v>
      </x:c>
    </x:row>
    <x:row r="497" spans="1:18">
      <x:c r="A497" s="144" t="str">
        <x:f t="shared" si="46"/>
        <x:v>20251212</x:v>
      </x:c>
      <x:c r="B497" s="6" t="s">
        <x:v>5</x:v>
      </x:c>
      <x:c r="C497" s="6">
        <x:v>1740</x:v>
      </x:c>
      <x:c r="D497" s="5" t="s">
        <x:v>1</x:v>
      </x:c>
      <x:c r="E497" s="6">
        <x:v>1640</x:v>
      </x:c>
      <x:c r="F497" s="6" t="s">
        <x:v>40</x:v>
      </x:c>
      <x:c r="G497" s="14" t="str">
        <x:f>IF(OR(N497="",N497&gt;기본입력!$C$34),"",VLOOKUP(O497,기본입력!$A$9:$F$33,5))</x:f>
        <x:v>양현수_53778</x:v>
      </x:c>
      <x:c r="H497" s="14" t="str">
        <x:f>IF(OR(N497="",N497&gt;기본입력!$C$34),"",기본입력!$C$6)</x:f>
        <x:v>1교육실(실습겸용강의실)_243089</x:v>
      </x:c>
      <x:c r="I497" s="14" t="str">
        <x:f>IF(OR(O497="",N497&gt;기본입력!$C$34),"",VLOOKUP(O497,기본입력!$A$9:$F$33,6,FALSE))</x:f>
        <x:v>Advanced 프로젝트_9</x:v>
      </x:c>
      <x:c r="J497" s="38" t="str">
        <x:f t="shared" si="42"/>
        <x:v>Advanced 프로젝트</x:v>
      </x:c>
      <x:c r="K497" s="38" t="str">
        <x:f t="shared" si="43"/>
        <x:v>1교육실(실습겸용강의실)</x:v>
      </x:c>
      <x:c r="L497" s="38" t="str">
        <x:f t="shared" si="44"/>
        <x:v>양현수</x:v>
      </x:c>
      <x:c r="M497" s="63"/>
      <x:c r="N497" s="30">
        <x:f>IF(F497="2","",COUNTIF($F$3:$F497,"=1"))</x:f>
        <x:v>440</x:v>
      </x:c>
      <x:c r="O497" s="30">
        <x:f t="shared" si="45"/>
        <x:v>6</x:v>
      </x:c>
      <x:c r="P497" s="30">
        <x:f t="shared" si="47"/>
        <x:v>2</x:v>
      </x:c>
      <x:c r="Q497" s="30">
        <x:f>COUNTIF($P$3:P497,"=3")</x:f>
        <x:v>55</x:v>
      </x:c>
      <x:c r="R497" s="29">
        <x:f>WORKDAY(기본입력!$H$2,Q497-1,공휴일)</x:f>
        <x:v>46003</x:v>
      </x:c>
    </x:row>
    <x:row r="498" spans="1:18">
      <x:c r="A498" s="145" t="str">
        <x:f t="shared" si="46"/>
        <x:v>20251215</x:v>
      </x:c>
      <x:c r="B498" s="8" t="s">
        <x:v>5</x:v>
      </x:c>
      <x:c r="C498" s="8">
        <x:v>1740</x:v>
      </x:c>
      <x:c r="D498" s="7" t="s">
        <x:v>1</x:v>
      </x:c>
      <x:c r="E498" s="8" t="s">
        <x:v>5</x:v>
      </x:c>
      <x:c r="F498" s="8" t="s">
        <x:v>40</x:v>
      </x:c>
      <x:c r="G498" s="15" t="str">
        <x:f>IF(OR(N498="",N498&gt;기본입력!$C$34),"",VLOOKUP(O498,기본입력!$A$9:$F$33,5))</x:f>
        <x:v>양현수_53778</x:v>
      </x:c>
      <x:c r="H498" s="15" t="str">
        <x:f>IF(OR(N498="",N498&gt;기본입력!$C$34),"",기본입력!$C$6)</x:f>
        <x:v>1교육실(실습겸용강의실)_243089</x:v>
      </x:c>
      <x:c r="I498" s="15" t="str">
        <x:f>IF(OR(O498="",N498&gt;기본입력!$C$34),"",VLOOKUP(O498,기본입력!$A$9:$F$33,6,FALSE))</x:f>
        <x:v>Advanced 프로젝트_9</x:v>
      </x:c>
      <x:c r="J498" s="38" t="str">
        <x:f t="shared" ref="J498:J561" si="48">IF(F498="2","",LEFT(I498,FIND("_",I498,2)-1))</x:f>
        <x:v>Advanced 프로젝트</x:v>
      </x:c>
      <x:c r="K498" s="38" t="str">
        <x:f t="shared" ref="K498:K561" si="49">IF(F498="2","",LEFT(H498,FIND("_",H498,2)-1))</x:f>
        <x:v>1교육실(실습겸용강의실)</x:v>
      </x:c>
      <x:c r="L498" s="38" t="str">
        <x:f t="shared" ref="L498:L561" si="50">IF(F498="2","",LEFT(G498,FIND("_",G498,2)-1))</x:f>
        <x:v>양현수</x:v>
      </x:c>
      <x:c r="M498" s="63"/>
      <x:c r="N498" s="30">
        <x:f>IF(F498="2","",COUNTIF($F$3:$F498,"=1"))</x:f>
        <x:v>441</x:v>
      </x:c>
      <x:c r="O498" s="30">
        <x:f t="shared" si="45"/>
        <x:v>6</x:v>
      </x:c>
      <x:c r="P498" s="30">
        <x:f t="shared" si="47"/>
        <x:v>3</x:v>
      </x:c>
      <x:c r="Q498" s="30">
        <x:f>COUNTIF($P$3:P498,"=3")</x:f>
        <x:v>56</x:v>
      </x:c>
      <x:c r="R498" s="29">
        <x:f>WORKDAY(기본입력!$H$2,Q498-1,공휴일)</x:f>
        <x:v>46006</x:v>
      </x:c>
    </x:row>
    <x:row r="499" spans="1:18">
      <x:c r="A499" s="145" t="str">
        <x:f t="shared" si="46"/>
        <x:v>20251215</x:v>
      </x:c>
      <x:c r="B499" s="8" t="s">
        <x:v>5</x:v>
      </x:c>
      <x:c r="C499" s="8">
        <x:v>1740</x:v>
      </x:c>
      <x:c r="D499" s="7" t="s">
        <x:v>1</x:v>
      </x:c>
      <x:c r="E499" s="8" t="s">
        <x:v>117</x:v>
      </x:c>
      <x:c r="F499" s="8" t="s">
        <x:v>40</x:v>
      </x:c>
      <x:c r="G499" s="15" t="str">
        <x:f>IF(OR(N499="",N499&gt;기본입력!$C$34),"",VLOOKUP(O499,기본입력!$A$9:$F$33,5))</x:f>
        <x:v>양현수_53778</x:v>
      </x:c>
      <x:c r="H499" s="15" t="str">
        <x:f>IF(OR(N499="",N499&gt;기본입력!$C$34),"",기본입력!$C$6)</x:f>
        <x:v>1교육실(실습겸용강의실)_243089</x:v>
      </x:c>
      <x:c r="I499" s="15" t="str">
        <x:f>IF(OR(O499="",N499&gt;기본입력!$C$34),"",VLOOKUP(O499,기본입력!$A$9:$F$33,6,FALSE))</x:f>
        <x:v>Advanced 프로젝트_9</x:v>
      </x:c>
      <x:c r="J499" s="38" t="str">
        <x:f t="shared" si="48"/>
        <x:v>Advanced 프로젝트</x:v>
      </x:c>
      <x:c r="K499" s="38" t="str">
        <x:f t="shared" si="49"/>
        <x:v>1교육실(실습겸용강의실)</x:v>
      </x:c>
      <x:c r="L499" s="38" t="str">
        <x:f t="shared" si="50"/>
        <x:v>양현수</x:v>
      </x:c>
      <x:c r="M499" s="63"/>
      <x:c r="N499" s="30">
        <x:f>IF(F499="2","",COUNTIF($F$3:$F499,"=1"))</x:f>
        <x:v>442</x:v>
      </x:c>
      <x:c r="O499" s="30">
        <x:f t="shared" si="45"/>
        <x:v>6</x:v>
      </x:c>
      <x:c r="P499" s="30">
        <x:f t="shared" si="47"/>
        <x:v>4</x:v>
      </x:c>
      <x:c r="Q499" s="30">
        <x:f>COUNTIF($P$3:P499,"=3")</x:f>
        <x:v>56</x:v>
      </x:c>
      <x:c r="R499" s="29">
        <x:f>WORKDAY(기본입력!$H$2,Q499-1,공휴일)</x:f>
        <x:v>46006</x:v>
      </x:c>
    </x:row>
    <x:row r="500" spans="1:18">
      <x:c r="A500" s="145" t="str">
        <x:f t="shared" si="46"/>
        <x:v>20251215</x:v>
      </x:c>
      <x:c r="B500" s="8" t="s">
        <x:v>5</x:v>
      </x:c>
      <x:c r="C500" s="8">
        <x:v>1740</x:v>
      </x:c>
      <x:c r="D500" s="7" t="s">
        <x:v>1</x:v>
      </x:c>
      <x:c r="E500" s="8" t="s">
        <x:v>87</x:v>
      </x:c>
      <x:c r="F500" s="8" t="s">
        <x:v>40</x:v>
      </x:c>
      <x:c r="G500" s="15" t="str">
        <x:f>IF(OR(N500="",N500&gt;기본입력!$C$34),"",VLOOKUP(O500,기본입력!$A$9:$F$33,5))</x:f>
        <x:v>양현수_53778</x:v>
      </x:c>
      <x:c r="H500" s="15" t="str">
        <x:f>IF(OR(N500="",N500&gt;기본입력!$C$34),"",기본입력!$C$6)</x:f>
        <x:v>1교육실(실습겸용강의실)_243089</x:v>
      </x:c>
      <x:c r="I500" s="15" t="str">
        <x:f>IF(OR(O500="",N500&gt;기본입력!$C$34),"",VLOOKUP(O500,기본입력!$A$9:$F$33,6,FALSE))</x:f>
        <x:v>Advanced 프로젝트_9</x:v>
      </x:c>
      <x:c r="J500" s="38" t="str">
        <x:f t="shared" si="48"/>
        <x:v>Advanced 프로젝트</x:v>
      </x:c>
      <x:c r="K500" s="38" t="str">
        <x:f t="shared" si="49"/>
        <x:v>1교육실(실습겸용강의실)</x:v>
      </x:c>
      <x:c r="L500" s="38" t="str">
        <x:f t="shared" si="50"/>
        <x:v>양현수</x:v>
      </x:c>
      <x:c r="M500" s="63"/>
      <x:c r="N500" s="30">
        <x:f>IF(F500="2","",COUNTIF($F$3:$F500,"=1"))</x:f>
        <x:v>443</x:v>
      </x:c>
      <x:c r="O500" s="30">
        <x:f t="shared" si="45"/>
        <x:v>6</x:v>
      </x:c>
      <x:c r="P500" s="30">
        <x:f t="shared" si="47"/>
        <x:v>5</x:v>
      </x:c>
      <x:c r="Q500" s="30">
        <x:f>COUNTIF($P$3:P500,"=3")</x:f>
        <x:v>56</x:v>
      </x:c>
      <x:c r="R500" s="29">
        <x:f>WORKDAY(기본입력!$H$2,Q500-1,공휴일)</x:f>
        <x:v>46006</x:v>
      </x:c>
    </x:row>
    <x:row r="501" spans="1:18">
      <x:c r="A501" s="145" t="str">
        <x:f t="shared" si="46"/>
        <x:v>20251215</x:v>
      </x:c>
      <x:c r="B501" s="8" t="s">
        <x:v>5</x:v>
      </x:c>
      <x:c r="C501" s="8">
        <x:v>1740</x:v>
      </x:c>
      <x:c r="D501" s="7" t="s">
        <x:v>1</x:v>
      </x:c>
      <x:c r="E501" s="8" t="s">
        <x:v>88</x:v>
      </x:c>
      <x:c r="F501" s="8" t="s">
        <x:v>40</x:v>
      </x:c>
      <x:c r="G501" s="15" t="str">
        <x:f>IF(OR(N501="",N501&gt;기본입력!$C$34),"",VLOOKUP(O501,기본입력!$A$9:$F$33,5))</x:f>
        <x:v>양현수_53778</x:v>
      </x:c>
      <x:c r="H501" s="15" t="str">
        <x:f>IF(OR(N501="",N501&gt;기본입력!$C$34),"",기본입력!$C$6)</x:f>
        <x:v>1교육실(실습겸용강의실)_243089</x:v>
      </x:c>
      <x:c r="I501" s="15" t="str">
        <x:f>IF(OR(O501="",N501&gt;기본입력!$C$34),"",VLOOKUP(O501,기본입력!$A$9:$F$33,6,FALSE))</x:f>
        <x:v>Advanced 프로젝트_9</x:v>
      </x:c>
      <x:c r="J501" s="38" t="str">
        <x:f t="shared" si="48"/>
        <x:v>Advanced 프로젝트</x:v>
      </x:c>
      <x:c r="K501" s="38" t="str">
        <x:f t="shared" si="49"/>
        <x:v>1교육실(실습겸용강의실)</x:v>
      </x:c>
      <x:c r="L501" s="38" t="str">
        <x:f t="shared" si="50"/>
        <x:v>양현수</x:v>
      </x:c>
      <x:c r="M501" s="63"/>
      <x:c r="N501" s="30">
        <x:f>IF(F501="2","",COUNTIF($F$3:$F501,"=1"))</x:f>
        <x:v>444</x:v>
      </x:c>
      <x:c r="O501" s="30">
        <x:f t="shared" si="45"/>
        <x:v>6</x:v>
      </x:c>
      <x:c r="P501" s="30">
        <x:f t="shared" si="47"/>
        <x:v>6</x:v>
      </x:c>
      <x:c r="Q501" s="30">
        <x:f>COUNTIF($P$3:P501,"=3")</x:f>
        <x:v>56</x:v>
      </x:c>
      <x:c r="R501" s="29">
        <x:f>WORKDAY(기본입력!$H$2,Q501-1,공휴일)</x:f>
        <x:v>46006</x:v>
      </x:c>
    </x:row>
    <x:row r="502" spans="1:18">
      <x:c r="A502" s="145" t="str">
        <x:f t="shared" si="46"/>
        <x:v>20251215</x:v>
      </x:c>
      <x:c r="B502" s="8" t="s">
        <x:v>5</x:v>
      </x:c>
      <x:c r="C502" s="8">
        <x:v>1740</x:v>
      </x:c>
      <x:c r="D502" s="7" t="s">
        <x:v>1</x:v>
      </x:c>
      <x:c r="E502" s="8" t="s">
        <x:v>0</x:v>
      </x:c>
      <x:c r="F502" s="8" t="s">
        <x:v>41</x:v>
      </x:c>
      <x:c r="G502" s="15" t="str">
        <x:f>IF(OR(N502="",N502&gt;기본입력!$C$34),"",VLOOKUP(O502,기본입력!$A$9:$F$33,5))</x:f>
        <x:v/>
      </x:c>
      <x:c r="H502" s="15" t="str">
        <x:f>IF(OR(N502="",N502&gt;기본입력!$C$34),"",기본입력!$C$6)</x:f>
        <x:v/>
      </x:c>
      <x:c r="I502" s="15" t="str">
        <x:f>IF(OR(O502="",N502&gt;기본입력!$C$34),"",VLOOKUP(O502,기본입력!$A$9:$F$33,6,FALSE))</x:f>
        <x:v/>
      </x:c>
      <x:c r="J502" s="38" t="str">
        <x:f t="shared" si="48"/>
        <x:v/>
      </x:c>
      <x:c r="K502" s="38" t="str">
        <x:f t="shared" si="49"/>
        <x:v/>
      </x:c>
      <x:c r="L502" s="38" t="str">
        <x:f t="shared" si="50"/>
        <x:v/>
      </x:c>
      <x:c r="M502" s="63"/>
      <x:c r="N502" s="30" t="str">
        <x:f>IF(F502="2","",COUNTIF($F$3:$F502,"=1"))</x:f>
        <x:v/>
      </x:c>
      <x:c r="O502" s="30" t="str">
        <x:f t="shared" si="45"/>
        <x:v/>
      </x:c>
      <x:c r="P502" s="30">
        <x:f t="shared" si="47"/>
        <x:v>7</x:v>
      </x:c>
      <x:c r="Q502" s="30">
        <x:f>COUNTIF($P$3:P502,"=3")</x:f>
        <x:v>56</x:v>
      </x:c>
      <x:c r="R502" s="29">
        <x:f>WORKDAY(기본입력!$H$2,Q502-1,공휴일)</x:f>
        <x:v>46006</x:v>
      </x:c>
    </x:row>
    <x:row r="503" spans="1:18">
      <x:c r="A503" s="145" t="str">
        <x:f t="shared" si="46"/>
        <x:v>20251215</x:v>
      </x:c>
      <x:c r="B503" s="8" t="s">
        <x:v>5</x:v>
      </x:c>
      <x:c r="C503" s="8">
        <x:v>1740</x:v>
      </x:c>
      <x:c r="D503" s="7" t="s">
        <x:v>1</x:v>
      </x:c>
      <x:c r="E503" s="8">
        <x:v>1340</x:v>
      </x:c>
      <x:c r="F503" s="8" t="s">
        <x:v>40</x:v>
      </x:c>
      <x:c r="G503" s="15" t="str">
        <x:f>IF(OR(N503="",N503&gt;기본입력!$C$34),"",VLOOKUP(O503,기본입력!$A$9:$F$33,5))</x:f>
        <x:v>양현수_53778</x:v>
      </x:c>
      <x:c r="H503" s="15" t="str">
        <x:f>IF(OR(N503="",N503&gt;기본입력!$C$34),"",기본입력!$C$6)</x:f>
        <x:v>1교육실(실습겸용강의실)_243089</x:v>
      </x:c>
      <x:c r="I503" s="15" t="str">
        <x:f>IF(OR(O503="",N503&gt;기본입력!$C$34),"",VLOOKUP(O503,기본입력!$A$9:$F$33,6,FALSE))</x:f>
        <x:v>Advanced 프로젝트_9</x:v>
      </x:c>
      <x:c r="J503" s="38" t="str">
        <x:f t="shared" si="48"/>
        <x:v>Advanced 프로젝트</x:v>
      </x:c>
      <x:c r="K503" s="38" t="str">
        <x:f t="shared" si="49"/>
        <x:v>1교육실(실습겸용강의실)</x:v>
      </x:c>
      <x:c r="L503" s="38" t="str">
        <x:f t="shared" si="50"/>
        <x:v>양현수</x:v>
      </x:c>
      <x:c r="M503" s="63"/>
      <x:c r="N503" s="30">
        <x:f>IF(F503="2","",COUNTIF($F$3:$F503,"=1"))</x:f>
        <x:v>445</x:v>
      </x:c>
      <x:c r="O503" s="30">
        <x:f t="shared" si="45"/>
        <x:v>6</x:v>
      </x:c>
      <x:c r="P503" s="30">
        <x:f t="shared" si="47"/>
        <x:v>8</x:v>
      </x:c>
      <x:c r="Q503" s="30">
        <x:f>COUNTIF($P$3:P503,"=3")</x:f>
        <x:v>56</x:v>
      </x:c>
      <x:c r="R503" s="29">
        <x:f>WORKDAY(기본입력!$H$2,Q503-1,공휴일)</x:f>
        <x:v>46006</x:v>
      </x:c>
    </x:row>
    <x:row r="504" spans="1:18">
      <x:c r="A504" s="145" t="str">
        <x:f t="shared" si="46"/>
        <x:v>20251215</x:v>
      </x:c>
      <x:c r="B504" s="8" t="s">
        <x:v>5</x:v>
      </x:c>
      <x:c r="C504" s="8">
        <x:v>1740</x:v>
      </x:c>
      <x:c r="D504" s="7" t="s">
        <x:v>1</x:v>
      </x:c>
      <x:c r="E504" s="8">
        <x:v>1440</x:v>
      </x:c>
      <x:c r="F504" s="8" t="s">
        <x:v>40</x:v>
      </x:c>
      <x:c r="G504" s="15" t="str">
        <x:f>IF(OR(N504="",N504&gt;기본입력!$C$34),"",VLOOKUP(O504,기본입력!$A$9:$F$33,5))</x:f>
        <x:v>양현수_53778</x:v>
      </x:c>
      <x:c r="H504" s="15" t="str">
        <x:f>IF(OR(N504="",N504&gt;기본입력!$C$34),"",기본입력!$C$6)</x:f>
        <x:v>1교육실(실습겸용강의실)_243089</x:v>
      </x:c>
      <x:c r="I504" s="15" t="str">
        <x:f>IF(OR(O504="",N504&gt;기본입력!$C$34),"",VLOOKUP(O504,기본입력!$A$9:$F$33,6,FALSE))</x:f>
        <x:v>Advanced 프로젝트_9</x:v>
      </x:c>
      <x:c r="J504" s="38" t="str">
        <x:f t="shared" si="48"/>
        <x:v>Advanced 프로젝트</x:v>
      </x:c>
      <x:c r="K504" s="38" t="str">
        <x:f t="shared" si="49"/>
        <x:v>1교육실(실습겸용강의실)</x:v>
      </x:c>
      <x:c r="L504" s="38" t="str">
        <x:f t="shared" si="50"/>
        <x:v>양현수</x:v>
      </x:c>
      <x:c r="M504" s="63"/>
      <x:c r="N504" s="30">
        <x:f>IF(F504="2","",COUNTIF($F$3:$F504,"=1"))</x:f>
        <x:v>446</x:v>
      </x:c>
      <x:c r="O504" s="30">
        <x:f t="shared" si="45"/>
        <x:v>6</x:v>
      </x:c>
      <x:c r="P504" s="30">
        <x:f t="shared" si="47"/>
        <x:v>0</x:v>
      </x:c>
      <x:c r="Q504" s="30">
        <x:f>COUNTIF($P$3:P504,"=3")</x:f>
        <x:v>56</x:v>
      </x:c>
      <x:c r="R504" s="29">
        <x:f>WORKDAY(기본입력!$H$2,Q504-1,공휴일)</x:f>
        <x:v>46006</x:v>
      </x:c>
    </x:row>
    <x:row r="505" spans="1:18">
      <x:c r="A505" s="145" t="str">
        <x:f t="shared" si="46"/>
        <x:v>20251215</x:v>
      </x:c>
      <x:c r="B505" s="8" t="s">
        <x:v>5</x:v>
      </x:c>
      <x:c r="C505" s="8">
        <x:v>1740</x:v>
      </x:c>
      <x:c r="D505" s="7" t="s">
        <x:v>1</x:v>
      </x:c>
      <x:c r="E505" s="8">
        <x:v>1540</x:v>
      </x:c>
      <x:c r="F505" s="8" t="s">
        <x:v>40</x:v>
      </x:c>
      <x:c r="G505" s="15" t="str">
        <x:f>IF(OR(N505="",N505&gt;기본입력!$C$34),"",VLOOKUP(O505,기본입력!$A$9:$F$33,5))</x:f>
        <x:v>양현수_53778</x:v>
      </x:c>
      <x:c r="H505" s="15" t="str">
        <x:f>IF(OR(N505="",N505&gt;기본입력!$C$34),"",기본입력!$C$6)</x:f>
        <x:v>1교육실(실습겸용강의실)_243089</x:v>
      </x:c>
      <x:c r="I505" s="15" t="str">
        <x:f>IF(OR(O505="",N505&gt;기본입력!$C$34),"",VLOOKUP(O505,기본입력!$A$9:$F$33,6,FALSE))</x:f>
        <x:v>Advanced 프로젝트_9</x:v>
      </x:c>
      <x:c r="J505" s="38" t="str">
        <x:f t="shared" si="48"/>
        <x:v>Advanced 프로젝트</x:v>
      </x:c>
      <x:c r="K505" s="38" t="str">
        <x:f t="shared" si="49"/>
        <x:v>1교육실(실습겸용강의실)</x:v>
      </x:c>
      <x:c r="L505" s="38" t="str">
        <x:f t="shared" si="50"/>
        <x:v>양현수</x:v>
      </x:c>
      <x:c r="M505" s="63"/>
      <x:c r="N505" s="30">
        <x:f>IF(F505="2","",COUNTIF($F$3:$F505,"=1"))</x:f>
        <x:v>447</x:v>
      </x:c>
      <x:c r="O505" s="30">
        <x:f t="shared" si="45"/>
        <x:v>6</x:v>
      </x:c>
      <x:c r="P505" s="30">
        <x:f t="shared" si="47"/>
        <x:v>1</x:v>
      </x:c>
      <x:c r="Q505" s="30">
        <x:f>COUNTIF($P$3:P505,"=3")</x:f>
        <x:v>56</x:v>
      </x:c>
      <x:c r="R505" s="29">
        <x:f>WORKDAY(기본입력!$H$2,Q505-1,공휴일)</x:f>
        <x:v>46006</x:v>
      </x:c>
    </x:row>
    <x:row r="506" spans="1:18">
      <x:c r="A506" s="145" t="str">
        <x:f t="shared" si="46"/>
        <x:v>20251215</x:v>
      </x:c>
      <x:c r="B506" s="8" t="s">
        <x:v>5</x:v>
      </x:c>
      <x:c r="C506" s="8">
        <x:v>1740</x:v>
      </x:c>
      <x:c r="D506" s="7" t="s">
        <x:v>1</x:v>
      </x:c>
      <x:c r="E506" s="8">
        <x:v>1640</x:v>
      </x:c>
      <x:c r="F506" s="8" t="s">
        <x:v>40</x:v>
      </x:c>
      <x:c r="G506" s="15" t="str">
        <x:f>IF(OR(N506="",N506&gt;기본입력!$C$34),"",VLOOKUP(O506,기본입력!$A$9:$F$33,5))</x:f>
        <x:v>양현수_53778</x:v>
      </x:c>
      <x:c r="H506" s="15" t="str">
        <x:f>IF(OR(N506="",N506&gt;기본입력!$C$34),"",기본입력!$C$6)</x:f>
        <x:v>1교육실(실습겸용강의실)_243089</x:v>
      </x:c>
      <x:c r="I506" s="15" t="str">
        <x:f>IF(OR(O506="",N506&gt;기본입력!$C$34),"",VLOOKUP(O506,기본입력!$A$9:$F$33,6,FALSE))</x:f>
        <x:v>Advanced 프로젝트_9</x:v>
      </x:c>
      <x:c r="J506" s="38" t="str">
        <x:f t="shared" si="48"/>
        <x:v>Advanced 프로젝트</x:v>
      </x:c>
      <x:c r="K506" s="38" t="str">
        <x:f t="shared" si="49"/>
        <x:v>1교육실(실습겸용강의실)</x:v>
      </x:c>
      <x:c r="L506" s="38" t="str">
        <x:f t="shared" si="50"/>
        <x:v>양현수</x:v>
      </x:c>
      <x:c r="M506" s="63"/>
      <x:c r="N506" s="30">
        <x:f>IF(F506="2","",COUNTIF($F$3:$F506,"=1"))</x:f>
        <x:v>448</x:v>
      </x:c>
      <x:c r="O506" s="30">
        <x:f t="shared" si="45"/>
        <x:v>6</x:v>
      </x:c>
      <x:c r="P506" s="30">
        <x:f t="shared" si="47"/>
        <x:v>2</x:v>
      </x:c>
      <x:c r="Q506" s="30">
        <x:f>COUNTIF($P$3:P506,"=3")</x:f>
        <x:v>56</x:v>
      </x:c>
      <x:c r="R506" s="29">
        <x:f>WORKDAY(기본입력!$H$2,Q506-1,공휴일)</x:f>
        <x:v>46006</x:v>
      </x:c>
    </x:row>
    <x:row r="507" spans="1:18">
      <x:c r="A507" s="144" t="str">
        <x:f t="shared" si="46"/>
        <x:v>20251216</x:v>
      </x:c>
      <x:c r="B507" s="6" t="s">
        <x:v>5</x:v>
      </x:c>
      <x:c r="C507" s="6">
        <x:v>1740</x:v>
      </x:c>
      <x:c r="D507" s="5" t="s">
        <x:v>1</x:v>
      </x:c>
      <x:c r="E507" s="6" t="s">
        <x:v>5</x:v>
      </x:c>
      <x:c r="F507" s="6" t="s">
        <x:v>40</x:v>
      </x:c>
      <x:c r="G507" s="14" t="str">
        <x:f>IF(OR(N507="",N507&gt;기본입력!$C$34),"",VLOOKUP(O507,기본입력!$A$9:$F$33,5))</x:f>
        <x:v>양현수_53778</x:v>
      </x:c>
      <x:c r="H507" s="14" t="str">
        <x:f>IF(OR(N507="",N507&gt;기본입력!$C$34),"",기본입력!$C$6)</x:f>
        <x:v>1교육실(실습겸용강의실)_243089</x:v>
      </x:c>
      <x:c r="I507" s="14" t="str">
        <x:f>IF(OR(O507="",N507&gt;기본입력!$C$34),"",VLOOKUP(O507,기본입력!$A$9:$F$33,6,FALSE))</x:f>
        <x:v>Advanced 프로젝트_9</x:v>
      </x:c>
      <x:c r="J507" s="38" t="str">
        <x:f t="shared" si="48"/>
        <x:v>Advanced 프로젝트</x:v>
      </x:c>
      <x:c r="K507" s="38" t="str">
        <x:f t="shared" si="49"/>
        <x:v>1교육실(실습겸용강의실)</x:v>
      </x:c>
      <x:c r="L507" s="38" t="str">
        <x:f t="shared" si="50"/>
        <x:v>양현수</x:v>
      </x:c>
      <x:c r="M507" s="63"/>
      <x:c r="N507" s="30">
        <x:f>IF(F507="2","",COUNTIF($F$3:$F507,"=1"))</x:f>
        <x:v>449</x:v>
      </x:c>
      <x:c r="O507" s="30">
        <x:f t="shared" si="45"/>
        <x:v>6</x:v>
      </x:c>
      <x:c r="P507" s="30">
        <x:f t="shared" si="47"/>
        <x:v>3</x:v>
      </x:c>
      <x:c r="Q507" s="30">
        <x:f>COUNTIF($P$3:P507,"=3")</x:f>
        <x:v>57</x:v>
      </x:c>
      <x:c r="R507" s="29">
        <x:f>WORKDAY(기본입력!$H$2,Q507-1,공휴일)</x:f>
        <x:v>46007</x:v>
      </x:c>
    </x:row>
    <x:row r="508" spans="1:18">
      <x:c r="A508" s="144" t="str">
        <x:f t="shared" si="46"/>
        <x:v>20251216</x:v>
      </x:c>
      <x:c r="B508" s="6" t="s">
        <x:v>5</x:v>
      </x:c>
      <x:c r="C508" s="6">
        <x:v>1740</x:v>
      </x:c>
      <x:c r="D508" s="5" t="s">
        <x:v>1</x:v>
      </x:c>
      <x:c r="E508" s="6" t="s">
        <x:v>117</x:v>
      </x:c>
      <x:c r="F508" s="6" t="s">
        <x:v>40</x:v>
      </x:c>
      <x:c r="G508" s="14" t="str">
        <x:f>IF(OR(N508="",N508&gt;기본입력!$C$34),"",VLOOKUP(O508,기본입력!$A$9:$F$33,5))</x:f>
        <x:v>양현수_53778</x:v>
      </x:c>
      <x:c r="H508" s="14" t="str">
        <x:f>IF(OR(N508="",N508&gt;기본입력!$C$34),"",기본입력!$C$6)</x:f>
        <x:v>1교육실(실습겸용강의실)_243089</x:v>
      </x:c>
      <x:c r="I508" s="14" t="str">
        <x:f>IF(OR(O508="",N508&gt;기본입력!$C$34),"",VLOOKUP(O508,기본입력!$A$9:$F$33,6,FALSE))</x:f>
        <x:v>Advanced 프로젝트_9</x:v>
      </x:c>
      <x:c r="J508" s="38" t="str">
        <x:f t="shared" si="48"/>
        <x:v>Advanced 프로젝트</x:v>
      </x:c>
      <x:c r="K508" s="38" t="str">
        <x:f t="shared" si="49"/>
        <x:v>1교육실(실습겸용강의실)</x:v>
      </x:c>
      <x:c r="L508" s="38" t="str">
        <x:f t="shared" si="50"/>
        <x:v>양현수</x:v>
      </x:c>
      <x:c r="M508" s="63"/>
      <x:c r="N508" s="30">
        <x:f>IF(F508="2","",COUNTIF($F$3:$F508,"=1"))</x:f>
        <x:v>450</x:v>
      </x:c>
      <x:c r="O508" s="30">
        <x:f t="shared" si="45"/>
        <x:v>6</x:v>
      </x:c>
      <x:c r="P508" s="30">
        <x:f t="shared" si="47"/>
        <x:v>4</x:v>
      </x:c>
      <x:c r="Q508" s="30">
        <x:f>COUNTIF($P$3:P508,"=3")</x:f>
        <x:v>57</x:v>
      </x:c>
      <x:c r="R508" s="29">
        <x:f>WORKDAY(기본입력!$H$2,Q508-1,공휴일)</x:f>
        <x:v>46007</x:v>
      </x:c>
    </x:row>
    <x:row r="509" spans="1:18">
      <x:c r="A509" s="144" t="str">
        <x:f t="shared" si="46"/>
        <x:v>20251216</x:v>
      </x:c>
      <x:c r="B509" s="6" t="s">
        <x:v>5</x:v>
      </x:c>
      <x:c r="C509" s="6">
        <x:v>1740</x:v>
      </x:c>
      <x:c r="D509" s="5" t="s">
        <x:v>1</x:v>
      </x:c>
      <x:c r="E509" s="6" t="s">
        <x:v>87</x:v>
      </x:c>
      <x:c r="F509" s="6" t="s">
        <x:v>40</x:v>
      </x:c>
      <x:c r="G509" s="14" t="str">
        <x:f>IF(OR(N509="",N509&gt;기본입력!$C$34),"",VLOOKUP(O509,기본입력!$A$9:$F$33,5))</x:f>
        <x:v>양현수_53778</x:v>
      </x:c>
      <x:c r="H509" s="14" t="str">
        <x:f>IF(OR(N509="",N509&gt;기본입력!$C$34),"",기본입력!$C$6)</x:f>
        <x:v>1교육실(실습겸용강의실)_243089</x:v>
      </x:c>
      <x:c r="I509" s="14" t="str">
        <x:f>IF(OR(O509="",N509&gt;기본입력!$C$34),"",VLOOKUP(O509,기본입력!$A$9:$F$33,6,FALSE))</x:f>
        <x:v>Advanced 프로젝트_9</x:v>
      </x:c>
      <x:c r="J509" s="38" t="str">
        <x:f t="shared" si="48"/>
        <x:v>Advanced 프로젝트</x:v>
      </x:c>
      <x:c r="K509" s="38" t="str">
        <x:f t="shared" si="49"/>
        <x:v>1교육실(실습겸용강의실)</x:v>
      </x:c>
      <x:c r="L509" s="38" t="str">
        <x:f t="shared" si="50"/>
        <x:v>양현수</x:v>
      </x:c>
      <x:c r="M509" s="63"/>
      <x:c r="N509" s="30">
        <x:f>IF(F509="2","",COUNTIF($F$3:$F509,"=1"))</x:f>
        <x:v>451</x:v>
      </x:c>
      <x:c r="O509" s="30">
        <x:f t="shared" si="45"/>
        <x:v>6</x:v>
      </x:c>
      <x:c r="P509" s="30">
        <x:f t="shared" si="47"/>
        <x:v>5</x:v>
      </x:c>
      <x:c r="Q509" s="30">
        <x:f>COUNTIF($P$3:P509,"=3")</x:f>
        <x:v>57</x:v>
      </x:c>
      <x:c r="R509" s="29">
        <x:f>WORKDAY(기본입력!$H$2,Q509-1,공휴일)</x:f>
        <x:v>46007</x:v>
      </x:c>
    </x:row>
    <x:row r="510" spans="1:18">
      <x:c r="A510" s="144" t="str">
        <x:f t="shared" si="46"/>
        <x:v>20251216</x:v>
      </x:c>
      <x:c r="B510" s="6" t="s">
        <x:v>5</x:v>
      </x:c>
      <x:c r="C510" s="6">
        <x:v>1740</x:v>
      </x:c>
      <x:c r="D510" s="5" t="s">
        <x:v>1</x:v>
      </x:c>
      <x:c r="E510" s="6" t="s">
        <x:v>88</x:v>
      </x:c>
      <x:c r="F510" s="6" t="s">
        <x:v>40</x:v>
      </x:c>
      <x:c r="G510" s="14" t="str">
        <x:f>IF(OR(N510="",N510&gt;기본입력!$C$34),"",VLOOKUP(O510,기본입력!$A$9:$F$33,5))</x:f>
        <x:v>양현수_53778</x:v>
      </x:c>
      <x:c r="H510" s="14" t="str">
        <x:f>IF(OR(N510="",N510&gt;기본입력!$C$34),"",기본입력!$C$6)</x:f>
        <x:v>1교육실(실습겸용강의실)_243089</x:v>
      </x:c>
      <x:c r="I510" s="14" t="str">
        <x:f>IF(OR(O510="",N510&gt;기본입력!$C$34),"",VLOOKUP(O510,기본입력!$A$9:$F$33,6,FALSE))</x:f>
        <x:v>Advanced 프로젝트_9</x:v>
      </x:c>
      <x:c r="J510" s="38" t="str">
        <x:f t="shared" si="48"/>
        <x:v>Advanced 프로젝트</x:v>
      </x:c>
      <x:c r="K510" s="38" t="str">
        <x:f t="shared" si="49"/>
        <x:v>1교육실(실습겸용강의실)</x:v>
      </x:c>
      <x:c r="L510" s="38" t="str">
        <x:f t="shared" si="50"/>
        <x:v>양현수</x:v>
      </x:c>
      <x:c r="M510" s="63"/>
      <x:c r="N510" s="30">
        <x:f>IF(F510="2","",COUNTIF($F$3:$F510,"=1"))</x:f>
        <x:v>452</x:v>
      </x:c>
      <x:c r="O510" s="30">
        <x:f t="shared" si="45"/>
        <x:v>6</x:v>
      </x:c>
      <x:c r="P510" s="30">
        <x:f t="shared" si="47"/>
        <x:v>6</x:v>
      </x:c>
      <x:c r="Q510" s="30">
        <x:f>COUNTIF($P$3:P510,"=3")</x:f>
        <x:v>57</x:v>
      </x:c>
      <x:c r="R510" s="29">
        <x:f>WORKDAY(기본입력!$H$2,Q510-1,공휴일)</x:f>
        <x:v>46007</x:v>
      </x:c>
    </x:row>
    <x:row r="511" spans="1:18">
      <x:c r="A511" s="144" t="str">
        <x:f t="shared" si="46"/>
        <x:v>20251216</x:v>
      </x:c>
      <x:c r="B511" s="6" t="s">
        <x:v>5</x:v>
      </x:c>
      <x:c r="C511" s="6">
        <x:v>1740</x:v>
      </x:c>
      <x:c r="D511" s="5" t="s">
        <x:v>1</x:v>
      </x:c>
      <x:c r="E511" s="6" t="s">
        <x:v>0</x:v>
      </x:c>
      <x:c r="F511" s="6" t="s">
        <x:v>41</x:v>
      </x:c>
      <x:c r="G511" s="14" t="str">
        <x:f>IF(OR(N511="",N511&gt;기본입력!$C$34),"",VLOOKUP(O511,기본입력!$A$9:$F$33,5))</x:f>
        <x:v/>
      </x:c>
      <x:c r="H511" s="14" t="str">
        <x:f>IF(OR(N511="",N511&gt;기본입력!$C$34),"",기본입력!$C$6)</x:f>
        <x:v/>
      </x:c>
      <x:c r="I511" s="14" t="str">
        <x:f>IF(OR(O511="",N511&gt;기본입력!$C$34),"",VLOOKUP(O511,기본입력!$A$9:$F$33,6,FALSE))</x:f>
        <x:v/>
      </x:c>
      <x:c r="J511" s="38" t="str">
        <x:f t="shared" si="48"/>
        <x:v/>
      </x:c>
      <x:c r="K511" s="38" t="str">
        <x:f t="shared" si="49"/>
        <x:v/>
      </x:c>
      <x:c r="L511" s="38" t="str">
        <x:f t="shared" si="50"/>
        <x:v/>
      </x:c>
      <x:c r="M511" s="63"/>
      <x:c r="N511" s="30" t="str">
        <x:f>IF(F511="2","",COUNTIF($F$3:$F511,"=1"))</x:f>
        <x:v/>
      </x:c>
      <x:c r="O511" s="30" t="str">
        <x:f t="shared" si="45"/>
        <x:v/>
      </x:c>
      <x:c r="P511" s="30">
        <x:f t="shared" si="47"/>
        <x:v>7</x:v>
      </x:c>
      <x:c r="Q511" s="30">
        <x:f>COUNTIF($P$3:P511,"=3")</x:f>
        <x:v>57</x:v>
      </x:c>
      <x:c r="R511" s="29">
        <x:f>WORKDAY(기본입력!$H$2,Q511-1,공휴일)</x:f>
        <x:v>46007</x:v>
      </x:c>
    </x:row>
    <x:row r="512" spans="1:18">
      <x:c r="A512" s="144" t="str">
        <x:f t="shared" si="46"/>
        <x:v>20251216</x:v>
      </x:c>
      <x:c r="B512" s="6" t="s">
        <x:v>5</x:v>
      </x:c>
      <x:c r="C512" s="6">
        <x:v>1740</x:v>
      </x:c>
      <x:c r="D512" s="5" t="s">
        <x:v>1</x:v>
      </x:c>
      <x:c r="E512" s="6">
        <x:v>1340</x:v>
      </x:c>
      <x:c r="F512" s="6" t="s">
        <x:v>40</x:v>
      </x:c>
      <x:c r="G512" s="14" t="str">
        <x:f>IF(OR(N512="",N512&gt;기본입력!$C$34),"",VLOOKUP(O512,기본입력!$A$9:$F$33,5))</x:f>
        <x:v>양현수_53778</x:v>
      </x:c>
      <x:c r="H512" s="14" t="str">
        <x:f>IF(OR(N512="",N512&gt;기본입력!$C$34),"",기본입력!$C$6)</x:f>
        <x:v>1교육실(실습겸용강의실)_243089</x:v>
      </x:c>
      <x:c r="I512" s="14" t="str">
        <x:f>IF(OR(O512="",N512&gt;기본입력!$C$34),"",VLOOKUP(O512,기본입력!$A$9:$F$33,6,FALSE))</x:f>
        <x:v>Advanced 프로젝트_9</x:v>
      </x:c>
      <x:c r="J512" s="38" t="str">
        <x:f t="shared" si="48"/>
        <x:v>Advanced 프로젝트</x:v>
      </x:c>
      <x:c r="K512" s="38" t="str">
        <x:f t="shared" si="49"/>
        <x:v>1교육실(실습겸용강의실)</x:v>
      </x:c>
      <x:c r="L512" s="38" t="str">
        <x:f t="shared" si="50"/>
        <x:v>양현수</x:v>
      </x:c>
      <x:c r="M512" s="63"/>
      <x:c r="N512" s="30">
        <x:f>IF(F512="2","",COUNTIF($F$3:$F512,"=1"))</x:f>
        <x:v>453</x:v>
      </x:c>
      <x:c r="O512" s="30">
        <x:f t="shared" si="45"/>
        <x:v>6</x:v>
      </x:c>
      <x:c r="P512" s="30">
        <x:f t="shared" si="47"/>
        <x:v>8</x:v>
      </x:c>
      <x:c r="Q512" s="30">
        <x:f>COUNTIF($P$3:P512,"=3")</x:f>
        <x:v>57</x:v>
      </x:c>
      <x:c r="R512" s="29">
        <x:f>WORKDAY(기본입력!$H$2,Q512-1,공휴일)</x:f>
        <x:v>46007</x:v>
      </x:c>
    </x:row>
    <x:row r="513" spans="1:18">
      <x:c r="A513" s="144" t="str">
        <x:f t="shared" si="46"/>
        <x:v>20251216</x:v>
      </x:c>
      <x:c r="B513" s="6" t="s">
        <x:v>5</x:v>
      </x:c>
      <x:c r="C513" s="6">
        <x:v>1740</x:v>
      </x:c>
      <x:c r="D513" s="5" t="s">
        <x:v>1</x:v>
      </x:c>
      <x:c r="E513" s="6">
        <x:v>1440</x:v>
      </x:c>
      <x:c r="F513" s="6" t="s">
        <x:v>40</x:v>
      </x:c>
      <x:c r="G513" s="14" t="str">
        <x:f>IF(OR(N513="",N513&gt;기본입력!$C$34),"",VLOOKUP(O513,기본입력!$A$9:$F$33,5))</x:f>
        <x:v>양현수_53778</x:v>
      </x:c>
      <x:c r="H513" s="14" t="str">
        <x:f>IF(OR(N513="",N513&gt;기본입력!$C$34),"",기본입력!$C$6)</x:f>
        <x:v>1교육실(실습겸용강의실)_243089</x:v>
      </x:c>
      <x:c r="I513" s="14" t="str">
        <x:f>IF(OR(O513="",N513&gt;기본입력!$C$34),"",VLOOKUP(O513,기본입력!$A$9:$F$33,6,FALSE))</x:f>
        <x:v>Advanced 프로젝트_9</x:v>
      </x:c>
      <x:c r="J513" s="38" t="str">
        <x:f t="shared" si="48"/>
        <x:v>Advanced 프로젝트</x:v>
      </x:c>
      <x:c r="K513" s="38" t="str">
        <x:f t="shared" si="49"/>
        <x:v>1교육실(실습겸용강의실)</x:v>
      </x:c>
      <x:c r="L513" s="38" t="str">
        <x:f t="shared" si="50"/>
        <x:v>양현수</x:v>
      </x:c>
      <x:c r="M513" s="63"/>
      <x:c r="N513" s="30">
        <x:f>IF(F513="2","",COUNTIF($F$3:$F513,"=1"))</x:f>
        <x:v>454</x:v>
      </x:c>
      <x:c r="O513" s="30">
        <x:f t="shared" si="45"/>
        <x:v>6</x:v>
      </x:c>
      <x:c r="P513" s="30">
        <x:f t="shared" si="47"/>
        <x:v>0</x:v>
      </x:c>
      <x:c r="Q513" s="30">
        <x:f>COUNTIF($P$3:P513,"=3")</x:f>
        <x:v>57</x:v>
      </x:c>
      <x:c r="R513" s="29">
        <x:f>WORKDAY(기본입력!$H$2,Q513-1,공휴일)</x:f>
        <x:v>46007</x:v>
      </x:c>
    </x:row>
    <x:row r="514" spans="1:18">
      <x:c r="A514" s="144" t="str">
        <x:f t="shared" si="46"/>
        <x:v>20251216</x:v>
      </x:c>
      <x:c r="B514" s="6" t="s">
        <x:v>5</x:v>
      </x:c>
      <x:c r="C514" s="6">
        <x:v>1740</x:v>
      </x:c>
      <x:c r="D514" s="5" t="s">
        <x:v>1</x:v>
      </x:c>
      <x:c r="E514" s="6">
        <x:v>1540</x:v>
      </x:c>
      <x:c r="F514" s="6" t="s">
        <x:v>40</x:v>
      </x:c>
      <x:c r="G514" s="14" t="str">
        <x:f>IF(OR(N514="",N514&gt;기본입력!$C$34),"",VLOOKUP(O514,기본입력!$A$9:$F$33,5))</x:f>
        <x:v>양현수_53778</x:v>
      </x:c>
      <x:c r="H514" s="14" t="str">
        <x:f>IF(OR(N514="",N514&gt;기본입력!$C$34),"",기본입력!$C$6)</x:f>
        <x:v>1교육실(실습겸용강의실)_243089</x:v>
      </x:c>
      <x:c r="I514" s="14" t="str">
        <x:f>IF(OR(O514="",N514&gt;기본입력!$C$34),"",VLOOKUP(O514,기본입력!$A$9:$F$33,6,FALSE))</x:f>
        <x:v>Advanced 프로젝트_9</x:v>
      </x:c>
      <x:c r="J514" s="38" t="str">
        <x:f t="shared" si="48"/>
        <x:v>Advanced 프로젝트</x:v>
      </x:c>
      <x:c r="K514" s="38" t="str">
        <x:f t="shared" si="49"/>
        <x:v>1교육실(실습겸용강의실)</x:v>
      </x:c>
      <x:c r="L514" s="38" t="str">
        <x:f t="shared" si="50"/>
        <x:v>양현수</x:v>
      </x:c>
      <x:c r="M514" s="63"/>
      <x:c r="N514" s="30">
        <x:f>IF(F514="2","",COUNTIF($F$3:$F514,"=1"))</x:f>
        <x:v>455</x:v>
      </x:c>
      <x:c r="O514" s="30">
        <x:f t="shared" si="45"/>
        <x:v>6</x:v>
      </x:c>
      <x:c r="P514" s="30">
        <x:f t="shared" si="47"/>
        <x:v>1</x:v>
      </x:c>
      <x:c r="Q514" s="30">
        <x:f>COUNTIF($P$3:P514,"=3")</x:f>
        <x:v>57</x:v>
      </x:c>
      <x:c r="R514" s="29">
        <x:f>WORKDAY(기본입력!$H$2,Q514-1,공휴일)</x:f>
        <x:v>46007</x:v>
      </x:c>
    </x:row>
    <x:row r="515" spans="1:18">
      <x:c r="A515" s="144" t="str">
        <x:f t="shared" si="46"/>
        <x:v>20251216</x:v>
      </x:c>
      <x:c r="B515" s="6" t="s">
        <x:v>5</x:v>
      </x:c>
      <x:c r="C515" s="6">
        <x:v>1740</x:v>
      </x:c>
      <x:c r="D515" s="5" t="s">
        <x:v>1</x:v>
      </x:c>
      <x:c r="E515" s="6">
        <x:v>1640</x:v>
      </x:c>
      <x:c r="F515" s="6" t="s">
        <x:v>40</x:v>
      </x:c>
      <x:c r="G515" s="14" t="str">
        <x:f>IF(OR(N515="",N515&gt;기본입력!$C$34),"",VLOOKUP(O515,기본입력!$A$9:$F$33,5))</x:f>
        <x:v>양현수_53778</x:v>
      </x:c>
      <x:c r="H515" s="14" t="str">
        <x:f>IF(OR(N515="",N515&gt;기본입력!$C$34),"",기본입력!$C$6)</x:f>
        <x:v>1교육실(실습겸용강의실)_243089</x:v>
      </x:c>
      <x:c r="I515" s="14" t="str">
        <x:f>IF(OR(O515="",N515&gt;기본입력!$C$34),"",VLOOKUP(O515,기본입력!$A$9:$F$33,6,FALSE))</x:f>
        <x:v>Advanced 프로젝트_9</x:v>
      </x:c>
      <x:c r="J515" s="38" t="str">
        <x:f t="shared" si="48"/>
        <x:v>Advanced 프로젝트</x:v>
      </x:c>
      <x:c r="K515" s="38" t="str">
        <x:f t="shared" si="49"/>
        <x:v>1교육실(실습겸용강의실)</x:v>
      </x:c>
      <x:c r="L515" s="38" t="str">
        <x:f t="shared" si="50"/>
        <x:v>양현수</x:v>
      </x:c>
      <x:c r="M515" s="63"/>
      <x:c r="N515" s="30">
        <x:f>IF(F515="2","",COUNTIF($F$3:$F515,"=1"))</x:f>
        <x:v>456</x:v>
      </x:c>
      <x:c r="O515" s="30">
        <x:f t="shared" ref="O515:O578" si="51">IF(F515="2","",IF(N515&lt;=누적시수1,1,IF(N515&lt;=누적시수2,2,IF(N515&lt;=누적시수3,3,IF(N515&lt;=누적시수4,4,IF(N515&lt;=누적시수5,5,IF(N515&lt;=누적시수6,6,IF(N515&lt;=누적시수7,7,IF(N515&lt;=누적시수8,8,IF(N515&lt;=누적시수9,9,IF(N515&lt;=누적시수10,10,IF(N515&lt;=누적시수11,11,IF(N515&lt;=누적시수12,12,IF(N515&lt;=누적시수13,13,IF(N515&lt;=누적시수14,14,IF(N515&lt;=누적시수15,15,IF(N515&lt;=누적시수16,16,IF(N515&lt;=누적시수17,17,IF(N515&lt;=누적시수18,18,IF(N515&lt;=누적시수19,19,IF(N515&lt;=누적시수20,20,IF(N515&lt;=누적시수21,21,IF(N515&lt;=누적시수22,22,IF(N515&lt;=누적시수23,23,IF(N515&lt;=누적시수24,24,IF(N515&lt;=누적시수25,25,0))))))))))))))))))))))))))</x:f>
        <x:v>6</x:v>
      </x:c>
      <x:c r="P515" s="30">
        <x:f t="shared" si="47"/>
        <x:v>2</x:v>
      </x:c>
      <x:c r="Q515" s="30">
        <x:f>COUNTIF($P$3:P515,"=3")</x:f>
        <x:v>57</x:v>
      </x:c>
      <x:c r="R515" s="29">
        <x:f>WORKDAY(기본입력!$H$2,Q515-1,공휴일)</x:f>
        <x:v>46007</x:v>
      </x:c>
    </x:row>
    <x:row r="516" spans="1:18">
      <x:c r="A516" s="145" t="str">
        <x:f t="shared" ref="A516:A579" si="52">TEXT(R516,"yyyymmdd")</x:f>
        <x:v>20251217</x:v>
      </x:c>
      <x:c r="B516" s="8" t="s">
        <x:v>5</x:v>
      </x:c>
      <x:c r="C516" s="8">
        <x:v>1740</x:v>
      </x:c>
      <x:c r="D516" s="7" t="s">
        <x:v>1</x:v>
      </x:c>
      <x:c r="E516" s="8" t="s">
        <x:v>5</x:v>
      </x:c>
      <x:c r="F516" s="8" t="s">
        <x:v>40</x:v>
      </x:c>
      <x:c r="G516" s="15" t="str">
        <x:f>IF(OR(N516="",N516&gt;기본입력!$C$34),"",VLOOKUP(O516,기본입력!$A$9:$F$33,5))</x:f>
        <x:v>양현수_53778</x:v>
      </x:c>
      <x:c r="H516" s="15" t="str">
        <x:f>IF(OR(N516="",N516&gt;기본입력!$C$34),"",기본입력!$C$6)</x:f>
        <x:v>1교육실(실습겸용강의실)_243089</x:v>
      </x:c>
      <x:c r="I516" s="15" t="str">
        <x:f>IF(OR(O516="",N516&gt;기본입력!$C$34),"",VLOOKUP(O516,기본입력!$A$9:$F$33,6,FALSE))</x:f>
        <x:v>Advanced 프로젝트_9</x:v>
      </x:c>
      <x:c r="J516" s="38" t="str">
        <x:f t="shared" si="48"/>
        <x:v>Advanced 프로젝트</x:v>
      </x:c>
      <x:c r="K516" s="38" t="str">
        <x:f t="shared" si="49"/>
        <x:v>1교육실(실습겸용강의실)</x:v>
      </x:c>
      <x:c r="L516" s="38" t="str">
        <x:f t="shared" si="50"/>
        <x:v>양현수</x:v>
      </x:c>
      <x:c r="M516" s="63"/>
      <x:c r="N516" s="30">
        <x:f>IF(F516="2","",COUNTIF($F$3:$F516,"=1"))</x:f>
        <x:v>457</x:v>
      </x:c>
      <x:c r="O516" s="30">
        <x:f t="shared" si="51"/>
        <x:v>6</x:v>
      </x:c>
      <x:c r="P516" s="30">
        <x:f t="shared" ref="P516:P579" si="53">MOD(ROW(),9)</x:f>
        <x:v>3</x:v>
      </x:c>
      <x:c r="Q516" s="30">
        <x:f>COUNTIF($P$3:P516,"=3")</x:f>
        <x:v>58</x:v>
      </x:c>
      <x:c r="R516" s="29">
        <x:f>WORKDAY(기본입력!$H$2,Q516-1,공휴일)</x:f>
        <x:v>46008</x:v>
      </x:c>
    </x:row>
    <x:row r="517" spans="1:18">
      <x:c r="A517" s="145" t="str">
        <x:f t="shared" si="52"/>
        <x:v>20251217</x:v>
      </x:c>
      <x:c r="B517" s="8" t="s">
        <x:v>5</x:v>
      </x:c>
      <x:c r="C517" s="8">
        <x:v>1740</x:v>
      </x:c>
      <x:c r="D517" s="7" t="s">
        <x:v>1</x:v>
      </x:c>
      <x:c r="E517" s="8" t="s">
        <x:v>117</x:v>
      </x:c>
      <x:c r="F517" s="8" t="s">
        <x:v>40</x:v>
      </x:c>
      <x:c r="G517" s="15" t="str">
        <x:f>IF(OR(N517="",N517&gt;기본입력!$C$34),"",VLOOKUP(O517,기본입력!$A$9:$F$33,5))</x:f>
        <x:v>양현수_53778</x:v>
      </x:c>
      <x:c r="H517" s="15" t="str">
        <x:f>IF(OR(N517="",N517&gt;기본입력!$C$34),"",기본입력!$C$6)</x:f>
        <x:v>1교육실(실습겸용강의실)_243089</x:v>
      </x:c>
      <x:c r="I517" s="15" t="str">
        <x:f>IF(OR(O517="",N517&gt;기본입력!$C$34),"",VLOOKUP(O517,기본입력!$A$9:$F$33,6,FALSE))</x:f>
        <x:v>Advanced 프로젝트_9</x:v>
      </x:c>
      <x:c r="J517" s="38" t="str">
        <x:f t="shared" si="48"/>
        <x:v>Advanced 프로젝트</x:v>
      </x:c>
      <x:c r="K517" s="38" t="str">
        <x:f t="shared" si="49"/>
        <x:v>1교육실(실습겸용강의실)</x:v>
      </x:c>
      <x:c r="L517" s="38" t="str">
        <x:f t="shared" si="50"/>
        <x:v>양현수</x:v>
      </x:c>
      <x:c r="M517" s="63"/>
      <x:c r="N517" s="30">
        <x:f>IF(F517="2","",COUNTIF($F$3:$F517,"=1"))</x:f>
        <x:v>458</x:v>
      </x:c>
      <x:c r="O517" s="30">
        <x:f t="shared" si="51"/>
        <x:v>6</x:v>
      </x:c>
      <x:c r="P517" s="30">
        <x:f t="shared" si="53"/>
        <x:v>4</x:v>
      </x:c>
      <x:c r="Q517" s="30">
        <x:f>COUNTIF($P$3:P517,"=3")</x:f>
        <x:v>58</x:v>
      </x:c>
      <x:c r="R517" s="29">
        <x:f>WORKDAY(기본입력!$H$2,Q517-1,공휴일)</x:f>
        <x:v>46008</x:v>
      </x:c>
    </x:row>
    <x:row r="518" spans="1:18">
      <x:c r="A518" s="145" t="str">
        <x:f t="shared" si="52"/>
        <x:v>20251217</x:v>
      </x:c>
      <x:c r="B518" s="8" t="s">
        <x:v>5</x:v>
      </x:c>
      <x:c r="C518" s="8">
        <x:v>1740</x:v>
      </x:c>
      <x:c r="D518" s="7" t="s">
        <x:v>1</x:v>
      </x:c>
      <x:c r="E518" s="8" t="s">
        <x:v>87</x:v>
      </x:c>
      <x:c r="F518" s="8" t="s">
        <x:v>40</x:v>
      </x:c>
      <x:c r="G518" s="15" t="str">
        <x:f>IF(OR(N518="",N518&gt;기본입력!$C$34),"",VLOOKUP(O518,기본입력!$A$9:$F$33,5))</x:f>
        <x:v>양현수_53778</x:v>
      </x:c>
      <x:c r="H518" s="15" t="str">
        <x:f>IF(OR(N518="",N518&gt;기본입력!$C$34),"",기본입력!$C$6)</x:f>
        <x:v>1교육실(실습겸용강의실)_243089</x:v>
      </x:c>
      <x:c r="I518" s="15" t="str">
        <x:f>IF(OR(O518="",N518&gt;기본입력!$C$34),"",VLOOKUP(O518,기본입력!$A$9:$F$33,6,FALSE))</x:f>
        <x:v>Advanced 프로젝트_9</x:v>
      </x:c>
      <x:c r="J518" s="38" t="str">
        <x:f t="shared" si="48"/>
        <x:v>Advanced 프로젝트</x:v>
      </x:c>
      <x:c r="K518" s="38" t="str">
        <x:f t="shared" si="49"/>
        <x:v>1교육실(실습겸용강의실)</x:v>
      </x:c>
      <x:c r="L518" s="38" t="str">
        <x:f t="shared" si="50"/>
        <x:v>양현수</x:v>
      </x:c>
      <x:c r="M518" s="63"/>
      <x:c r="N518" s="30">
        <x:f>IF(F518="2","",COUNTIF($F$3:$F518,"=1"))</x:f>
        <x:v>459</x:v>
      </x:c>
      <x:c r="O518" s="30">
        <x:f t="shared" si="51"/>
        <x:v>6</x:v>
      </x:c>
      <x:c r="P518" s="30">
        <x:f t="shared" si="53"/>
        <x:v>5</x:v>
      </x:c>
      <x:c r="Q518" s="30">
        <x:f>COUNTIF($P$3:P518,"=3")</x:f>
        <x:v>58</x:v>
      </x:c>
      <x:c r="R518" s="29">
        <x:f>WORKDAY(기본입력!$H$2,Q518-1,공휴일)</x:f>
        <x:v>46008</x:v>
      </x:c>
    </x:row>
    <x:row r="519" spans="1:18">
      <x:c r="A519" s="145" t="str">
        <x:f t="shared" si="52"/>
        <x:v>20251217</x:v>
      </x:c>
      <x:c r="B519" s="8" t="s">
        <x:v>5</x:v>
      </x:c>
      <x:c r="C519" s="8">
        <x:v>1740</x:v>
      </x:c>
      <x:c r="D519" s="7" t="s">
        <x:v>1</x:v>
      </x:c>
      <x:c r="E519" s="8" t="s">
        <x:v>88</x:v>
      </x:c>
      <x:c r="F519" s="8" t="s">
        <x:v>40</x:v>
      </x:c>
      <x:c r="G519" s="15" t="str">
        <x:f>IF(OR(N519="",N519&gt;기본입력!$C$34),"",VLOOKUP(O519,기본입력!$A$9:$F$33,5))</x:f>
        <x:v>양현수_53778</x:v>
      </x:c>
      <x:c r="H519" s="15" t="str">
        <x:f>IF(OR(N519="",N519&gt;기본입력!$C$34),"",기본입력!$C$6)</x:f>
        <x:v>1교육실(실습겸용강의실)_243089</x:v>
      </x:c>
      <x:c r="I519" s="15" t="str">
        <x:f>IF(OR(O519="",N519&gt;기본입력!$C$34),"",VLOOKUP(O519,기본입력!$A$9:$F$33,6,FALSE))</x:f>
        <x:v>Advanced 프로젝트_9</x:v>
      </x:c>
      <x:c r="J519" s="38" t="str">
        <x:f t="shared" si="48"/>
        <x:v>Advanced 프로젝트</x:v>
      </x:c>
      <x:c r="K519" s="38" t="str">
        <x:f t="shared" si="49"/>
        <x:v>1교육실(실습겸용강의실)</x:v>
      </x:c>
      <x:c r="L519" s="38" t="str">
        <x:f t="shared" si="50"/>
        <x:v>양현수</x:v>
      </x:c>
      <x:c r="M519" s="63"/>
      <x:c r="N519" s="30">
        <x:f>IF(F519="2","",COUNTIF($F$3:$F519,"=1"))</x:f>
        <x:v>460</x:v>
      </x:c>
      <x:c r="O519" s="30">
        <x:f t="shared" si="51"/>
        <x:v>6</x:v>
      </x:c>
      <x:c r="P519" s="30">
        <x:f t="shared" si="53"/>
        <x:v>6</x:v>
      </x:c>
      <x:c r="Q519" s="30">
        <x:f>COUNTIF($P$3:P519,"=3")</x:f>
        <x:v>58</x:v>
      </x:c>
      <x:c r="R519" s="29">
        <x:f>WORKDAY(기본입력!$H$2,Q519-1,공휴일)</x:f>
        <x:v>46008</x:v>
      </x:c>
    </x:row>
    <x:row r="520" spans="1:18">
      <x:c r="A520" s="145" t="str">
        <x:f t="shared" si="52"/>
        <x:v>20251217</x:v>
      </x:c>
      <x:c r="B520" s="8" t="s">
        <x:v>5</x:v>
      </x:c>
      <x:c r="C520" s="8">
        <x:v>1740</x:v>
      </x:c>
      <x:c r="D520" s="7" t="s">
        <x:v>1</x:v>
      </x:c>
      <x:c r="E520" s="8" t="s">
        <x:v>0</x:v>
      </x:c>
      <x:c r="F520" s="8" t="s">
        <x:v>41</x:v>
      </x:c>
      <x:c r="G520" s="15" t="str">
        <x:f>IF(OR(N520="",N520&gt;기본입력!$C$34),"",VLOOKUP(O520,기본입력!$A$9:$F$33,5))</x:f>
        <x:v/>
      </x:c>
      <x:c r="H520" s="15" t="str">
        <x:f>IF(OR(N520="",N520&gt;기본입력!$C$34),"",기본입력!$C$6)</x:f>
        <x:v/>
      </x:c>
      <x:c r="I520" s="15" t="str">
        <x:f>IF(OR(O520="",N520&gt;기본입력!$C$34),"",VLOOKUP(O520,기본입력!$A$9:$F$33,6,FALSE))</x:f>
        <x:v/>
      </x:c>
      <x:c r="J520" s="38" t="str">
        <x:f t="shared" si="48"/>
        <x:v/>
      </x:c>
      <x:c r="K520" s="38" t="str">
        <x:f t="shared" si="49"/>
        <x:v/>
      </x:c>
      <x:c r="L520" s="38" t="str">
        <x:f t="shared" si="50"/>
        <x:v/>
      </x:c>
      <x:c r="M520" s="63"/>
      <x:c r="N520" s="30" t="str">
        <x:f>IF(F520="2","",COUNTIF($F$3:$F520,"=1"))</x:f>
        <x:v/>
      </x:c>
      <x:c r="O520" s="30" t="str">
        <x:f t="shared" si="51"/>
        <x:v/>
      </x:c>
      <x:c r="P520" s="30">
        <x:f t="shared" si="53"/>
        <x:v>7</x:v>
      </x:c>
      <x:c r="Q520" s="30">
        <x:f>COUNTIF($P$3:P520,"=3")</x:f>
        <x:v>58</x:v>
      </x:c>
      <x:c r="R520" s="29">
        <x:f>WORKDAY(기본입력!$H$2,Q520-1,공휴일)</x:f>
        <x:v>46008</x:v>
      </x:c>
    </x:row>
    <x:row r="521" spans="1:18">
      <x:c r="A521" s="145" t="str">
        <x:f t="shared" si="52"/>
        <x:v>20251217</x:v>
      </x:c>
      <x:c r="B521" s="8" t="s">
        <x:v>5</x:v>
      </x:c>
      <x:c r="C521" s="8">
        <x:v>1740</x:v>
      </x:c>
      <x:c r="D521" s="7" t="s">
        <x:v>1</x:v>
      </x:c>
      <x:c r="E521" s="8">
        <x:v>1340</x:v>
      </x:c>
      <x:c r="F521" s="8" t="s">
        <x:v>40</x:v>
      </x:c>
      <x:c r="G521" s="15" t="str">
        <x:f>IF(OR(N521="",N521&gt;기본입력!$C$34),"",VLOOKUP(O521,기본입력!$A$9:$F$33,5))</x:f>
        <x:v>양현수_53778</x:v>
      </x:c>
      <x:c r="H521" s="15" t="str">
        <x:f>IF(OR(N521="",N521&gt;기본입력!$C$34),"",기본입력!$C$6)</x:f>
        <x:v>1교육실(실습겸용강의실)_243089</x:v>
      </x:c>
      <x:c r="I521" s="15" t="str">
        <x:f>IF(OR(O521="",N521&gt;기본입력!$C$34),"",VLOOKUP(O521,기본입력!$A$9:$F$33,6,FALSE))</x:f>
        <x:v>Advanced 프로젝트_9</x:v>
      </x:c>
      <x:c r="J521" s="38" t="str">
        <x:f t="shared" si="48"/>
        <x:v>Advanced 프로젝트</x:v>
      </x:c>
      <x:c r="K521" s="38" t="str">
        <x:f t="shared" si="49"/>
        <x:v>1교육실(실습겸용강의실)</x:v>
      </x:c>
      <x:c r="L521" s="38" t="str">
        <x:f t="shared" si="50"/>
        <x:v>양현수</x:v>
      </x:c>
      <x:c r="M521" s="63"/>
      <x:c r="N521" s="30">
        <x:f>IF(F521="2","",COUNTIF($F$3:$F521,"=1"))</x:f>
        <x:v>461</x:v>
      </x:c>
      <x:c r="O521" s="30">
        <x:f t="shared" si="51"/>
        <x:v>6</x:v>
      </x:c>
      <x:c r="P521" s="30">
        <x:f t="shared" si="53"/>
        <x:v>8</x:v>
      </x:c>
      <x:c r="Q521" s="30">
        <x:f>COUNTIF($P$3:P521,"=3")</x:f>
        <x:v>58</x:v>
      </x:c>
      <x:c r="R521" s="29">
        <x:f>WORKDAY(기본입력!$H$2,Q521-1,공휴일)</x:f>
        <x:v>46008</x:v>
      </x:c>
    </x:row>
    <x:row r="522" spans="1:18">
      <x:c r="A522" s="145" t="str">
        <x:f t="shared" si="52"/>
        <x:v>20251217</x:v>
      </x:c>
      <x:c r="B522" s="8" t="s">
        <x:v>5</x:v>
      </x:c>
      <x:c r="C522" s="8">
        <x:v>1740</x:v>
      </x:c>
      <x:c r="D522" s="7" t="s">
        <x:v>1</x:v>
      </x:c>
      <x:c r="E522" s="8">
        <x:v>1440</x:v>
      </x:c>
      <x:c r="F522" s="8" t="s">
        <x:v>40</x:v>
      </x:c>
      <x:c r="G522" s="15" t="str">
        <x:f>IF(OR(N522="",N522&gt;기본입력!$C$34),"",VLOOKUP(O522,기본입력!$A$9:$F$33,5))</x:f>
        <x:v>양현수_53778</x:v>
      </x:c>
      <x:c r="H522" s="15" t="str">
        <x:f>IF(OR(N522="",N522&gt;기본입력!$C$34),"",기본입력!$C$6)</x:f>
        <x:v>1교육실(실습겸용강의실)_243089</x:v>
      </x:c>
      <x:c r="I522" s="15" t="str">
        <x:f>IF(OR(O522="",N522&gt;기본입력!$C$34),"",VLOOKUP(O522,기본입력!$A$9:$F$33,6,FALSE))</x:f>
        <x:v>Advanced 프로젝트_9</x:v>
      </x:c>
      <x:c r="J522" s="38" t="str">
        <x:f t="shared" si="48"/>
        <x:v>Advanced 프로젝트</x:v>
      </x:c>
      <x:c r="K522" s="38" t="str">
        <x:f t="shared" si="49"/>
        <x:v>1교육실(실습겸용강의실)</x:v>
      </x:c>
      <x:c r="L522" s="38" t="str">
        <x:f t="shared" si="50"/>
        <x:v>양현수</x:v>
      </x:c>
      <x:c r="M522" s="63"/>
      <x:c r="N522" s="30">
        <x:f>IF(F522="2","",COUNTIF($F$3:$F522,"=1"))</x:f>
        <x:v>462</x:v>
      </x:c>
      <x:c r="O522" s="30">
        <x:f t="shared" si="51"/>
        <x:v>6</x:v>
      </x:c>
      <x:c r="P522" s="30">
        <x:f t="shared" si="53"/>
        <x:v>0</x:v>
      </x:c>
      <x:c r="Q522" s="30">
        <x:f>COUNTIF($P$3:P522,"=3")</x:f>
        <x:v>58</x:v>
      </x:c>
      <x:c r="R522" s="29">
        <x:f>WORKDAY(기본입력!$H$2,Q522-1,공휴일)</x:f>
        <x:v>46008</x:v>
      </x:c>
    </x:row>
    <x:row r="523" spans="1:18">
      <x:c r="A523" s="145" t="str">
        <x:f t="shared" si="52"/>
        <x:v>20251217</x:v>
      </x:c>
      <x:c r="B523" s="8" t="s">
        <x:v>5</x:v>
      </x:c>
      <x:c r="C523" s="8">
        <x:v>1740</x:v>
      </x:c>
      <x:c r="D523" s="7" t="s">
        <x:v>1</x:v>
      </x:c>
      <x:c r="E523" s="8">
        <x:v>1540</x:v>
      </x:c>
      <x:c r="F523" s="8" t="s">
        <x:v>40</x:v>
      </x:c>
      <x:c r="G523" s="15" t="str">
        <x:f>IF(OR(N523="",N523&gt;기본입력!$C$34),"",VLOOKUP(O523,기본입력!$A$9:$F$33,5))</x:f>
        <x:v>양현수_53778</x:v>
      </x:c>
      <x:c r="H523" s="15" t="str">
        <x:f>IF(OR(N523="",N523&gt;기본입력!$C$34),"",기본입력!$C$6)</x:f>
        <x:v>1교육실(실습겸용강의실)_243089</x:v>
      </x:c>
      <x:c r="I523" s="15" t="str">
        <x:f>IF(OR(O523="",N523&gt;기본입력!$C$34),"",VLOOKUP(O523,기본입력!$A$9:$F$33,6,FALSE))</x:f>
        <x:v>Advanced 프로젝트_9</x:v>
      </x:c>
      <x:c r="J523" s="38" t="str">
        <x:f t="shared" si="48"/>
        <x:v>Advanced 프로젝트</x:v>
      </x:c>
      <x:c r="K523" s="38" t="str">
        <x:f t="shared" si="49"/>
        <x:v>1교육실(실습겸용강의실)</x:v>
      </x:c>
      <x:c r="L523" s="38" t="str">
        <x:f t="shared" si="50"/>
        <x:v>양현수</x:v>
      </x:c>
      <x:c r="M523" s="63"/>
      <x:c r="N523" s="30">
        <x:f>IF(F523="2","",COUNTIF($F$3:$F523,"=1"))</x:f>
        <x:v>463</x:v>
      </x:c>
      <x:c r="O523" s="30">
        <x:f t="shared" si="51"/>
        <x:v>6</x:v>
      </x:c>
      <x:c r="P523" s="30">
        <x:f t="shared" si="53"/>
        <x:v>1</x:v>
      </x:c>
      <x:c r="Q523" s="30">
        <x:f>COUNTIF($P$3:P523,"=3")</x:f>
        <x:v>58</x:v>
      </x:c>
      <x:c r="R523" s="29">
        <x:f>WORKDAY(기본입력!$H$2,Q523-1,공휴일)</x:f>
        <x:v>46008</x:v>
      </x:c>
    </x:row>
    <x:row r="524" spans="1:18">
      <x:c r="A524" s="145" t="str">
        <x:f t="shared" si="52"/>
        <x:v>20251217</x:v>
      </x:c>
      <x:c r="B524" s="8" t="s">
        <x:v>5</x:v>
      </x:c>
      <x:c r="C524" s="8">
        <x:v>1740</x:v>
      </x:c>
      <x:c r="D524" s="7" t="s">
        <x:v>1</x:v>
      </x:c>
      <x:c r="E524" s="8">
        <x:v>1640</x:v>
      </x:c>
      <x:c r="F524" s="8" t="s">
        <x:v>40</x:v>
      </x:c>
      <x:c r="G524" s="15" t="str">
        <x:f>IF(OR(N524="",N524&gt;기본입력!$C$34),"",VLOOKUP(O524,기본입력!$A$9:$F$33,5))</x:f>
        <x:v>양현수_53778</x:v>
      </x:c>
      <x:c r="H524" s="15" t="str">
        <x:f>IF(OR(N524="",N524&gt;기본입력!$C$34),"",기본입력!$C$6)</x:f>
        <x:v>1교육실(실습겸용강의실)_243089</x:v>
      </x:c>
      <x:c r="I524" s="15" t="str">
        <x:f>IF(OR(O524="",N524&gt;기본입력!$C$34),"",VLOOKUP(O524,기본입력!$A$9:$F$33,6,FALSE))</x:f>
        <x:v>Advanced 프로젝트_9</x:v>
      </x:c>
      <x:c r="J524" s="38" t="str">
        <x:f t="shared" si="48"/>
        <x:v>Advanced 프로젝트</x:v>
      </x:c>
      <x:c r="K524" s="38" t="str">
        <x:f t="shared" si="49"/>
        <x:v>1교육실(실습겸용강의실)</x:v>
      </x:c>
      <x:c r="L524" s="38" t="str">
        <x:f t="shared" si="50"/>
        <x:v>양현수</x:v>
      </x:c>
      <x:c r="M524" s="63"/>
      <x:c r="N524" s="30">
        <x:f>IF(F524="2","",COUNTIF($F$3:$F524,"=1"))</x:f>
        <x:v>464</x:v>
      </x:c>
      <x:c r="O524" s="30">
        <x:f t="shared" si="51"/>
        <x:v>6</x:v>
      </x:c>
      <x:c r="P524" s="30">
        <x:f t="shared" si="53"/>
        <x:v>2</x:v>
      </x:c>
      <x:c r="Q524" s="30">
        <x:f>COUNTIF($P$3:P524,"=3")</x:f>
        <x:v>58</x:v>
      </x:c>
      <x:c r="R524" s="29">
        <x:f>WORKDAY(기본입력!$H$2,Q524-1,공휴일)</x:f>
        <x:v>46008</x:v>
      </x:c>
    </x:row>
    <x:row r="525" spans="1:18">
      <x:c r="A525" s="144" t="str">
        <x:f t="shared" si="52"/>
        <x:v>20251218</x:v>
      </x:c>
      <x:c r="B525" s="6" t="s">
        <x:v>5</x:v>
      </x:c>
      <x:c r="C525" s="6">
        <x:v>1740</x:v>
      </x:c>
      <x:c r="D525" s="5" t="s">
        <x:v>1</x:v>
      </x:c>
      <x:c r="E525" s="6" t="s">
        <x:v>5</x:v>
      </x:c>
      <x:c r="F525" s="6" t="s">
        <x:v>40</x:v>
      </x:c>
      <x:c r="G525" s="14" t="str">
        <x:f>IF(OR(N525="",N525&gt;기본입력!$C$34),"",VLOOKUP(O525,기본입력!$A$9:$F$33,5))</x:f>
        <x:v>양현수_53778</x:v>
      </x:c>
      <x:c r="H525" s="14" t="str">
        <x:f>IF(OR(N525="",N525&gt;기본입력!$C$34),"",기본입력!$C$6)</x:f>
        <x:v>1교육실(실습겸용강의실)_243089</x:v>
      </x:c>
      <x:c r="I525" s="14" t="str">
        <x:f>IF(OR(O525="",N525&gt;기본입력!$C$34),"",VLOOKUP(O525,기본입력!$A$9:$F$33,6,FALSE))</x:f>
        <x:v>Advanced 프로젝트_9</x:v>
      </x:c>
      <x:c r="J525" s="38" t="str">
        <x:f t="shared" si="48"/>
        <x:v>Advanced 프로젝트</x:v>
      </x:c>
      <x:c r="K525" s="38" t="str">
        <x:f t="shared" si="49"/>
        <x:v>1교육실(실습겸용강의실)</x:v>
      </x:c>
      <x:c r="L525" s="38" t="str">
        <x:f t="shared" si="50"/>
        <x:v>양현수</x:v>
      </x:c>
      <x:c r="M525" s="63"/>
      <x:c r="N525" s="30">
        <x:f>IF(F525="2","",COUNTIF($F$3:$F525,"=1"))</x:f>
        <x:v>465</x:v>
      </x:c>
      <x:c r="O525" s="30">
        <x:f t="shared" si="51"/>
        <x:v>6</x:v>
      </x:c>
      <x:c r="P525" s="30">
        <x:f t="shared" si="53"/>
        <x:v>3</x:v>
      </x:c>
      <x:c r="Q525" s="30">
        <x:f>COUNTIF($P$3:P525,"=3")</x:f>
        <x:v>59</x:v>
      </x:c>
      <x:c r="R525" s="29">
        <x:f>WORKDAY(기본입력!$H$2,Q525-1,공휴일)</x:f>
        <x:v>46009</x:v>
      </x:c>
    </x:row>
    <x:row r="526" spans="1:18">
      <x:c r="A526" s="144" t="str">
        <x:f t="shared" si="52"/>
        <x:v>20251218</x:v>
      </x:c>
      <x:c r="B526" s="6" t="s">
        <x:v>5</x:v>
      </x:c>
      <x:c r="C526" s="6">
        <x:v>1740</x:v>
      </x:c>
      <x:c r="D526" s="5" t="s">
        <x:v>1</x:v>
      </x:c>
      <x:c r="E526" s="6" t="s">
        <x:v>117</x:v>
      </x:c>
      <x:c r="F526" s="6" t="s">
        <x:v>40</x:v>
      </x:c>
      <x:c r="G526" s="14" t="str">
        <x:f>IF(OR(N526="",N526&gt;기본입력!$C$34),"",VLOOKUP(O526,기본입력!$A$9:$F$33,5))</x:f>
        <x:v>양현수_53778</x:v>
      </x:c>
      <x:c r="H526" s="14" t="str">
        <x:f>IF(OR(N526="",N526&gt;기본입력!$C$34),"",기본입력!$C$6)</x:f>
        <x:v>1교육실(실습겸용강의실)_243089</x:v>
      </x:c>
      <x:c r="I526" s="14" t="str">
        <x:f>IF(OR(O526="",N526&gt;기본입력!$C$34),"",VLOOKUP(O526,기본입력!$A$9:$F$33,6,FALSE))</x:f>
        <x:v>Advanced 프로젝트_9</x:v>
      </x:c>
      <x:c r="J526" s="38" t="str">
        <x:f t="shared" si="48"/>
        <x:v>Advanced 프로젝트</x:v>
      </x:c>
      <x:c r="K526" s="38" t="str">
        <x:f t="shared" si="49"/>
        <x:v>1교육실(실습겸용강의실)</x:v>
      </x:c>
      <x:c r="L526" s="38" t="str">
        <x:f t="shared" si="50"/>
        <x:v>양현수</x:v>
      </x:c>
      <x:c r="M526" s="63"/>
      <x:c r="N526" s="30">
        <x:f>IF(F526="2","",COUNTIF($F$3:$F526,"=1"))</x:f>
        <x:v>466</x:v>
      </x:c>
      <x:c r="O526" s="30">
        <x:f t="shared" si="51"/>
        <x:v>6</x:v>
      </x:c>
      <x:c r="P526" s="30">
        <x:f t="shared" si="53"/>
        <x:v>4</x:v>
      </x:c>
      <x:c r="Q526" s="30">
        <x:f>COUNTIF($P$3:P526,"=3")</x:f>
        <x:v>59</x:v>
      </x:c>
      <x:c r="R526" s="29">
        <x:f>WORKDAY(기본입력!$H$2,Q526-1,공휴일)</x:f>
        <x:v>46009</x:v>
      </x:c>
    </x:row>
    <x:row r="527" spans="1:18">
      <x:c r="A527" s="144" t="str">
        <x:f t="shared" si="52"/>
        <x:v>20251218</x:v>
      </x:c>
      <x:c r="B527" s="6" t="s">
        <x:v>5</x:v>
      </x:c>
      <x:c r="C527" s="6">
        <x:v>1740</x:v>
      </x:c>
      <x:c r="D527" s="5" t="s">
        <x:v>1</x:v>
      </x:c>
      <x:c r="E527" s="6" t="s">
        <x:v>87</x:v>
      </x:c>
      <x:c r="F527" s="6" t="s">
        <x:v>40</x:v>
      </x:c>
      <x:c r="G527" s="14" t="str">
        <x:f>IF(OR(N527="",N527&gt;기본입력!$C$34),"",VLOOKUP(O527,기본입력!$A$9:$F$33,5))</x:f>
        <x:v>양현수_53778</x:v>
      </x:c>
      <x:c r="H527" s="14" t="str">
        <x:f>IF(OR(N527="",N527&gt;기본입력!$C$34),"",기본입력!$C$6)</x:f>
        <x:v>1교육실(실습겸용강의실)_243089</x:v>
      </x:c>
      <x:c r="I527" s="14" t="str">
        <x:f>IF(OR(O527="",N527&gt;기본입력!$C$34),"",VLOOKUP(O527,기본입력!$A$9:$F$33,6,FALSE))</x:f>
        <x:v>Advanced 프로젝트_9</x:v>
      </x:c>
      <x:c r="J527" s="38" t="str">
        <x:f t="shared" si="48"/>
        <x:v>Advanced 프로젝트</x:v>
      </x:c>
      <x:c r="K527" s="38" t="str">
        <x:f t="shared" si="49"/>
        <x:v>1교육실(실습겸용강의실)</x:v>
      </x:c>
      <x:c r="L527" s="38" t="str">
        <x:f t="shared" si="50"/>
        <x:v>양현수</x:v>
      </x:c>
      <x:c r="M527" s="63"/>
      <x:c r="N527" s="30">
        <x:f>IF(F527="2","",COUNTIF($F$3:$F527,"=1"))</x:f>
        <x:v>467</x:v>
      </x:c>
      <x:c r="O527" s="30">
        <x:f t="shared" si="51"/>
        <x:v>6</x:v>
      </x:c>
      <x:c r="P527" s="30">
        <x:f t="shared" si="53"/>
        <x:v>5</x:v>
      </x:c>
      <x:c r="Q527" s="30">
        <x:f>COUNTIF($P$3:P527,"=3")</x:f>
        <x:v>59</x:v>
      </x:c>
      <x:c r="R527" s="29">
        <x:f>WORKDAY(기본입력!$H$2,Q527-1,공휴일)</x:f>
        <x:v>46009</x:v>
      </x:c>
    </x:row>
    <x:row r="528" spans="1:18">
      <x:c r="A528" s="144" t="str">
        <x:f t="shared" si="52"/>
        <x:v>20251218</x:v>
      </x:c>
      <x:c r="B528" s="6" t="s">
        <x:v>5</x:v>
      </x:c>
      <x:c r="C528" s="6">
        <x:v>1740</x:v>
      </x:c>
      <x:c r="D528" s="5" t="s">
        <x:v>1</x:v>
      </x:c>
      <x:c r="E528" s="6" t="s">
        <x:v>88</x:v>
      </x:c>
      <x:c r="F528" s="6" t="s">
        <x:v>40</x:v>
      </x:c>
      <x:c r="G528" s="14" t="str">
        <x:f>IF(OR(N528="",N528&gt;기본입력!$C$34),"",VLOOKUP(O528,기본입력!$A$9:$F$33,5))</x:f>
        <x:v>양현수_53778</x:v>
      </x:c>
      <x:c r="H528" s="14" t="str">
        <x:f>IF(OR(N528="",N528&gt;기본입력!$C$34),"",기본입력!$C$6)</x:f>
        <x:v>1교육실(실습겸용강의실)_243089</x:v>
      </x:c>
      <x:c r="I528" s="14" t="str">
        <x:f>IF(OR(O528="",N528&gt;기본입력!$C$34),"",VLOOKUP(O528,기본입력!$A$9:$F$33,6,FALSE))</x:f>
        <x:v>Advanced 프로젝트_9</x:v>
      </x:c>
      <x:c r="J528" s="38" t="str">
        <x:f t="shared" si="48"/>
        <x:v>Advanced 프로젝트</x:v>
      </x:c>
      <x:c r="K528" s="38" t="str">
        <x:f t="shared" si="49"/>
        <x:v>1교육실(실습겸용강의실)</x:v>
      </x:c>
      <x:c r="L528" s="38" t="str">
        <x:f t="shared" si="50"/>
        <x:v>양현수</x:v>
      </x:c>
      <x:c r="M528" s="63"/>
      <x:c r="N528" s="30">
        <x:f>IF(F528="2","",COUNTIF($F$3:$F528,"=1"))</x:f>
        <x:v>468</x:v>
      </x:c>
      <x:c r="O528" s="30">
        <x:f t="shared" si="51"/>
        <x:v>6</x:v>
      </x:c>
      <x:c r="P528" s="30">
        <x:f t="shared" si="53"/>
        <x:v>6</x:v>
      </x:c>
      <x:c r="Q528" s="30">
        <x:f>COUNTIF($P$3:P528,"=3")</x:f>
        <x:v>59</x:v>
      </x:c>
      <x:c r="R528" s="29">
        <x:f>WORKDAY(기본입력!$H$2,Q528-1,공휴일)</x:f>
        <x:v>46009</x:v>
      </x:c>
    </x:row>
    <x:row r="529" spans="1:18">
      <x:c r="A529" s="144" t="str">
        <x:f t="shared" si="52"/>
        <x:v>20251218</x:v>
      </x:c>
      <x:c r="B529" s="6" t="s">
        <x:v>5</x:v>
      </x:c>
      <x:c r="C529" s="6">
        <x:v>1740</x:v>
      </x:c>
      <x:c r="D529" s="5" t="s">
        <x:v>1</x:v>
      </x:c>
      <x:c r="E529" s="6" t="s">
        <x:v>0</x:v>
      </x:c>
      <x:c r="F529" s="6" t="s">
        <x:v>41</x:v>
      </x:c>
      <x:c r="G529" s="14" t="str">
        <x:f>IF(OR(N529="",N529&gt;기본입력!$C$34),"",VLOOKUP(O529,기본입력!$A$9:$F$33,5))</x:f>
        <x:v/>
      </x:c>
      <x:c r="H529" s="14" t="str">
        <x:f>IF(OR(N529="",N529&gt;기본입력!$C$34),"",기본입력!$C$6)</x:f>
        <x:v/>
      </x:c>
      <x:c r="I529" s="14" t="str">
        <x:f>IF(OR(O529="",N529&gt;기본입력!$C$34),"",VLOOKUP(O529,기본입력!$A$9:$F$33,6,FALSE))</x:f>
        <x:v/>
      </x:c>
      <x:c r="J529" s="38" t="str">
        <x:f t="shared" si="48"/>
        <x:v/>
      </x:c>
      <x:c r="K529" s="38" t="str">
        <x:f t="shared" si="49"/>
        <x:v/>
      </x:c>
      <x:c r="L529" s="38" t="str">
        <x:f t="shared" si="50"/>
        <x:v/>
      </x:c>
      <x:c r="M529" s="63"/>
      <x:c r="N529" s="30" t="str">
        <x:f>IF(F529="2","",COUNTIF($F$3:$F529,"=1"))</x:f>
        <x:v/>
      </x:c>
      <x:c r="O529" s="30" t="str">
        <x:f t="shared" si="51"/>
        <x:v/>
      </x:c>
      <x:c r="P529" s="30">
        <x:f t="shared" si="53"/>
        <x:v>7</x:v>
      </x:c>
      <x:c r="Q529" s="30">
        <x:f>COUNTIF($P$3:P529,"=3")</x:f>
        <x:v>59</x:v>
      </x:c>
      <x:c r="R529" s="29">
        <x:f>WORKDAY(기본입력!$H$2,Q529-1,공휴일)</x:f>
        <x:v>46009</x:v>
      </x:c>
    </x:row>
    <x:row r="530" spans="1:18">
      <x:c r="A530" s="144" t="str">
        <x:f t="shared" si="52"/>
        <x:v>20251218</x:v>
      </x:c>
      <x:c r="B530" s="6" t="s">
        <x:v>5</x:v>
      </x:c>
      <x:c r="C530" s="6">
        <x:v>1740</x:v>
      </x:c>
      <x:c r="D530" s="5" t="s">
        <x:v>1</x:v>
      </x:c>
      <x:c r="E530" s="6">
        <x:v>1340</x:v>
      </x:c>
      <x:c r="F530" s="6" t="s">
        <x:v>40</x:v>
      </x:c>
      <x:c r="G530" s="14" t="str">
        <x:f>IF(OR(N530="",N530&gt;기본입력!$C$34),"",VLOOKUP(O530,기본입력!$A$9:$F$33,5))</x:f>
        <x:v>양현수_53778</x:v>
      </x:c>
      <x:c r="H530" s="14" t="str">
        <x:f>IF(OR(N530="",N530&gt;기본입력!$C$34),"",기본입력!$C$6)</x:f>
        <x:v>1교육실(실습겸용강의실)_243089</x:v>
      </x:c>
      <x:c r="I530" s="14" t="str">
        <x:f>IF(OR(O530="",N530&gt;기본입력!$C$34),"",VLOOKUP(O530,기본입력!$A$9:$F$33,6,FALSE))</x:f>
        <x:v>Advanced 프로젝트_9</x:v>
      </x:c>
      <x:c r="J530" s="38" t="str">
        <x:f t="shared" si="48"/>
        <x:v>Advanced 프로젝트</x:v>
      </x:c>
      <x:c r="K530" s="38" t="str">
        <x:f t="shared" si="49"/>
        <x:v>1교육실(실습겸용강의실)</x:v>
      </x:c>
      <x:c r="L530" s="38" t="str">
        <x:f t="shared" si="50"/>
        <x:v>양현수</x:v>
      </x:c>
      <x:c r="M530" s="63"/>
      <x:c r="N530" s="30">
        <x:f>IF(F530="2","",COUNTIF($F$3:$F530,"=1"))</x:f>
        <x:v>469</x:v>
      </x:c>
      <x:c r="O530" s="30">
        <x:f t="shared" si="51"/>
        <x:v>6</x:v>
      </x:c>
      <x:c r="P530" s="30">
        <x:f t="shared" si="53"/>
        <x:v>8</x:v>
      </x:c>
      <x:c r="Q530" s="30">
        <x:f>COUNTIF($P$3:P530,"=3")</x:f>
        <x:v>59</x:v>
      </x:c>
      <x:c r="R530" s="29">
        <x:f>WORKDAY(기본입력!$H$2,Q530-1,공휴일)</x:f>
        <x:v>46009</x:v>
      </x:c>
    </x:row>
    <x:row r="531" spans="1:18">
      <x:c r="A531" s="144" t="str">
        <x:f t="shared" si="52"/>
        <x:v>20251218</x:v>
      </x:c>
      <x:c r="B531" s="6" t="s">
        <x:v>5</x:v>
      </x:c>
      <x:c r="C531" s="6">
        <x:v>1740</x:v>
      </x:c>
      <x:c r="D531" s="5" t="s">
        <x:v>1</x:v>
      </x:c>
      <x:c r="E531" s="6">
        <x:v>1440</x:v>
      </x:c>
      <x:c r="F531" s="6" t="s">
        <x:v>40</x:v>
      </x:c>
      <x:c r="G531" s="14" t="str">
        <x:f>IF(OR(N531="",N531&gt;기본입력!$C$34),"",VLOOKUP(O531,기본입력!$A$9:$F$33,5))</x:f>
        <x:v>양현수_53778</x:v>
      </x:c>
      <x:c r="H531" s="14" t="str">
        <x:f>IF(OR(N531="",N531&gt;기본입력!$C$34),"",기본입력!$C$6)</x:f>
        <x:v>1교육실(실습겸용강의실)_243089</x:v>
      </x:c>
      <x:c r="I531" s="14" t="str">
        <x:f>IF(OR(O531="",N531&gt;기본입력!$C$34),"",VLOOKUP(O531,기본입력!$A$9:$F$33,6,FALSE))</x:f>
        <x:v>Advanced 프로젝트_9</x:v>
      </x:c>
      <x:c r="J531" s="38" t="str">
        <x:f t="shared" si="48"/>
        <x:v>Advanced 프로젝트</x:v>
      </x:c>
      <x:c r="K531" s="38" t="str">
        <x:f t="shared" si="49"/>
        <x:v>1교육실(실습겸용강의실)</x:v>
      </x:c>
      <x:c r="L531" s="38" t="str">
        <x:f t="shared" si="50"/>
        <x:v>양현수</x:v>
      </x:c>
      <x:c r="M531" s="63"/>
      <x:c r="N531" s="30">
        <x:f>IF(F531="2","",COUNTIF($F$3:$F531,"=1"))</x:f>
        <x:v>470</x:v>
      </x:c>
      <x:c r="O531" s="30">
        <x:f t="shared" si="51"/>
        <x:v>6</x:v>
      </x:c>
      <x:c r="P531" s="30">
        <x:f t="shared" si="53"/>
        <x:v>0</x:v>
      </x:c>
      <x:c r="Q531" s="30">
        <x:f>COUNTIF($P$3:P531,"=3")</x:f>
        <x:v>59</x:v>
      </x:c>
      <x:c r="R531" s="29">
        <x:f>WORKDAY(기본입력!$H$2,Q531-1,공휴일)</x:f>
        <x:v>46009</x:v>
      </x:c>
    </x:row>
    <x:row r="532" spans="1:18">
      <x:c r="A532" s="144" t="str">
        <x:f t="shared" si="52"/>
        <x:v>20251218</x:v>
      </x:c>
      <x:c r="B532" s="6" t="s">
        <x:v>5</x:v>
      </x:c>
      <x:c r="C532" s="6">
        <x:v>1740</x:v>
      </x:c>
      <x:c r="D532" s="5" t="s">
        <x:v>1</x:v>
      </x:c>
      <x:c r="E532" s="6">
        <x:v>1540</x:v>
      </x:c>
      <x:c r="F532" s="6" t="s">
        <x:v>40</x:v>
      </x:c>
      <x:c r="G532" s="14" t="str">
        <x:f>IF(OR(N532="",N532&gt;기본입력!$C$34),"",VLOOKUP(O532,기본입력!$A$9:$F$33,5))</x:f>
        <x:v>양현수_53778</x:v>
      </x:c>
      <x:c r="H532" s="14" t="str">
        <x:f>IF(OR(N532="",N532&gt;기본입력!$C$34),"",기본입력!$C$6)</x:f>
        <x:v>1교육실(실습겸용강의실)_243089</x:v>
      </x:c>
      <x:c r="I532" s="14" t="str">
        <x:f>IF(OR(O532="",N532&gt;기본입력!$C$34),"",VLOOKUP(O532,기본입력!$A$9:$F$33,6,FALSE))</x:f>
        <x:v>Advanced 프로젝트_9</x:v>
      </x:c>
      <x:c r="J532" s="38" t="str">
        <x:f t="shared" si="48"/>
        <x:v>Advanced 프로젝트</x:v>
      </x:c>
      <x:c r="K532" s="38" t="str">
        <x:f t="shared" si="49"/>
        <x:v>1교육실(실습겸용강의실)</x:v>
      </x:c>
      <x:c r="L532" s="38" t="str">
        <x:f t="shared" si="50"/>
        <x:v>양현수</x:v>
      </x:c>
      <x:c r="M532" s="63"/>
      <x:c r="N532" s="30">
        <x:f>IF(F532="2","",COUNTIF($F$3:$F532,"=1"))</x:f>
        <x:v>471</x:v>
      </x:c>
      <x:c r="O532" s="30">
        <x:f t="shared" si="51"/>
        <x:v>6</x:v>
      </x:c>
      <x:c r="P532" s="30">
        <x:f t="shared" si="53"/>
        <x:v>1</x:v>
      </x:c>
      <x:c r="Q532" s="30">
        <x:f>COUNTIF($P$3:P532,"=3")</x:f>
        <x:v>59</x:v>
      </x:c>
      <x:c r="R532" s="29">
        <x:f>WORKDAY(기본입력!$H$2,Q532-1,공휴일)</x:f>
        <x:v>46009</x:v>
      </x:c>
    </x:row>
    <x:row r="533" spans="1:18">
      <x:c r="A533" s="144" t="str">
        <x:f t="shared" si="52"/>
        <x:v>20251218</x:v>
      </x:c>
      <x:c r="B533" s="6" t="s">
        <x:v>5</x:v>
      </x:c>
      <x:c r="C533" s="6">
        <x:v>1740</x:v>
      </x:c>
      <x:c r="D533" s="5" t="s">
        <x:v>1</x:v>
      </x:c>
      <x:c r="E533" s="6">
        <x:v>1640</x:v>
      </x:c>
      <x:c r="F533" s="6" t="s">
        <x:v>40</x:v>
      </x:c>
      <x:c r="G533" s="14" t="str">
        <x:f>IF(OR(N533="",N533&gt;기본입력!$C$34),"",VLOOKUP(O533,기본입력!$A$9:$F$33,5))</x:f>
        <x:v>양현수_53778</x:v>
      </x:c>
      <x:c r="H533" s="14" t="str">
        <x:f>IF(OR(N533="",N533&gt;기본입력!$C$34),"",기본입력!$C$6)</x:f>
        <x:v>1교육실(실습겸용강의실)_243089</x:v>
      </x:c>
      <x:c r="I533" s="14" t="str">
        <x:f>IF(OR(O533="",N533&gt;기본입력!$C$34),"",VLOOKUP(O533,기본입력!$A$9:$F$33,6,FALSE))</x:f>
        <x:v>Advanced 프로젝트_9</x:v>
      </x:c>
      <x:c r="J533" s="38" t="str">
        <x:f t="shared" si="48"/>
        <x:v>Advanced 프로젝트</x:v>
      </x:c>
      <x:c r="K533" s="38" t="str">
        <x:f t="shared" si="49"/>
        <x:v>1교육실(실습겸용강의실)</x:v>
      </x:c>
      <x:c r="L533" s="38" t="str">
        <x:f t="shared" si="50"/>
        <x:v>양현수</x:v>
      </x:c>
      <x:c r="M533" s="63"/>
      <x:c r="N533" s="30">
        <x:f>IF(F533="2","",COUNTIF($F$3:$F533,"=1"))</x:f>
        <x:v>472</x:v>
      </x:c>
      <x:c r="O533" s="30">
        <x:f t="shared" si="51"/>
        <x:v>6</x:v>
      </x:c>
      <x:c r="P533" s="30">
        <x:f t="shared" si="53"/>
        <x:v>2</x:v>
      </x:c>
      <x:c r="Q533" s="30">
        <x:f>COUNTIF($P$3:P533,"=3")</x:f>
        <x:v>59</x:v>
      </x:c>
      <x:c r="R533" s="29">
        <x:f>WORKDAY(기본입력!$H$2,Q533-1,공휴일)</x:f>
        <x:v>46009</x:v>
      </x:c>
    </x:row>
    <x:row r="534" spans="1:18">
      <x:c r="A534" s="145" t="str">
        <x:f t="shared" si="52"/>
        <x:v>20251219</x:v>
      </x:c>
      <x:c r="B534" s="8" t="s">
        <x:v>5</x:v>
      </x:c>
      <x:c r="C534" s="8">
        <x:v>1740</x:v>
      </x:c>
      <x:c r="D534" s="7" t="s">
        <x:v>1</x:v>
      </x:c>
      <x:c r="E534" s="8" t="s">
        <x:v>5</x:v>
      </x:c>
      <x:c r="F534" s="8" t="s">
        <x:v>40</x:v>
      </x:c>
      <x:c r="G534" s="15" t="str">
        <x:f>IF(OR(N534="",N534&gt;기본입력!$C$34),"",VLOOKUP(O534,기본입력!$A$9:$F$33,5))</x:f>
        <x:v>양현수_53778</x:v>
      </x:c>
      <x:c r="H534" s="15" t="str">
        <x:f>IF(OR(N534="",N534&gt;기본입력!$C$34),"",기본입력!$C$6)</x:f>
        <x:v>1교육실(실습겸용강의실)_243089</x:v>
      </x:c>
      <x:c r="I534" s="15" t="str">
        <x:f>IF(OR(O534="",N534&gt;기본입력!$C$34),"",VLOOKUP(O534,기본입력!$A$9:$F$33,6,FALSE))</x:f>
        <x:v>Advanced 프로젝트_9</x:v>
      </x:c>
      <x:c r="J534" s="38" t="str">
        <x:f t="shared" si="48"/>
        <x:v>Advanced 프로젝트</x:v>
      </x:c>
      <x:c r="K534" s="38" t="str">
        <x:f t="shared" si="49"/>
        <x:v>1교육실(실습겸용강의실)</x:v>
      </x:c>
      <x:c r="L534" s="38" t="str">
        <x:f t="shared" si="50"/>
        <x:v>양현수</x:v>
      </x:c>
      <x:c r="M534" s="63"/>
      <x:c r="N534" s="30">
        <x:f>IF(F534="2","",COUNTIF($F$3:$F534,"=1"))</x:f>
        <x:v>473</x:v>
      </x:c>
      <x:c r="O534" s="30">
        <x:f t="shared" si="51"/>
        <x:v>6</x:v>
      </x:c>
      <x:c r="P534" s="30">
        <x:f t="shared" si="53"/>
        <x:v>3</x:v>
      </x:c>
      <x:c r="Q534" s="30">
        <x:f>COUNTIF($P$3:P534,"=3")</x:f>
        <x:v>60</x:v>
      </x:c>
      <x:c r="R534" s="29">
        <x:f>WORKDAY(기본입력!$H$2,Q534-1,공휴일)</x:f>
        <x:v>46010</x:v>
      </x:c>
    </x:row>
    <x:row r="535" spans="1:18">
      <x:c r="A535" s="145" t="str">
        <x:f t="shared" si="52"/>
        <x:v>20251219</x:v>
      </x:c>
      <x:c r="B535" s="8" t="s">
        <x:v>5</x:v>
      </x:c>
      <x:c r="C535" s="8">
        <x:v>1740</x:v>
      </x:c>
      <x:c r="D535" s="7" t="s">
        <x:v>1</x:v>
      </x:c>
      <x:c r="E535" s="8" t="s">
        <x:v>117</x:v>
      </x:c>
      <x:c r="F535" s="8" t="s">
        <x:v>40</x:v>
      </x:c>
      <x:c r="G535" s="15" t="str">
        <x:f>IF(OR(N535="",N535&gt;기본입력!$C$34),"",VLOOKUP(O535,기본입력!$A$9:$F$33,5))</x:f>
        <x:v>양현수_53778</x:v>
      </x:c>
      <x:c r="H535" s="15" t="str">
        <x:f>IF(OR(N535="",N535&gt;기본입력!$C$34),"",기본입력!$C$6)</x:f>
        <x:v>1교육실(실습겸용강의실)_243089</x:v>
      </x:c>
      <x:c r="I535" s="15" t="str">
        <x:f>IF(OR(O535="",N535&gt;기본입력!$C$34),"",VLOOKUP(O535,기본입력!$A$9:$F$33,6,FALSE))</x:f>
        <x:v>Advanced 프로젝트_9</x:v>
      </x:c>
      <x:c r="J535" s="38" t="str">
        <x:f t="shared" si="48"/>
        <x:v>Advanced 프로젝트</x:v>
      </x:c>
      <x:c r="K535" s="38" t="str">
        <x:f t="shared" si="49"/>
        <x:v>1교육실(실습겸용강의실)</x:v>
      </x:c>
      <x:c r="L535" s="38" t="str">
        <x:f t="shared" si="50"/>
        <x:v>양현수</x:v>
      </x:c>
      <x:c r="M535" s="63"/>
      <x:c r="N535" s="30">
        <x:f>IF(F535="2","",COUNTIF($F$3:$F535,"=1"))</x:f>
        <x:v>474</x:v>
      </x:c>
      <x:c r="O535" s="30">
        <x:f t="shared" si="51"/>
        <x:v>6</x:v>
      </x:c>
      <x:c r="P535" s="30">
        <x:f t="shared" si="53"/>
        <x:v>4</x:v>
      </x:c>
      <x:c r="Q535" s="30">
        <x:f>COUNTIF($P$3:P535,"=3")</x:f>
        <x:v>60</x:v>
      </x:c>
      <x:c r="R535" s="29">
        <x:f>WORKDAY(기본입력!$H$2,Q535-1,공휴일)</x:f>
        <x:v>46010</x:v>
      </x:c>
    </x:row>
    <x:row r="536" spans="1:18">
      <x:c r="A536" s="145" t="str">
        <x:f t="shared" si="52"/>
        <x:v>20251219</x:v>
      </x:c>
      <x:c r="B536" s="8" t="s">
        <x:v>5</x:v>
      </x:c>
      <x:c r="C536" s="8">
        <x:v>1740</x:v>
      </x:c>
      <x:c r="D536" s="7" t="s">
        <x:v>1</x:v>
      </x:c>
      <x:c r="E536" s="8" t="s">
        <x:v>87</x:v>
      </x:c>
      <x:c r="F536" s="8" t="s">
        <x:v>40</x:v>
      </x:c>
      <x:c r="G536" s="15" t="str">
        <x:f>IF(OR(N536="",N536&gt;기본입력!$C$34),"",VLOOKUP(O536,기본입력!$A$9:$F$33,5))</x:f>
        <x:v>양현수_53778</x:v>
      </x:c>
      <x:c r="H536" s="15" t="str">
        <x:f>IF(OR(N536="",N536&gt;기본입력!$C$34),"",기본입력!$C$6)</x:f>
        <x:v>1교육실(실습겸용강의실)_243089</x:v>
      </x:c>
      <x:c r="I536" s="15" t="str">
        <x:f>IF(OR(O536="",N536&gt;기본입력!$C$34),"",VLOOKUP(O536,기본입력!$A$9:$F$33,6,FALSE))</x:f>
        <x:v>Advanced 프로젝트_9</x:v>
      </x:c>
      <x:c r="J536" s="38" t="str">
        <x:f t="shared" si="48"/>
        <x:v>Advanced 프로젝트</x:v>
      </x:c>
      <x:c r="K536" s="38" t="str">
        <x:f t="shared" si="49"/>
        <x:v>1교육실(실습겸용강의실)</x:v>
      </x:c>
      <x:c r="L536" s="38" t="str">
        <x:f t="shared" si="50"/>
        <x:v>양현수</x:v>
      </x:c>
      <x:c r="M536" s="63"/>
      <x:c r="N536" s="30">
        <x:f>IF(F536="2","",COUNTIF($F$3:$F536,"=1"))</x:f>
        <x:v>475</x:v>
      </x:c>
      <x:c r="O536" s="30">
        <x:f t="shared" si="51"/>
        <x:v>6</x:v>
      </x:c>
      <x:c r="P536" s="30">
        <x:f t="shared" si="53"/>
        <x:v>5</x:v>
      </x:c>
      <x:c r="Q536" s="30">
        <x:f>COUNTIF($P$3:P536,"=3")</x:f>
        <x:v>60</x:v>
      </x:c>
      <x:c r="R536" s="29">
        <x:f>WORKDAY(기본입력!$H$2,Q536-1,공휴일)</x:f>
        <x:v>46010</x:v>
      </x:c>
    </x:row>
    <x:row r="537" spans="1:18">
      <x:c r="A537" s="145" t="str">
        <x:f t="shared" si="52"/>
        <x:v>20251219</x:v>
      </x:c>
      <x:c r="B537" s="8" t="s">
        <x:v>5</x:v>
      </x:c>
      <x:c r="C537" s="8">
        <x:v>1740</x:v>
      </x:c>
      <x:c r="D537" s="7" t="s">
        <x:v>1</x:v>
      </x:c>
      <x:c r="E537" s="8" t="s">
        <x:v>88</x:v>
      </x:c>
      <x:c r="F537" s="8" t="s">
        <x:v>40</x:v>
      </x:c>
      <x:c r="G537" s="15" t="str">
        <x:f>IF(OR(N537="",N537&gt;기본입력!$C$34),"",VLOOKUP(O537,기본입력!$A$9:$F$33,5))</x:f>
        <x:v>양현수_53778</x:v>
      </x:c>
      <x:c r="H537" s="15" t="str">
        <x:f>IF(OR(N537="",N537&gt;기본입력!$C$34),"",기본입력!$C$6)</x:f>
        <x:v>1교육실(실습겸용강의실)_243089</x:v>
      </x:c>
      <x:c r="I537" s="15" t="str">
        <x:f>IF(OR(O537="",N537&gt;기본입력!$C$34),"",VLOOKUP(O537,기본입력!$A$9:$F$33,6,FALSE))</x:f>
        <x:v>Advanced 프로젝트_9</x:v>
      </x:c>
      <x:c r="J537" s="38" t="str">
        <x:f t="shared" si="48"/>
        <x:v>Advanced 프로젝트</x:v>
      </x:c>
      <x:c r="K537" s="38" t="str">
        <x:f t="shared" si="49"/>
        <x:v>1교육실(실습겸용강의실)</x:v>
      </x:c>
      <x:c r="L537" s="38" t="str">
        <x:f t="shared" si="50"/>
        <x:v>양현수</x:v>
      </x:c>
      <x:c r="M537" s="63"/>
      <x:c r="N537" s="30">
        <x:f>IF(F537="2","",COUNTIF($F$3:$F537,"=1"))</x:f>
        <x:v>476</x:v>
      </x:c>
      <x:c r="O537" s="30">
        <x:f t="shared" si="51"/>
        <x:v>6</x:v>
      </x:c>
      <x:c r="P537" s="30">
        <x:f t="shared" si="53"/>
        <x:v>6</x:v>
      </x:c>
      <x:c r="Q537" s="30">
        <x:f>COUNTIF($P$3:P537,"=3")</x:f>
        <x:v>60</x:v>
      </x:c>
      <x:c r="R537" s="29">
        <x:f>WORKDAY(기본입력!$H$2,Q537-1,공휴일)</x:f>
        <x:v>46010</x:v>
      </x:c>
    </x:row>
    <x:row r="538" spans="1:18">
      <x:c r="A538" s="145" t="str">
        <x:f t="shared" si="52"/>
        <x:v>20251219</x:v>
      </x:c>
      <x:c r="B538" s="8" t="s">
        <x:v>5</x:v>
      </x:c>
      <x:c r="C538" s="8">
        <x:v>1740</x:v>
      </x:c>
      <x:c r="D538" s="7" t="s">
        <x:v>1</x:v>
      </x:c>
      <x:c r="E538" s="8" t="s">
        <x:v>0</x:v>
      </x:c>
      <x:c r="F538" s="8" t="s">
        <x:v>41</x:v>
      </x:c>
      <x:c r="G538" s="15" t="str">
        <x:f>IF(OR(N538="",N538&gt;기본입력!$C$34),"",VLOOKUP(O538,기본입력!$A$9:$F$33,5))</x:f>
        <x:v/>
      </x:c>
      <x:c r="H538" s="15" t="str">
        <x:f>IF(OR(N538="",N538&gt;기본입력!$C$34),"",기본입력!$C$6)</x:f>
        <x:v/>
      </x:c>
      <x:c r="I538" s="15" t="str">
        <x:f>IF(OR(O538="",N538&gt;기본입력!$C$34),"",VLOOKUP(O538,기본입력!$A$9:$F$33,6,FALSE))</x:f>
        <x:v/>
      </x:c>
      <x:c r="J538" s="38" t="str">
        <x:f t="shared" si="48"/>
        <x:v/>
      </x:c>
      <x:c r="K538" s="38" t="str">
        <x:f t="shared" si="49"/>
        <x:v/>
      </x:c>
      <x:c r="L538" s="38" t="str">
        <x:f t="shared" si="50"/>
        <x:v/>
      </x:c>
      <x:c r="M538" s="63"/>
      <x:c r="N538" s="30" t="str">
        <x:f>IF(F538="2","",COUNTIF($F$3:$F538,"=1"))</x:f>
        <x:v/>
      </x:c>
      <x:c r="O538" s="30" t="str">
        <x:f t="shared" si="51"/>
        <x:v/>
      </x:c>
      <x:c r="P538" s="30">
        <x:f t="shared" si="53"/>
        <x:v>7</x:v>
      </x:c>
      <x:c r="Q538" s="30">
        <x:f>COUNTIF($P$3:P538,"=3")</x:f>
        <x:v>60</x:v>
      </x:c>
      <x:c r="R538" s="29">
        <x:f>WORKDAY(기본입력!$H$2,Q538-1,공휴일)</x:f>
        <x:v>46010</x:v>
      </x:c>
    </x:row>
    <x:row r="539" spans="1:18">
      <x:c r="A539" s="145" t="str">
        <x:f t="shared" si="52"/>
        <x:v>20251219</x:v>
      </x:c>
      <x:c r="B539" s="8" t="s">
        <x:v>5</x:v>
      </x:c>
      <x:c r="C539" s="8">
        <x:v>1740</x:v>
      </x:c>
      <x:c r="D539" s="7" t="s">
        <x:v>1</x:v>
      </x:c>
      <x:c r="E539" s="8">
        <x:v>1340</x:v>
      </x:c>
      <x:c r="F539" s="8" t="s">
        <x:v>40</x:v>
      </x:c>
      <x:c r="G539" s="15" t="str">
        <x:f>IF(OR(N539="",N539&gt;기본입력!$C$34),"",VLOOKUP(O539,기본입력!$A$9:$F$33,5))</x:f>
        <x:v>양현수_53778</x:v>
      </x:c>
      <x:c r="H539" s="15" t="str">
        <x:f>IF(OR(N539="",N539&gt;기본입력!$C$34),"",기본입력!$C$6)</x:f>
        <x:v>1교육실(실습겸용강의실)_243089</x:v>
      </x:c>
      <x:c r="I539" s="15" t="str">
        <x:f>IF(OR(O539="",N539&gt;기본입력!$C$34),"",VLOOKUP(O539,기본입력!$A$9:$F$33,6,FALSE))</x:f>
        <x:v>Advanced 프로젝트_9</x:v>
      </x:c>
      <x:c r="J539" s="38" t="str">
        <x:f t="shared" si="48"/>
        <x:v>Advanced 프로젝트</x:v>
      </x:c>
      <x:c r="K539" s="38" t="str">
        <x:f t="shared" si="49"/>
        <x:v>1교육실(실습겸용강의실)</x:v>
      </x:c>
      <x:c r="L539" s="38" t="str">
        <x:f t="shared" si="50"/>
        <x:v>양현수</x:v>
      </x:c>
      <x:c r="M539" s="63"/>
      <x:c r="N539" s="30">
        <x:f>IF(F539="2","",COUNTIF($F$3:$F539,"=1"))</x:f>
        <x:v>477</x:v>
      </x:c>
      <x:c r="O539" s="30">
        <x:f t="shared" si="51"/>
        <x:v>6</x:v>
      </x:c>
      <x:c r="P539" s="30">
        <x:f t="shared" si="53"/>
        <x:v>8</x:v>
      </x:c>
      <x:c r="Q539" s="30">
        <x:f>COUNTIF($P$3:P539,"=3")</x:f>
        <x:v>60</x:v>
      </x:c>
      <x:c r="R539" s="29">
        <x:f>WORKDAY(기본입력!$H$2,Q539-1,공휴일)</x:f>
        <x:v>46010</x:v>
      </x:c>
    </x:row>
    <x:row r="540" spans="1:18">
      <x:c r="A540" s="145" t="str">
        <x:f t="shared" si="52"/>
        <x:v>20251219</x:v>
      </x:c>
      <x:c r="B540" s="8" t="s">
        <x:v>5</x:v>
      </x:c>
      <x:c r="C540" s="8">
        <x:v>1740</x:v>
      </x:c>
      <x:c r="D540" s="7" t="s">
        <x:v>1</x:v>
      </x:c>
      <x:c r="E540" s="8">
        <x:v>1440</x:v>
      </x:c>
      <x:c r="F540" s="8" t="s">
        <x:v>40</x:v>
      </x:c>
      <x:c r="G540" s="15" t="str">
        <x:f>IF(OR(N540="",N540&gt;기본입력!$C$34),"",VLOOKUP(O540,기본입력!$A$9:$F$33,5))</x:f>
        <x:v>양현수_53778</x:v>
      </x:c>
      <x:c r="H540" s="15" t="str">
        <x:f>IF(OR(N540="",N540&gt;기본입력!$C$34),"",기본입력!$C$6)</x:f>
        <x:v>1교육실(실습겸용강의실)_243089</x:v>
      </x:c>
      <x:c r="I540" s="15" t="str">
        <x:f>IF(OR(O540="",N540&gt;기본입력!$C$34),"",VLOOKUP(O540,기본입력!$A$9:$F$33,6,FALSE))</x:f>
        <x:v>Advanced 프로젝트_9</x:v>
      </x:c>
      <x:c r="J540" s="38" t="str">
        <x:f t="shared" si="48"/>
        <x:v>Advanced 프로젝트</x:v>
      </x:c>
      <x:c r="K540" s="38" t="str">
        <x:f t="shared" si="49"/>
        <x:v>1교육실(실습겸용강의실)</x:v>
      </x:c>
      <x:c r="L540" s="38" t="str">
        <x:f t="shared" si="50"/>
        <x:v>양현수</x:v>
      </x:c>
      <x:c r="M540" s="63"/>
      <x:c r="N540" s="30">
        <x:f>IF(F540="2","",COUNTIF($F$3:$F540,"=1"))</x:f>
        <x:v>478</x:v>
      </x:c>
      <x:c r="O540" s="30">
        <x:f t="shared" si="51"/>
        <x:v>6</x:v>
      </x:c>
      <x:c r="P540" s="30">
        <x:f t="shared" si="53"/>
        <x:v>0</x:v>
      </x:c>
      <x:c r="Q540" s="30">
        <x:f>COUNTIF($P$3:P540,"=3")</x:f>
        <x:v>60</x:v>
      </x:c>
      <x:c r="R540" s="29">
        <x:f>WORKDAY(기본입력!$H$2,Q540-1,공휴일)</x:f>
        <x:v>46010</x:v>
      </x:c>
    </x:row>
    <x:row r="541" spans="1:18">
      <x:c r="A541" s="145" t="str">
        <x:f t="shared" si="52"/>
        <x:v>20251219</x:v>
      </x:c>
      <x:c r="B541" s="8" t="s">
        <x:v>5</x:v>
      </x:c>
      <x:c r="C541" s="8">
        <x:v>1740</x:v>
      </x:c>
      <x:c r="D541" s="7" t="s">
        <x:v>1</x:v>
      </x:c>
      <x:c r="E541" s="8">
        <x:v>1540</x:v>
      </x:c>
      <x:c r="F541" s="8" t="s">
        <x:v>40</x:v>
      </x:c>
      <x:c r="G541" s="15" t="str">
        <x:f>IF(OR(N541="",N541&gt;기본입력!$C$34),"",VLOOKUP(O541,기본입력!$A$9:$F$33,5))</x:f>
        <x:v>양현수_53778</x:v>
      </x:c>
      <x:c r="H541" s="15" t="str">
        <x:f>IF(OR(N541="",N541&gt;기본입력!$C$34),"",기본입력!$C$6)</x:f>
        <x:v>1교육실(실습겸용강의실)_243089</x:v>
      </x:c>
      <x:c r="I541" s="15" t="str">
        <x:f>IF(OR(O541="",N541&gt;기본입력!$C$34),"",VLOOKUP(O541,기본입력!$A$9:$F$33,6,FALSE))</x:f>
        <x:v>Advanced 프로젝트_9</x:v>
      </x:c>
      <x:c r="J541" s="38" t="str">
        <x:f t="shared" si="48"/>
        <x:v>Advanced 프로젝트</x:v>
      </x:c>
      <x:c r="K541" s="38" t="str">
        <x:f t="shared" si="49"/>
        <x:v>1교육실(실습겸용강의실)</x:v>
      </x:c>
      <x:c r="L541" s="38" t="str">
        <x:f t="shared" si="50"/>
        <x:v>양현수</x:v>
      </x:c>
      <x:c r="M541" s="63"/>
      <x:c r="N541" s="30">
        <x:f>IF(F541="2","",COUNTIF($F$3:$F541,"=1"))</x:f>
        <x:v>479</x:v>
      </x:c>
      <x:c r="O541" s="30">
        <x:f t="shared" si="51"/>
        <x:v>6</x:v>
      </x:c>
      <x:c r="P541" s="30">
        <x:f t="shared" si="53"/>
        <x:v>1</x:v>
      </x:c>
      <x:c r="Q541" s="30">
        <x:f>COUNTIF($P$3:P541,"=3")</x:f>
        <x:v>60</x:v>
      </x:c>
      <x:c r="R541" s="29">
        <x:f>WORKDAY(기본입력!$H$2,Q541-1,공휴일)</x:f>
        <x:v>46010</x:v>
      </x:c>
    </x:row>
    <x:row r="542" spans="1:18">
      <x:c r="A542" s="145" t="str">
        <x:f t="shared" si="52"/>
        <x:v>20251219</x:v>
      </x:c>
      <x:c r="B542" s="8" t="s">
        <x:v>5</x:v>
      </x:c>
      <x:c r="C542" s="8">
        <x:v>1740</x:v>
      </x:c>
      <x:c r="D542" s="7" t="s">
        <x:v>1</x:v>
      </x:c>
      <x:c r="E542" s="8">
        <x:v>1640</x:v>
      </x:c>
      <x:c r="F542" s="8" t="s">
        <x:v>40</x:v>
      </x:c>
      <x:c r="G542" s="15" t="str">
        <x:f>IF(OR(N542="",N542&gt;기본입력!$C$34),"",VLOOKUP(O542,기본입력!$A$9:$F$33,5))</x:f>
        <x:v>양현수_53778</x:v>
      </x:c>
      <x:c r="H542" s="15" t="str">
        <x:f>IF(OR(N542="",N542&gt;기본입력!$C$34),"",기본입력!$C$6)</x:f>
        <x:v>1교육실(실습겸용강의실)_243089</x:v>
      </x:c>
      <x:c r="I542" s="15" t="str">
        <x:f>IF(OR(O542="",N542&gt;기본입력!$C$34),"",VLOOKUP(O542,기본입력!$A$9:$F$33,6,FALSE))</x:f>
        <x:v>Advanced 프로젝트_9</x:v>
      </x:c>
      <x:c r="J542" s="38" t="str">
        <x:f t="shared" si="48"/>
        <x:v>Advanced 프로젝트</x:v>
      </x:c>
      <x:c r="K542" s="38" t="str">
        <x:f t="shared" si="49"/>
        <x:v>1교육실(실습겸용강의실)</x:v>
      </x:c>
      <x:c r="L542" s="38" t="str">
        <x:f t="shared" si="50"/>
        <x:v>양현수</x:v>
      </x:c>
      <x:c r="M542" s="63"/>
      <x:c r="N542" s="30">
        <x:f>IF(F542="2","",COUNTIF($F$3:$F542,"=1"))</x:f>
        <x:v>480</x:v>
      </x:c>
      <x:c r="O542" s="30">
        <x:f t="shared" si="51"/>
        <x:v>6</x:v>
      </x:c>
      <x:c r="P542" s="30">
        <x:f t="shared" si="53"/>
        <x:v>2</x:v>
      </x:c>
      <x:c r="Q542" s="30">
        <x:f>COUNTIF($P$3:P542,"=3")</x:f>
        <x:v>60</x:v>
      </x:c>
      <x:c r="R542" s="29">
        <x:f>WORKDAY(기본입력!$H$2,Q542-1,공휴일)</x:f>
        <x:v>46010</x:v>
      </x:c>
    </x:row>
    <x:row r="543" spans="1:18">
      <x:c r="A543" s="144" t="str">
        <x:f t="shared" si="52"/>
        <x:v>20251222</x:v>
      </x:c>
      <x:c r="B543" s="6" t="s">
        <x:v>5</x:v>
      </x:c>
      <x:c r="C543" s="6">
        <x:v>1740</x:v>
      </x:c>
      <x:c r="D543" s="5" t="s">
        <x:v>1</x:v>
      </x:c>
      <x:c r="E543" s="6" t="s">
        <x:v>5</x:v>
      </x:c>
      <x:c r="F543" s="6" t="s">
        <x:v>40</x:v>
      </x:c>
      <x:c r="G543" s="14" t="str">
        <x:f>IF(OR(N543="",N543&gt;기본입력!$C$34),"",VLOOKUP(O543,기본입력!$A$9:$F$33,5))</x:f>
        <x:v>양현수_53778</x:v>
      </x:c>
      <x:c r="H543" s="14" t="str">
        <x:f>IF(OR(N543="",N543&gt;기본입력!$C$34),"",기본입력!$C$6)</x:f>
        <x:v>1교육실(실습겸용강의실)_243089</x:v>
      </x:c>
      <x:c r="I543" s="14" t="str">
        <x:f>IF(OR(O543="",N543&gt;기본입력!$C$34),"",VLOOKUP(O543,기본입력!$A$9:$F$33,6,FALSE))</x:f>
        <x:v>Advanced 프로젝트_9</x:v>
      </x:c>
      <x:c r="J543" s="38" t="str">
        <x:f t="shared" si="48"/>
        <x:v>Advanced 프로젝트</x:v>
      </x:c>
      <x:c r="K543" s="38" t="str">
        <x:f t="shared" si="49"/>
        <x:v>1교육실(실습겸용강의실)</x:v>
      </x:c>
      <x:c r="L543" s="38" t="str">
        <x:f t="shared" si="50"/>
        <x:v>양현수</x:v>
      </x:c>
      <x:c r="M543" s="63"/>
      <x:c r="N543" s="30">
        <x:f>IF(F543="2","",COUNTIF($F$3:$F543,"=1"))</x:f>
        <x:v>481</x:v>
      </x:c>
      <x:c r="O543" s="30">
        <x:f t="shared" si="51"/>
        <x:v>6</x:v>
      </x:c>
      <x:c r="P543" s="30">
        <x:f t="shared" si="53"/>
        <x:v>3</x:v>
      </x:c>
      <x:c r="Q543" s="30">
        <x:f>COUNTIF($P$3:P543,"=3")</x:f>
        <x:v>61</x:v>
      </x:c>
      <x:c r="R543" s="29">
        <x:f>WORKDAY(기본입력!$H$2,Q543-1,공휴일)</x:f>
        <x:v>46013</x:v>
      </x:c>
    </x:row>
    <x:row r="544" spans="1:18">
      <x:c r="A544" s="144" t="str">
        <x:f t="shared" si="52"/>
        <x:v>20251222</x:v>
      </x:c>
      <x:c r="B544" s="6" t="s">
        <x:v>5</x:v>
      </x:c>
      <x:c r="C544" s="6">
        <x:v>1740</x:v>
      </x:c>
      <x:c r="D544" s="5" t="s">
        <x:v>1</x:v>
      </x:c>
      <x:c r="E544" s="6" t="s">
        <x:v>117</x:v>
      </x:c>
      <x:c r="F544" s="6" t="s">
        <x:v>40</x:v>
      </x:c>
      <x:c r="G544" s="14" t="str">
        <x:f>IF(OR(N544="",N544&gt;기본입력!$C$34),"",VLOOKUP(O544,기본입력!$A$9:$F$33,5))</x:f>
        <x:v>양현수_53778</x:v>
      </x:c>
      <x:c r="H544" s="14" t="str">
        <x:f>IF(OR(N544="",N544&gt;기본입력!$C$34),"",기본입력!$C$6)</x:f>
        <x:v>1교육실(실습겸용강의실)_243089</x:v>
      </x:c>
      <x:c r="I544" s="14" t="str">
        <x:f>IF(OR(O544="",N544&gt;기본입력!$C$34),"",VLOOKUP(O544,기본입력!$A$9:$F$33,6,FALSE))</x:f>
        <x:v>Advanced 프로젝트_9</x:v>
      </x:c>
      <x:c r="J544" s="38" t="str">
        <x:f t="shared" si="48"/>
        <x:v>Advanced 프로젝트</x:v>
      </x:c>
      <x:c r="K544" s="38" t="str">
        <x:f t="shared" si="49"/>
        <x:v>1교육실(실습겸용강의실)</x:v>
      </x:c>
      <x:c r="L544" s="38" t="str">
        <x:f t="shared" si="50"/>
        <x:v>양현수</x:v>
      </x:c>
      <x:c r="M544" s="63"/>
      <x:c r="N544" s="30">
        <x:f>IF(F544="2","",COUNTIF($F$3:$F544,"=1"))</x:f>
        <x:v>482</x:v>
      </x:c>
      <x:c r="O544" s="30">
        <x:f t="shared" si="51"/>
        <x:v>6</x:v>
      </x:c>
      <x:c r="P544" s="30">
        <x:f t="shared" si="53"/>
        <x:v>4</x:v>
      </x:c>
      <x:c r="Q544" s="30">
        <x:f>COUNTIF($P$3:P544,"=3")</x:f>
        <x:v>61</x:v>
      </x:c>
      <x:c r="R544" s="29">
        <x:f>WORKDAY(기본입력!$H$2,Q544-1,공휴일)</x:f>
        <x:v>46013</x:v>
      </x:c>
    </x:row>
    <x:row r="545" spans="1:18">
      <x:c r="A545" s="144" t="str">
        <x:f t="shared" si="52"/>
        <x:v>20251222</x:v>
      </x:c>
      <x:c r="B545" s="6" t="s">
        <x:v>5</x:v>
      </x:c>
      <x:c r="C545" s="6">
        <x:v>1740</x:v>
      </x:c>
      <x:c r="D545" s="5" t="s">
        <x:v>1</x:v>
      </x:c>
      <x:c r="E545" s="6" t="s">
        <x:v>87</x:v>
      </x:c>
      <x:c r="F545" s="6" t="s">
        <x:v>40</x:v>
      </x:c>
      <x:c r="G545" s="14" t="str">
        <x:f>IF(OR(N545="",N545&gt;기본입력!$C$34),"",VLOOKUP(O545,기본입력!$A$9:$F$33,5))</x:f>
        <x:v>양현수_53778</x:v>
      </x:c>
      <x:c r="H545" s="14" t="str">
        <x:f>IF(OR(N545="",N545&gt;기본입력!$C$34),"",기본입력!$C$6)</x:f>
        <x:v>1교육실(실습겸용강의실)_243089</x:v>
      </x:c>
      <x:c r="I545" s="14" t="str">
        <x:f>IF(OR(O545="",N545&gt;기본입력!$C$34),"",VLOOKUP(O545,기본입력!$A$9:$F$33,6,FALSE))</x:f>
        <x:v>Advanced 프로젝트_9</x:v>
      </x:c>
      <x:c r="J545" s="38" t="str">
        <x:f t="shared" si="48"/>
        <x:v>Advanced 프로젝트</x:v>
      </x:c>
      <x:c r="K545" s="38" t="str">
        <x:f t="shared" si="49"/>
        <x:v>1교육실(실습겸용강의실)</x:v>
      </x:c>
      <x:c r="L545" s="38" t="str">
        <x:f t="shared" si="50"/>
        <x:v>양현수</x:v>
      </x:c>
      <x:c r="M545" s="63"/>
      <x:c r="N545" s="30">
        <x:f>IF(F545="2","",COUNTIF($F$3:$F545,"=1"))</x:f>
        <x:v>483</x:v>
      </x:c>
      <x:c r="O545" s="30">
        <x:f t="shared" si="51"/>
        <x:v>6</x:v>
      </x:c>
      <x:c r="P545" s="30">
        <x:f t="shared" si="53"/>
        <x:v>5</x:v>
      </x:c>
      <x:c r="Q545" s="30">
        <x:f>COUNTIF($P$3:P545,"=3")</x:f>
        <x:v>61</x:v>
      </x:c>
      <x:c r="R545" s="29">
        <x:f>WORKDAY(기본입력!$H$2,Q545-1,공휴일)</x:f>
        <x:v>46013</x:v>
      </x:c>
    </x:row>
    <x:row r="546" spans="1:18">
      <x:c r="A546" s="144" t="str">
        <x:f t="shared" si="52"/>
        <x:v>20251222</x:v>
      </x:c>
      <x:c r="B546" s="6" t="s">
        <x:v>5</x:v>
      </x:c>
      <x:c r="C546" s="6">
        <x:v>1740</x:v>
      </x:c>
      <x:c r="D546" s="5" t="s">
        <x:v>1</x:v>
      </x:c>
      <x:c r="E546" s="6" t="s">
        <x:v>88</x:v>
      </x:c>
      <x:c r="F546" s="6" t="s">
        <x:v>40</x:v>
      </x:c>
      <x:c r="G546" s="14" t="str">
        <x:f>IF(OR(N546="",N546&gt;기본입력!$C$34),"",VLOOKUP(O546,기본입력!$A$9:$F$33,5))</x:f>
        <x:v>양현수_53778</x:v>
      </x:c>
      <x:c r="H546" s="14" t="str">
        <x:f>IF(OR(N546="",N546&gt;기본입력!$C$34),"",기본입력!$C$6)</x:f>
        <x:v>1교육실(실습겸용강의실)_243089</x:v>
      </x:c>
      <x:c r="I546" s="14" t="str">
        <x:f>IF(OR(O546="",N546&gt;기본입력!$C$34),"",VLOOKUP(O546,기본입력!$A$9:$F$33,6,FALSE))</x:f>
        <x:v>Advanced 프로젝트_9</x:v>
      </x:c>
      <x:c r="J546" s="38" t="str">
        <x:f t="shared" si="48"/>
        <x:v>Advanced 프로젝트</x:v>
      </x:c>
      <x:c r="K546" s="38" t="str">
        <x:f t="shared" si="49"/>
        <x:v>1교육실(실습겸용강의실)</x:v>
      </x:c>
      <x:c r="L546" s="38" t="str">
        <x:f t="shared" si="50"/>
        <x:v>양현수</x:v>
      </x:c>
      <x:c r="M546" s="63"/>
      <x:c r="N546" s="30">
        <x:f>IF(F546="2","",COUNTIF($F$3:$F546,"=1"))</x:f>
        <x:v>484</x:v>
      </x:c>
      <x:c r="O546" s="30">
        <x:f t="shared" si="51"/>
        <x:v>6</x:v>
      </x:c>
      <x:c r="P546" s="30">
        <x:f t="shared" si="53"/>
        <x:v>6</x:v>
      </x:c>
      <x:c r="Q546" s="30">
        <x:f>COUNTIF($P$3:P546,"=3")</x:f>
        <x:v>61</x:v>
      </x:c>
      <x:c r="R546" s="29">
        <x:f>WORKDAY(기본입력!$H$2,Q546-1,공휴일)</x:f>
        <x:v>46013</x:v>
      </x:c>
    </x:row>
    <x:row r="547" spans="1:18">
      <x:c r="A547" s="144" t="str">
        <x:f t="shared" si="52"/>
        <x:v>20251222</x:v>
      </x:c>
      <x:c r="B547" s="6" t="s">
        <x:v>5</x:v>
      </x:c>
      <x:c r="C547" s="6">
        <x:v>1740</x:v>
      </x:c>
      <x:c r="D547" s="5" t="s">
        <x:v>1</x:v>
      </x:c>
      <x:c r="E547" s="6" t="s">
        <x:v>0</x:v>
      </x:c>
      <x:c r="F547" s="6" t="s">
        <x:v>41</x:v>
      </x:c>
      <x:c r="G547" s="14" t="str">
        <x:f>IF(OR(N547="",N547&gt;기본입력!$C$34),"",VLOOKUP(O547,기본입력!$A$9:$F$33,5))</x:f>
        <x:v/>
      </x:c>
      <x:c r="H547" s="14" t="str">
        <x:f>IF(OR(N547="",N547&gt;기본입력!$C$34),"",기본입력!$C$6)</x:f>
        <x:v/>
      </x:c>
      <x:c r="I547" s="14" t="str">
        <x:f>IF(OR(O547="",N547&gt;기본입력!$C$34),"",VLOOKUP(O547,기본입력!$A$9:$F$33,6,FALSE))</x:f>
        <x:v/>
      </x:c>
      <x:c r="J547" s="38" t="str">
        <x:f t="shared" si="48"/>
        <x:v/>
      </x:c>
      <x:c r="K547" s="38" t="str">
        <x:f t="shared" si="49"/>
        <x:v/>
      </x:c>
      <x:c r="L547" s="38" t="str">
        <x:f t="shared" si="50"/>
        <x:v/>
      </x:c>
      <x:c r="M547" s="63"/>
      <x:c r="N547" s="30" t="str">
        <x:f>IF(F547="2","",COUNTIF($F$3:$F547,"=1"))</x:f>
        <x:v/>
      </x:c>
      <x:c r="O547" s="30" t="str">
        <x:f t="shared" si="51"/>
        <x:v/>
      </x:c>
      <x:c r="P547" s="30">
        <x:f t="shared" si="53"/>
        <x:v>7</x:v>
      </x:c>
      <x:c r="Q547" s="30">
        <x:f>COUNTIF($P$3:P547,"=3")</x:f>
        <x:v>61</x:v>
      </x:c>
      <x:c r="R547" s="29">
        <x:f>WORKDAY(기본입력!$H$2,Q547-1,공휴일)</x:f>
        <x:v>46013</x:v>
      </x:c>
    </x:row>
    <x:row r="548" spans="1:18">
      <x:c r="A548" s="144" t="str">
        <x:f t="shared" si="52"/>
        <x:v>20251222</x:v>
      </x:c>
      <x:c r="B548" s="6" t="s">
        <x:v>5</x:v>
      </x:c>
      <x:c r="C548" s="6">
        <x:v>1740</x:v>
      </x:c>
      <x:c r="D548" s="5" t="s">
        <x:v>1</x:v>
      </x:c>
      <x:c r="E548" s="6">
        <x:v>1340</x:v>
      </x:c>
      <x:c r="F548" s="6" t="s">
        <x:v>40</x:v>
      </x:c>
      <x:c r="G548" s="14" t="str">
        <x:f>IF(OR(N548="",N548&gt;기본입력!$C$34),"",VLOOKUP(O548,기본입력!$A$9:$F$33,5))</x:f>
        <x:v>양현수_53778</x:v>
      </x:c>
      <x:c r="H548" s="14" t="str">
        <x:f>IF(OR(N548="",N548&gt;기본입력!$C$34),"",기본입력!$C$6)</x:f>
        <x:v>1교육실(실습겸용강의실)_243089</x:v>
      </x:c>
      <x:c r="I548" s="14" t="str">
        <x:f>IF(OR(O548="",N548&gt;기본입력!$C$34),"",VLOOKUP(O548,기본입력!$A$9:$F$33,6,FALSE))</x:f>
        <x:v>Advanced 프로젝트_9</x:v>
      </x:c>
      <x:c r="J548" s="38" t="str">
        <x:f t="shared" si="48"/>
        <x:v>Advanced 프로젝트</x:v>
      </x:c>
      <x:c r="K548" s="38" t="str">
        <x:f t="shared" si="49"/>
        <x:v>1교육실(실습겸용강의실)</x:v>
      </x:c>
      <x:c r="L548" s="38" t="str">
        <x:f t="shared" si="50"/>
        <x:v>양현수</x:v>
      </x:c>
      <x:c r="M548" s="63"/>
      <x:c r="N548" s="30">
        <x:f>IF(F548="2","",COUNTIF($F$3:$F548,"=1"))</x:f>
        <x:v>485</x:v>
      </x:c>
      <x:c r="O548" s="30">
        <x:f t="shared" si="51"/>
        <x:v>6</x:v>
      </x:c>
      <x:c r="P548" s="30">
        <x:f t="shared" si="53"/>
        <x:v>8</x:v>
      </x:c>
      <x:c r="Q548" s="30">
        <x:f>COUNTIF($P$3:P548,"=3")</x:f>
        <x:v>61</x:v>
      </x:c>
      <x:c r="R548" s="29">
        <x:f>WORKDAY(기본입력!$H$2,Q548-1,공휴일)</x:f>
        <x:v>46013</x:v>
      </x:c>
    </x:row>
    <x:row r="549" spans="1:18">
      <x:c r="A549" s="144" t="str">
        <x:f t="shared" si="52"/>
        <x:v>20251222</x:v>
      </x:c>
      <x:c r="B549" s="6" t="s">
        <x:v>5</x:v>
      </x:c>
      <x:c r="C549" s="6">
        <x:v>1740</x:v>
      </x:c>
      <x:c r="D549" s="5" t="s">
        <x:v>1</x:v>
      </x:c>
      <x:c r="E549" s="6">
        <x:v>1440</x:v>
      </x:c>
      <x:c r="F549" s="6" t="s">
        <x:v>40</x:v>
      </x:c>
      <x:c r="G549" s="14" t="str">
        <x:f>IF(OR(N549="",N549&gt;기본입력!$C$34),"",VLOOKUP(O549,기본입력!$A$9:$F$33,5))</x:f>
        <x:v>양현수_53778</x:v>
      </x:c>
      <x:c r="H549" s="14" t="str">
        <x:f>IF(OR(N549="",N549&gt;기본입력!$C$34),"",기본입력!$C$6)</x:f>
        <x:v>1교육실(실습겸용강의실)_243089</x:v>
      </x:c>
      <x:c r="I549" s="14" t="str">
        <x:f>IF(OR(O549="",N549&gt;기본입력!$C$34),"",VLOOKUP(O549,기본입력!$A$9:$F$33,6,FALSE))</x:f>
        <x:v>Advanced 프로젝트_9</x:v>
      </x:c>
      <x:c r="J549" s="38" t="str">
        <x:f t="shared" si="48"/>
        <x:v>Advanced 프로젝트</x:v>
      </x:c>
      <x:c r="K549" s="38" t="str">
        <x:f t="shared" si="49"/>
        <x:v>1교육실(실습겸용강의실)</x:v>
      </x:c>
      <x:c r="L549" s="38" t="str">
        <x:f t="shared" si="50"/>
        <x:v>양현수</x:v>
      </x:c>
      <x:c r="M549" s="63"/>
      <x:c r="N549" s="30">
        <x:f>IF(F549="2","",COUNTIF($F$3:$F549,"=1"))</x:f>
        <x:v>486</x:v>
      </x:c>
      <x:c r="O549" s="30">
        <x:f t="shared" si="51"/>
        <x:v>6</x:v>
      </x:c>
      <x:c r="P549" s="30">
        <x:f t="shared" si="53"/>
        <x:v>0</x:v>
      </x:c>
      <x:c r="Q549" s="30">
        <x:f>COUNTIF($P$3:P549,"=3")</x:f>
        <x:v>61</x:v>
      </x:c>
      <x:c r="R549" s="29">
        <x:f>WORKDAY(기본입력!$H$2,Q549-1,공휴일)</x:f>
        <x:v>46013</x:v>
      </x:c>
    </x:row>
    <x:row r="550" spans="1:18">
      <x:c r="A550" s="144" t="str">
        <x:f t="shared" si="52"/>
        <x:v>20251222</x:v>
      </x:c>
      <x:c r="B550" s="6" t="s">
        <x:v>5</x:v>
      </x:c>
      <x:c r="C550" s="6">
        <x:v>1740</x:v>
      </x:c>
      <x:c r="D550" s="5" t="s">
        <x:v>1</x:v>
      </x:c>
      <x:c r="E550" s="6">
        <x:v>1540</x:v>
      </x:c>
      <x:c r="F550" s="6" t="s">
        <x:v>40</x:v>
      </x:c>
      <x:c r="G550" s="14" t="str">
        <x:f>IF(OR(N550="",N550&gt;기본입력!$C$34),"",VLOOKUP(O550,기본입력!$A$9:$F$33,5))</x:f>
        <x:v>양현수_53778</x:v>
      </x:c>
      <x:c r="H550" s="14" t="str">
        <x:f>IF(OR(N550="",N550&gt;기본입력!$C$34),"",기본입력!$C$6)</x:f>
        <x:v>1교육실(실습겸용강의실)_243089</x:v>
      </x:c>
      <x:c r="I550" s="14" t="str">
        <x:f>IF(OR(O550="",N550&gt;기본입력!$C$34),"",VLOOKUP(O550,기본입력!$A$9:$F$33,6,FALSE))</x:f>
        <x:v>Advanced 프로젝트_9</x:v>
      </x:c>
      <x:c r="J550" s="38" t="str">
        <x:f t="shared" si="48"/>
        <x:v>Advanced 프로젝트</x:v>
      </x:c>
      <x:c r="K550" s="38" t="str">
        <x:f t="shared" si="49"/>
        <x:v>1교육실(실습겸용강의실)</x:v>
      </x:c>
      <x:c r="L550" s="38" t="str">
        <x:f t="shared" si="50"/>
        <x:v>양현수</x:v>
      </x:c>
      <x:c r="M550" s="63"/>
      <x:c r="N550" s="30">
        <x:f>IF(F550="2","",COUNTIF($F$3:$F550,"=1"))</x:f>
        <x:v>487</x:v>
      </x:c>
      <x:c r="O550" s="30">
        <x:f t="shared" si="51"/>
        <x:v>6</x:v>
      </x:c>
      <x:c r="P550" s="30">
        <x:f t="shared" si="53"/>
        <x:v>1</x:v>
      </x:c>
      <x:c r="Q550" s="30">
        <x:f>COUNTIF($P$3:P550,"=3")</x:f>
        <x:v>61</x:v>
      </x:c>
      <x:c r="R550" s="29">
        <x:f>WORKDAY(기본입력!$H$2,Q550-1,공휴일)</x:f>
        <x:v>46013</x:v>
      </x:c>
    </x:row>
    <x:row r="551" spans="1:18">
      <x:c r="A551" s="144" t="str">
        <x:f t="shared" si="52"/>
        <x:v>20251222</x:v>
      </x:c>
      <x:c r="B551" s="6" t="s">
        <x:v>5</x:v>
      </x:c>
      <x:c r="C551" s="6">
        <x:v>1740</x:v>
      </x:c>
      <x:c r="D551" s="5" t="s">
        <x:v>1</x:v>
      </x:c>
      <x:c r="E551" s="6">
        <x:v>1640</x:v>
      </x:c>
      <x:c r="F551" s="6" t="s">
        <x:v>40</x:v>
      </x:c>
      <x:c r="G551" s="14" t="str">
        <x:f>IF(OR(N551="",N551&gt;기본입력!$C$34),"",VLOOKUP(O551,기본입력!$A$9:$F$33,5))</x:f>
        <x:v>양현수_53778</x:v>
      </x:c>
      <x:c r="H551" s="14" t="str">
        <x:f>IF(OR(N551="",N551&gt;기본입력!$C$34),"",기본입력!$C$6)</x:f>
        <x:v>1교육실(실습겸용강의실)_243089</x:v>
      </x:c>
      <x:c r="I551" s="14" t="str">
        <x:f>IF(OR(O551="",N551&gt;기본입력!$C$34),"",VLOOKUP(O551,기본입력!$A$9:$F$33,6,FALSE))</x:f>
        <x:v>Advanced 프로젝트_9</x:v>
      </x:c>
      <x:c r="J551" s="38" t="str">
        <x:f t="shared" si="48"/>
        <x:v>Advanced 프로젝트</x:v>
      </x:c>
      <x:c r="K551" s="38" t="str">
        <x:f t="shared" si="49"/>
        <x:v>1교육실(실습겸용강의실)</x:v>
      </x:c>
      <x:c r="L551" s="38" t="str">
        <x:f t="shared" si="50"/>
        <x:v>양현수</x:v>
      </x:c>
      <x:c r="M551" s="63"/>
      <x:c r="N551" s="30">
        <x:f>IF(F551="2","",COUNTIF($F$3:$F551,"=1"))</x:f>
        <x:v>488</x:v>
      </x:c>
      <x:c r="O551" s="30">
        <x:f t="shared" si="51"/>
        <x:v>6</x:v>
      </x:c>
      <x:c r="P551" s="30">
        <x:f t="shared" si="53"/>
        <x:v>2</x:v>
      </x:c>
      <x:c r="Q551" s="30">
        <x:f>COUNTIF($P$3:P551,"=3")</x:f>
        <x:v>61</x:v>
      </x:c>
      <x:c r="R551" s="29">
        <x:f>WORKDAY(기본입력!$H$2,Q551-1,공휴일)</x:f>
        <x:v>46013</x:v>
      </x:c>
    </x:row>
    <x:row r="552" spans="1:18">
      <x:c r="A552" s="145" t="str">
        <x:f t="shared" si="52"/>
        <x:v>20251223</x:v>
      </x:c>
      <x:c r="B552" s="8" t="s">
        <x:v>5</x:v>
      </x:c>
      <x:c r="C552" s="8">
        <x:v>1740</x:v>
      </x:c>
      <x:c r="D552" s="7" t="s">
        <x:v>1</x:v>
      </x:c>
      <x:c r="E552" s="8" t="s">
        <x:v>5</x:v>
      </x:c>
      <x:c r="F552" s="8" t="s">
        <x:v>40</x:v>
      </x:c>
      <x:c r="G552" s="15" t="str">
        <x:f>IF(OR(N552="",N552&gt;기본입력!$C$34),"",VLOOKUP(O552,기본입력!$A$9:$F$33,5))</x:f>
        <x:v>양현수_53778</x:v>
      </x:c>
      <x:c r="H552" s="15" t="str">
        <x:f>IF(OR(N552="",N552&gt;기본입력!$C$34),"",기본입력!$C$6)</x:f>
        <x:v>1교육실(실습겸용강의실)_243089</x:v>
      </x:c>
      <x:c r="I552" s="15" t="str">
        <x:f>IF(OR(O552="",N552&gt;기본입력!$C$34),"",VLOOKUP(O552,기본입력!$A$9:$F$33,6,FALSE))</x:f>
        <x:v>Advanced 프로젝트_9</x:v>
      </x:c>
      <x:c r="J552" s="38" t="str">
        <x:f t="shared" si="48"/>
        <x:v>Advanced 프로젝트</x:v>
      </x:c>
      <x:c r="K552" s="38" t="str">
        <x:f t="shared" si="49"/>
        <x:v>1교육실(실습겸용강의실)</x:v>
      </x:c>
      <x:c r="L552" s="38" t="str">
        <x:f t="shared" si="50"/>
        <x:v>양현수</x:v>
      </x:c>
      <x:c r="M552" s="63"/>
      <x:c r="N552" s="30">
        <x:f>IF(F552="2","",COUNTIF($F$3:$F552,"=1"))</x:f>
        <x:v>489</x:v>
      </x:c>
      <x:c r="O552" s="30">
        <x:f t="shared" si="51"/>
        <x:v>6</x:v>
      </x:c>
      <x:c r="P552" s="30">
        <x:f t="shared" si="53"/>
        <x:v>3</x:v>
      </x:c>
      <x:c r="Q552" s="30">
        <x:f>COUNTIF($P$3:P552,"=3")</x:f>
        <x:v>62</x:v>
      </x:c>
      <x:c r="R552" s="29">
        <x:f>WORKDAY(기본입력!$H$2,Q552-1,공휴일)</x:f>
        <x:v>46014</x:v>
      </x:c>
    </x:row>
    <x:row r="553" spans="1:18">
      <x:c r="A553" s="145" t="str">
        <x:f t="shared" si="52"/>
        <x:v>20251223</x:v>
      </x:c>
      <x:c r="B553" s="8" t="s">
        <x:v>5</x:v>
      </x:c>
      <x:c r="C553" s="8">
        <x:v>1740</x:v>
      </x:c>
      <x:c r="D553" s="7" t="s">
        <x:v>1</x:v>
      </x:c>
      <x:c r="E553" s="8" t="s">
        <x:v>117</x:v>
      </x:c>
      <x:c r="F553" s="8" t="s">
        <x:v>40</x:v>
      </x:c>
      <x:c r="G553" s="15" t="str">
        <x:f>IF(OR(N553="",N553&gt;기본입력!$C$34),"",VLOOKUP(O553,기본입력!$A$9:$F$33,5))</x:f>
        <x:v>양현수_53778</x:v>
      </x:c>
      <x:c r="H553" s="15" t="str">
        <x:f>IF(OR(N553="",N553&gt;기본입력!$C$34),"",기본입력!$C$6)</x:f>
        <x:v>1교육실(실습겸용강의실)_243089</x:v>
      </x:c>
      <x:c r="I553" s="15" t="str">
        <x:f>IF(OR(O553="",N553&gt;기본입력!$C$34),"",VLOOKUP(O553,기본입력!$A$9:$F$33,6,FALSE))</x:f>
        <x:v>Advanced 프로젝트_9</x:v>
      </x:c>
      <x:c r="J553" s="38" t="str">
        <x:f t="shared" si="48"/>
        <x:v>Advanced 프로젝트</x:v>
      </x:c>
      <x:c r="K553" s="38" t="str">
        <x:f t="shared" si="49"/>
        <x:v>1교육실(실습겸용강의실)</x:v>
      </x:c>
      <x:c r="L553" s="38" t="str">
        <x:f t="shared" si="50"/>
        <x:v>양현수</x:v>
      </x:c>
      <x:c r="M553" s="63"/>
      <x:c r="N553" s="30">
        <x:f>IF(F553="2","",COUNTIF($F$3:$F553,"=1"))</x:f>
        <x:v>490</x:v>
      </x:c>
      <x:c r="O553" s="30">
        <x:f t="shared" si="51"/>
        <x:v>6</x:v>
      </x:c>
      <x:c r="P553" s="30">
        <x:f t="shared" si="53"/>
        <x:v>4</x:v>
      </x:c>
      <x:c r="Q553" s="30">
        <x:f>COUNTIF($P$3:P553,"=3")</x:f>
        <x:v>62</x:v>
      </x:c>
      <x:c r="R553" s="29">
        <x:f>WORKDAY(기본입력!$H$2,Q553-1,공휴일)</x:f>
        <x:v>46014</x:v>
      </x:c>
    </x:row>
    <x:row r="554" spans="1:18">
      <x:c r="A554" s="145" t="str">
        <x:f t="shared" si="52"/>
        <x:v>20251223</x:v>
      </x:c>
      <x:c r="B554" s="8" t="s">
        <x:v>5</x:v>
      </x:c>
      <x:c r="C554" s="8">
        <x:v>1740</x:v>
      </x:c>
      <x:c r="D554" s="7" t="s">
        <x:v>1</x:v>
      </x:c>
      <x:c r="E554" s="8" t="s">
        <x:v>87</x:v>
      </x:c>
      <x:c r="F554" s="8" t="s">
        <x:v>40</x:v>
      </x:c>
      <x:c r="G554" s="15" t="str">
        <x:f>IF(OR(N554="",N554&gt;기본입력!$C$34),"",VLOOKUP(O554,기본입력!$A$9:$F$33,5))</x:f>
        <x:v>양현수_53778</x:v>
      </x:c>
      <x:c r="H554" s="15" t="str">
        <x:f>IF(OR(N554="",N554&gt;기본입력!$C$34),"",기본입력!$C$6)</x:f>
        <x:v>1교육실(실습겸용강의실)_243089</x:v>
      </x:c>
      <x:c r="I554" s="15" t="str">
        <x:f>IF(OR(O554="",N554&gt;기본입력!$C$34),"",VLOOKUP(O554,기본입력!$A$9:$F$33,6,FALSE))</x:f>
        <x:v>Advanced 프로젝트_9</x:v>
      </x:c>
      <x:c r="J554" s="38" t="str">
        <x:f t="shared" si="48"/>
        <x:v>Advanced 프로젝트</x:v>
      </x:c>
      <x:c r="K554" s="38" t="str">
        <x:f t="shared" si="49"/>
        <x:v>1교육실(실습겸용강의실)</x:v>
      </x:c>
      <x:c r="L554" s="38" t="str">
        <x:f t="shared" si="50"/>
        <x:v>양현수</x:v>
      </x:c>
      <x:c r="M554" s="63"/>
      <x:c r="N554" s="30">
        <x:f>IF(F554="2","",COUNTIF($F$3:$F554,"=1"))</x:f>
        <x:v>491</x:v>
      </x:c>
      <x:c r="O554" s="30">
        <x:f t="shared" si="51"/>
        <x:v>6</x:v>
      </x:c>
      <x:c r="P554" s="30">
        <x:f t="shared" si="53"/>
        <x:v>5</x:v>
      </x:c>
      <x:c r="Q554" s="30">
        <x:f>COUNTIF($P$3:P554,"=3")</x:f>
        <x:v>62</x:v>
      </x:c>
      <x:c r="R554" s="29">
        <x:f>WORKDAY(기본입력!$H$2,Q554-1,공휴일)</x:f>
        <x:v>46014</x:v>
      </x:c>
    </x:row>
    <x:row r="555" spans="1:18">
      <x:c r="A555" s="145" t="str">
        <x:f t="shared" si="52"/>
        <x:v>20251223</x:v>
      </x:c>
      <x:c r="B555" s="8" t="s">
        <x:v>5</x:v>
      </x:c>
      <x:c r="C555" s="8">
        <x:v>1740</x:v>
      </x:c>
      <x:c r="D555" s="7" t="s">
        <x:v>1</x:v>
      </x:c>
      <x:c r="E555" s="8" t="s">
        <x:v>88</x:v>
      </x:c>
      <x:c r="F555" s="8" t="s">
        <x:v>40</x:v>
      </x:c>
      <x:c r="G555" s="15" t="str">
        <x:f>IF(OR(N555="",N555&gt;기본입력!$C$34),"",VLOOKUP(O555,기본입력!$A$9:$F$33,5))</x:f>
        <x:v>양현수_53778</x:v>
      </x:c>
      <x:c r="H555" s="15" t="str">
        <x:f>IF(OR(N555="",N555&gt;기본입력!$C$34),"",기본입력!$C$6)</x:f>
        <x:v>1교육실(실습겸용강의실)_243089</x:v>
      </x:c>
      <x:c r="I555" s="15" t="str">
        <x:f>IF(OR(O555="",N555&gt;기본입력!$C$34),"",VLOOKUP(O555,기본입력!$A$9:$F$33,6,FALSE))</x:f>
        <x:v>Advanced 프로젝트_9</x:v>
      </x:c>
      <x:c r="J555" s="38" t="str">
        <x:f t="shared" si="48"/>
        <x:v>Advanced 프로젝트</x:v>
      </x:c>
      <x:c r="K555" s="38" t="str">
        <x:f t="shared" si="49"/>
        <x:v>1교육실(실습겸용강의실)</x:v>
      </x:c>
      <x:c r="L555" s="38" t="str">
        <x:f t="shared" si="50"/>
        <x:v>양현수</x:v>
      </x:c>
      <x:c r="M555" s="63"/>
      <x:c r="N555" s="30">
        <x:f>IF(F555="2","",COUNTIF($F$3:$F555,"=1"))</x:f>
        <x:v>492</x:v>
      </x:c>
      <x:c r="O555" s="30">
        <x:f t="shared" si="51"/>
        <x:v>6</x:v>
      </x:c>
      <x:c r="P555" s="30">
        <x:f t="shared" si="53"/>
        <x:v>6</x:v>
      </x:c>
      <x:c r="Q555" s="30">
        <x:f>COUNTIF($P$3:P555,"=3")</x:f>
        <x:v>62</x:v>
      </x:c>
      <x:c r="R555" s="29">
        <x:f>WORKDAY(기본입력!$H$2,Q555-1,공휴일)</x:f>
        <x:v>46014</x:v>
      </x:c>
    </x:row>
    <x:row r="556" spans="1:18">
      <x:c r="A556" s="145" t="str">
        <x:f t="shared" si="52"/>
        <x:v>20251223</x:v>
      </x:c>
      <x:c r="B556" s="8" t="s">
        <x:v>5</x:v>
      </x:c>
      <x:c r="C556" s="8">
        <x:v>1740</x:v>
      </x:c>
      <x:c r="D556" s="7" t="s">
        <x:v>1</x:v>
      </x:c>
      <x:c r="E556" s="8" t="s">
        <x:v>0</x:v>
      </x:c>
      <x:c r="F556" s="8" t="s">
        <x:v>41</x:v>
      </x:c>
      <x:c r="G556" s="15" t="str">
        <x:f>IF(OR(N556="",N556&gt;기본입력!$C$34),"",VLOOKUP(O556,기본입력!$A$9:$F$33,5))</x:f>
        <x:v/>
      </x:c>
      <x:c r="H556" s="15" t="str">
        <x:f>IF(OR(N556="",N556&gt;기본입력!$C$34),"",기본입력!$C$6)</x:f>
        <x:v/>
      </x:c>
      <x:c r="I556" s="15" t="str">
        <x:f>IF(OR(O556="",N556&gt;기본입력!$C$34),"",VLOOKUP(O556,기본입력!$A$9:$F$33,6,FALSE))</x:f>
        <x:v/>
      </x:c>
      <x:c r="J556" s="38" t="str">
        <x:f t="shared" si="48"/>
        <x:v/>
      </x:c>
      <x:c r="K556" s="38" t="str">
        <x:f t="shared" si="49"/>
        <x:v/>
      </x:c>
      <x:c r="L556" s="38" t="str">
        <x:f t="shared" si="50"/>
        <x:v/>
      </x:c>
      <x:c r="M556" s="63"/>
      <x:c r="N556" s="30" t="str">
        <x:f>IF(F556="2","",COUNTIF($F$3:$F556,"=1"))</x:f>
        <x:v/>
      </x:c>
      <x:c r="O556" s="30" t="str">
        <x:f t="shared" si="51"/>
        <x:v/>
      </x:c>
      <x:c r="P556" s="30">
        <x:f t="shared" si="53"/>
        <x:v>7</x:v>
      </x:c>
      <x:c r="Q556" s="30">
        <x:f>COUNTIF($P$3:P556,"=3")</x:f>
        <x:v>62</x:v>
      </x:c>
      <x:c r="R556" s="29">
        <x:f>WORKDAY(기본입력!$H$2,Q556-1,공휴일)</x:f>
        <x:v>46014</x:v>
      </x:c>
    </x:row>
    <x:row r="557" spans="1:18">
      <x:c r="A557" s="145" t="str">
        <x:f t="shared" si="52"/>
        <x:v>20251223</x:v>
      </x:c>
      <x:c r="B557" s="8" t="s">
        <x:v>5</x:v>
      </x:c>
      <x:c r="C557" s="8">
        <x:v>1740</x:v>
      </x:c>
      <x:c r="D557" s="7" t="s">
        <x:v>1</x:v>
      </x:c>
      <x:c r="E557" s="8">
        <x:v>1340</x:v>
      </x:c>
      <x:c r="F557" s="8" t="s">
        <x:v>40</x:v>
      </x:c>
      <x:c r="G557" s="15" t="str">
        <x:f>IF(OR(N557="",N557&gt;기본입력!$C$34),"",VLOOKUP(O557,기본입력!$A$9:$F$33,5))</x:f>
        <x:v>양현수_53778</x:v>
      </x:c>
      <x:c r="H557" s="15" t="str">
        <x:f>IF(OR(N557="",N557&gt;기본입력!$C$34),"",기본입력!$C$6)</x:f>
        <x:v>1교육실(실습겸용강의실)_243089</x:v>
      </x:c>
      <x:c r="I557" s="15" t="str">
        <x:f>IF(OR(O557="",N557&gt;기본입력!$C$34),"",VLOOKUP(O557,기본입력!$A$9:$F$33,6,FALSE))</x:f>
        <x:v>Advanced 프로젝트_9</x:v>
      </x:c>
      <x:c r="J557" s="38" t="str">
        <x:f t="shared" si="48"/>
        <x:v>Advanced 프로젝트</x:v>
      </x:c>
      <x:c r="K557" s="38" t="str">
        <x:f t="shared" si="49"/>
        <x:v>1교육실(실습겸용강의실)</x:v>
      </x:c>
      <x:c r="L557" s="38" t="str">
        <x:f t="shared" si="50"/>
        <x:v>양현수</x:v>
      </x:c>
      <x:c r="M557" s="63"/>
      <x:c r="N557" s="30">
        <x:f>IF(F557="2","",COUNTIF($F$3:$F557,"=1"))</x:f>
        <x:v>493</x:v>
      </x:c>
      <x:c r="O557" s="30">
        <x:f t="shared" si="51"/>
        <x:v>6</x:v>
      </x:c>
      <x:c r="P557" s="30">
        <x:f t="shared" si="53"/>
        <x:v>8</x:v>
      </x:c>
      <x:c r="Q557" s="30">
        <x:f>COUNTIF($P$3:P557,"=3")</x:f>
        <x:v>62</x:v>
      </x:c>
      <x:c r="R557" s="29">
        <x:f>WORKDAY(기본입력!$H$2,Q557-1,공휴일)</x:f>
        <x:v>46014</x:v>
      </x:c>
    </x:row>
    <x:row r="558" spans="1:18">
      <x:c r="A558" s="145" t="str">
        <x:f t="shared" si="52"/>
        <x:v>20251223</x:v>
      </x:c>
      <x:c r="B558" s="8" t="s">
        <x:v>5</x:v>
      </x:c>
      <x:c r="C558" s="8">
        <x:v>1740</x:v>
      </x:c>
      <x:c r="D558" s="7" t="s">
        <x:v>1</x:v>
      </x:c>
      <x:c r="E558" s="8">
        <x:v>1440</x:v>
      </x:c>
      <x:c r="F558" s="8" t="s">
        <x:v>40</x:v>
      </x:c>
      <x:c r="G558" s="15" t="str">
        <x:f>IF(OR(N558="",N558&gt;기본입력!$C$34),"",VLOOKUP(O558,기본입력!$A$9:$F$33,5))</x:f>
        <x:v>양현수_53778</x:v>
      </x:c>
      <x:c r="H558" s="15" t="str">
        <x:f>IF(OR(N558="",N558&gt;기본입력!$C$34),"",기본입력!$C$6)</x:f>
        <x:v>1교육실(실습겸용강의실)_243089</x:v>
      </x:c>
      <x:c r="I558" s="15" t="str">
        <x:f>IF(OR(O558="",N558&gt;기본입력!$C$34),"",VLOOKUP(O558,기본입력!$A$9:$F$33,6,FALSE))</x:f>
        <x:v>Advanced 프로젝트_9</x:v>
      </x:c>
      <x:c r="J558" s="38" t="str">
        <x:f t="shared" si="48"/>
        <x:v>Advanced 프로젝트</x:v>
      </x:c>
      <x:c r="K558" s="38" t="str">
        <x:f t="shared" si="49"/>
        <x:v>1교육실(실습겸용강의실)</x:v>
      </x:c>
      <x:c r="L558" s="38" t="str">
        <x:f t="shared" si="50"/>
        <x:v>양현수</x:v>
      </x:c>
      <x:c r="M558" s="63"/>
      <x:c r="N558" s="30">
        <x:f>IF(F558="2","",COUNTIF($F$3:$F558,"=1"))</x:f>
        <x:v>494</x:v>
      </x:c>
      <x:c r="O558" s="30">
        <x:f t="shared" si="51"/>
        <x:v>6</x:v>
      </x:c>
      <x:c r="P558" s="30">
        <x:f t="shared" si="53"/>
        <x:v>0</x:v>
      </x:c>
      <x:c r="Q558" s="30">
        <x:f>COUNTIF($P$3:P558,"=3")</x:f>
        <x:v>62</x:v>
      </x:c>
      <x:c r="R558" s="29">
        <x:f>WORKDAY(기본입력!$H$2,Q558-1,공휴일)</x:f>
        <x:v>46014</x:v>
      </x:c>
    </x:row>
    <x:row r="559" spans="1:18">
      <x:c r="A559" s="145" t="str">
        <x:f t="shared" si="52"/>
        <x:v>20251223</x:v>
      </x:c>
      <x:c r="B559" s="8" t="s">
        <x:v>5</x:v>
      </x:c>
      <x:c r="C559" s="8">
        <x:v>1740</x:v>
      </x:c>
      <x:c r="D559" s="7" t="s">
        <x:v>1</x:v>
      </x:c>
      <x:c r="E559" s="8">
        <x:v>1540</x:v>
      </x:c>
      <x:c r="F559" s="8" t="s">
        <x:v>40</x:v>
      </x:c>
      <x:c r="G559" s="15" t="str">
        <x:f>IF(OR(N559="",N559&gt;기본입력!$C$34),"",VLOOKUP(O559,기본입력!$A$9:$F$33,5))</x:f>
        <x:v>양현수_53778</x:v>
      </x:c>
      <x:c r="H559" s="15" t="str">
        <x:f>IF(OR(N559="",N559&gt;기본입력!$C$34),"",기본입력!$C$6)</x:f>
        <x:v>1교육실(실습겸용강의실)_243089</x:v>
      </x:c>
      <x:c r="I559" s="15" t="str">
        <x:f>IF(OR(O559="",N559&gt;기본입력!$C$34),"",VLOOKUP(O559,기본입력!$A$9:$F$33,6,FALSE))</x:f>
        <x:v>Advanced 프로젝트_9</x:v>
      </x:c>
      <x:c r="J559" s="38" t="str">
        <x:f t="shared" si="48"/>
        <x:v>Advanced 프로젝트</x:v>
      </x:c>
      <x:c r="K559" s="38" t="str">
        <x:f t="shared" si="49"/>
        <x:v>1교육실(실습겸용강의실)</x:v>
      </x:c>
      <x:c r="L559" s="38" t="str">
        <x:f t="shared" si="50"/>
        <x:v>양현수</x:v>
      </x:c>
      <x:c r="M559" s="63"/>
      <x:c r="N559" s="30">
        <x:f>IF(F559="2","",COUNTIF($F$3:$F559,"=1"))</x:f>
        <x:v>495</x:v>
      </x:c>
      <x:c r="O559" s="30">
        <x:f t="shared" si="51"/>
        <x:v>6</x:v>
      </x:c>
      <x:c r="P559" s="30">
        <x:f t="shared" si="53"/>
        <x:v>1</x:v>
      </x:c>
      <x:c r="Q559" s="30">
        <x:f>COUNTIF($P$3:P559,"=3")</x:f>
        <x:v>62</x:v>
      </x:c>
      <x:c r="R559" s="29">
        <x:f>WORKDAY(기본입력!$H$2,Q559-1,공휴일)</x:f>
        <x:v>46014</x:v>
      </x:c>
    </x:row>
    <x:row r="560" spans="1:18">
      <x:c r="A560" s="145" t="str">
        <x:f t="shared" si="52"/>
        <x:v>20251223</x:v>
      </x:c>
      <x:c r="B560" s="8" t="s">
        <x:v>5</x:v>
      </x:c>
      <x:c r="C560" s="8">
        <x:v>1740</x:v>
      </x:c>
      <x:c r="D560" s="7" t="s">
        <x:v>1</x:v>
      </x:c>
      <x:c r="E560" s="8">
        <x:v>1640</x:v>
      </x:c>
      <x:c r="F560" s="8" t="s">
        <x:v>40</x:v>
      </x:c>
      <x:c r="G560" s="15" t="str">
        <x:f>IF(OR(N560="",N560&gt;기본입력!$C$34),"",VLOOKUP(O560,기본입력!$A$9:$F$33,5))</x:f>
        <x:v>양현수_53778</x:v>
      </x:c>
      <x:c r="H560" s="15" t="str">
        <x:f>IF(OR(N560="",N560&gt;기본입력!$C$34),"",기본입력!$C$6)</x:f>
        <x:v>1교육실(실습겸용강의실)_243089</x:v>
      </x:c>
      <x:c r="I560" s="15" t="str">
        <x:f>IF(OR(O560="",N560&gt;기본입력!$C$34),"",VLOOKUP(O560,기본입력!$A$9:$F$33,6,FALSE))</x:f>
        <x:v>Advanced 프로젝트_9</x:v>
      </x:c>
      <x:c r="J560" s="38" t="str">
        <x:f t="shared" si="48"/>
        <x:v>Advanced 프로젝트</x:v>
      </x:c>
      <x:c r="K560" s="38" t="str">
        <x:f t="shared" si="49"/>
        <x:v>1교육실(실습겸용강의실)</x:v>
      </x:c>
      <x:c r="L560" s="38" t="str">
        <x:f t="shared" si="50"/>
        <x:v>양현수</x:v>
      </x:c>
      <x:c r="M560" s="63"/>
      <x:c r="N560" s="30">
        <x:f>IF(F560="2","",COUNTIF($F$3:$F560,"=1"))</x:f>
        <x:v>496</x:v>
      </x:c>
      <x:c r="O560" s="30">
        <x:f t="shared" si="51"/>
        <x:v>6</x:v>
      </x:c>
      <x:c r="P560" s="30">
        <x:f t="shared" si="53"/>
        <x:v>2</x:v>
      </x:c>
      <x:c r="Q560" s="30">
        <x:f>COUNTIF($P$3:P560,"=3")</x:f>
        <x:v>62</x:v>
      </x:c>
      <x:c r="R560" s="29">
        <x:f>WORKDAY(기본입력!$H$2,Q560-1,공휴일)</x:f>
        <x:v>46014</x:v>
      </x:c>
    </x:row>
    <x:row r="561" spans="1:18">
      <x:c r="A561" s="144" t="str">
        <x:f t="shared" si="52"/>
        <x:v>20251224</x:v>
      </x:c>
      <x:c r="B561" s="6" t="s">
        <x:v>5</x:v>
      </x:c>
      <x:c r="C561" s="6">
        <x:v>1740</x:v>
      </x:c>
      <x:c r="D561" s="5" t="s">
        <x:v>1</x:v>
      </x:c>
      <x:c r="E561" s="6" t="s">
        <x:v>5</x:v>
      </x:c>
      <x:c r="F561" s="6" t="s">
        <x:v>40</x:v>
      </x:c>
      <x:c r="G561" s="14" t="str">
        <x:f>IF(OR(N561="",N561&gt;기본입력!$C$34),"",VLOOKUP(O561,기본입력!$A$9:$F$33,5))</x:f>
        <x:v>양현수_53778</x:v>
      </x:c>
      <x:c r="H561" s="14" t="str">
        <x:f>IF(OR(N561="",N561&gt;기본입력!$C$34),"",기본입력!$C$6)</x:f>
        <x:v>1교육실(실습겸용강의실)_243089</x:v>
      </x:c>
      <x:c r="I561" s="14" t="str">
        <x:f>IF(OR(O561="",N561&gt;기본입력!$C$34),"",VLOOKUP(O561,기본입력!$A$9:$F$33,6,FALSE))</x:f>
        <x:v>Advanced 프로젝트_9</x:v>
      </x:c>
      <x:c r="J561" s="38" t="str">
        <x:f t="shared" si="48"/>
        <x:v>Advanced 프로젝트</x:v>
      </x:c>
      <x:c r="K561" s="38" t="str">
        <x:f t="shared" si="49"/>
        <x:v>1교육실(실습겸용강의실)</x:v>
      </x:c>
      <x:c r="L561" s="38" t="str">
        <x:f t="shared" si="50"/>
        <x:v>양현수</x:v>
      </x:c>
      <x:c r="M561" s="63"/>
      <x:c r="N561" s="30">
        <x:f>IF(F561="2","",COUNTIF($F$3:$F561,"=1"))</x:f>
        <x:v>497</x:v>
      </x:c>
      <x:c r="O561" s="30">
        <x:f t="shared" si="51"/>
        <x:v>6</x:v>
      </x:c>
      <x:c r="P561" s="30">
        <x:f t="shared" si="53"/>
        <x:v>3</x:v>
      </x:c>
      <x:c r="Q561" s="30">
        <x:f>COUNTIF($P$3:P561,"=3")</x:f>
        <x:v>63</x:v>
      </x:c>
      <x:c r="R561" s="29">
        <x:f>WORKDAY(기본입력!$H$2,Q561-1,공휴일)</x:f>
        <x:v>46015</x:v>
      </x:c>
    </x:row>
    <x:row r="562" spans="1:18">
      <x:c r="A562" s="144" t="str">
        <x:f t="shared" si="52"/>
        <x:v>20251224</x:v>
      </x:c>
      <x:c r="B562" s="6" t="s">
        <x:v>5</x:v>
      </x:c>
      <x:c r="C562" s="6">
        <x:v>1740</x:v>
      </x:c>
      <x:c r="D562" s="5" t="s">
        <x:v>1</x:v>
      </x:c>
      <x:c r="E562" s="6" t="s">
        <x:v>117</x:v>
      </x:c>
      <x:c r="F562" s="6" t="s">
        <x:v>40</x:v>
      </x:c>
      <x:c r="G562" s="14" t="str">
        <x:f>IF(OR(N562="",N562&gt;기본입력!$C$34),"",VLOOKUP(O562,기본입력!$A$9:$F$33,5))</x:f>
        <x:v>양현수_53778</x:v>
      </x:c>
      <x:c r="H562" s="14" t="str">
        <x:f>IF(OR(N562="",N562&gt;기본입력!$C$34),"",기본입력!$C$6)</x:f>
        <x:v>1교육실(실습겸용강의실)_243089</x:v>
      </x:c>
      <x:c r="I562" s="14" t="str">
        <x:f>IF(OR(O562="",N562&gt;기본입력!$C$34),"",VLOOKUP(O562,기본입력!$A$9:$F$33,6,FALSE))</x:f>
        <x:v>Advanced 프로젝트_9</x:v>
      </x:c>
      <x:c r="J562" s="38" t="str">
        <x:f t="shared" ref="J562:J625" si="54">IF(F562="2","",LEFT(I562,FIND("_",I562,2)-1))</x:f>
        <x:v>Advanced 프로젝트</x:v>
      </x:c>
      <x:c r="K562" s="38" t="str">
        <x:f t="shared" ref="K562:K625" si="55">IF(F562="2","",LEFT(H562,FIND("_",H562,2)-1))</x:f>
        <x:v>1교육실(실습겸용강의실)</x:v>
      </x:c>
      <x:c r="L562" s="38" t="str">
        <x:f t="shared" ref="L562:L625" si="56">IF(F562="2","",LEFT(G562,FIND("_",G562,2)-1))</x:f>
        <x:v>양현수</x:v>
      </x:c>
      <x:c r="M562" s="63"/>
      <x:c r="N562" s="30">
        <x:f>IF(F562="2","",COUNTIF($F$3:$F562,"=1"))</x:f>
        <x:v>498</x:v>
      </x:c>
      <x:c r="O562" s="30">
        <x:f t="shared" si="51"/>
        <x:v>6</x:v>
      </x:c>
      <x:c r="P562" s="30">
        <x:f t="shared" si="53"/>
        <x:v>4</x:v>
      </x:c>
      <x:c r="Q562" s="30">
        <x:f>COUNTIF($P$3:P562,"=3")</x:f>
        <x:v>63</x:v>
      </x:c>
      <x:c r="R562" s="29">
        <x:f>WORKDAY(기본입력!$H$2,Q562-1,공휴일)</x:f>
        <x:v>46015</x:v>
      </x:c>
    </x:row>
    <x:row r="563" spans="1:18">
      <x:c r="A563" s="144" t="str">
        <x:f t="shared" si="52"/>
        <x:v>20251224</x:v>
      </x:c>
      <x:c r="B563" s="6" t="s">
        <x:v>5</x:v>
      </x:c>
      <x:c r="C563" s="6">
        <x:v>1740</x:v>
      </x:c>
      <x:c r="D563" s="5" t="s">
        <x:v>1</x:v>
      </x:c>
      <x:c r="E563" s="6" t="s">
        <x:v>87</x:v>
      </x:c>
      <x:c r="F563" s="6" t="s">
        <x:v>40</x:v>
      </x:c>
      <x:c r="G563" s="14" t="str">
        <x:f>IF(OR(N563="",N563&gt;기본입력!$C$34),"",VLOOKUP(O563,기본입력!$A$9:$F$33,5))</x:f>
        <x:v>양현수_53778</x:v>
      </x:c>
      <x:c r="H563" s="14" t="str">
        <x:f>IF(OR(N563="",N563&gt;기본입력!$C$34),"",기본입력!$C$6)</x:f>
        <x:v>1교육실(실습겸용강의실)_243089</x:v>
      </x:c>
      <x:c r="I563" s="14" t="str">
        <x:f>IF(OR(O563="",N563&gt;기본입력!$C$34),"",VLOOKUP(O563,기본입력!$A$9:$F$33,6,FALSE))</x:f>
        <x:v>Advanced 프로젝트_9</x:v>
      </x:c>
      <x:c r="J563" s="38" t="str">
        <x:f t="shared" si="54"/>
        <x:v>Advanced 프로젝트</x:v>
      </x:c>
      <x:c r="K563" s="38" t="str">
        <x:f t="shared" si="55"/>
        <x:v>1교육실(실습겸용강의실)</x:v>
      </x:c>
      <x:c r="L563" s="38" t="str">
        <x:f t="shared" si="56"/>
        <x:v>양현수</x:v>
      </x:c>
      <x:c r="M563" s="63"/>
      <x:c r="N563" s="30">
        <x:f>IF(F563="2","",COUNTIF($F$3:$F563,"=1"))</x:f>
        <x:v>499</x:v>
      </x:c>
      <x:c r="O563" s="30">
        <x:f t="shared" si="51"/>
        <x:v>6</x:v>
      </x:c>
      <x:c r="P563" s="30">
        <x:f t="shared" si="53"/>
        <x:v>5</x:v>
      </x:c>
      <x:c r="Q563" s="30">
        <x:f>COUNTIF($P$3:P563,"=3")</x:f>
        <x:v>63</x:v>
      </x:c>
      <x:c r="R563" s="29">
        <x:f>WORKDAY(기본입력!$H$2,Q563-1,공휴일)</x:f>
        <x:v>46015</x:v>
      </x:c>
    </x:row>
    <x:row r="564" spans="1:18">
      <x:c r="A564" s="144" t="str">
        <x:f t="shared" si="52"/>
        <x:v>20251224</x:v>
      </x:c>
      <x:c r="B564" s="6" t="s">
        <x:v>5</x:v>
      </x:c>
      <x:c r="C564" s="6">
        <x:v>1740</x:v>
      </x:c>
      <x:c r="D564" s="5" t="s">
        <x:v>1</x:v>
      </x:c>
      <x:c r="E564" s="6" t="s">
        <x:v>88</x:v>
      </x:c>
      <x:c r="F564" s="6" t="s">
        <x:v>40</x:v>
      </x:c>
      <x:c r="G564" s="14" t="str">
        <x:f>IF(OR(N564="",N564&gt;기본입력!$C$34),"",VLOOKUP(O564,기본입력!$A$9:$F$33,5))</x:f>
        <x:v>양현수_53778</x:v>
      </x:c>
      <x:c r="H564" s="14" t="str">
        <x:f>IF(OR(N564="",N564&gt;기본입력!$C$34),"",기본입력!$C$6)</x:f>
        <x:v>1교육실(실습겸용강의실)_243089</x:v>
      </x:c>
      <x:c r="I564" s="14" t="str">
        <x:f>IF(OR(O564="",N564&gt;기본입력!$C$34),"",VLOOKUP(O564,기본입력!$A$9:$F$33,6,FALSE))</x:f>
        <x:v>Advanced 프로젝트_9</x:v>
      </x:c>
      <x:c r="J564" s="38" t="str">
        <x:f t="shared" si="54"/>
        <x:v>Advanced 프로젝트</x:v>
      </x:c>
      <x:c r="K564" s="38" t="str">
        <x:f t="shared" si="55"/>
        <x:v>1교육실(실습겸용강의실)</x:v>
      </x:c>
      <x:c r="L564" s="38" t="str">
        <x:f t="shared" si="56"/>
        <x:v>양현수</x:v>
      </x:c>
      <x:c r="M564" s="63"/>
      <x:c r="N564" s="30">
        <x:f>IF(F564="2","",COUNTIF($F$3:$F564,"=1"))</x:f>
        <x:v>500</x:v>
      </x:c>
      <x:c r="O564" s="30">
        <x:f t="shared" si="51"/>
        <x:v>6</x:v>
      </x:c>
      <x:c r="P564" s="30">
        <x:f t="shared" si="53"/>
        <x:v>6</x:v>
      </x:c>
      <x:c r="Q564" s="30">
        <x:f>COUNTIF($P$3:P564,"=3")</x:f>
        <x:v>63</x:v>
      </x:c>
      <x:c r="R564" s="29">
        <x:f>WORKDAY(기본입력!$H$2,Q564-1,공휴일)</x:f>
        <x:v>46015</x:v>
      </x:c>
    </x:row>
    <x:row r="565" spans="1:18">
      <x:c r="A565" s="144" t="str">
        <x:f t="shared" si="52"/>
        <x:v>20251224</x:v>
      </x:c>
      <x:c r="B565" s="6" t="s">
        <x:v>5</x:v>
      </x:c>
      <x:c r="C565" s="6">
        <x:v>1740</x:v>
      </x:c>
      <x:c r="D565" s="5" t="s">
        <x:v>1</x:v>
      </x:c>
      <x:c r="E565" s="6" t="s">
        <x:v>0</x:v>
      </x:c>
      <x:c r="F565" s="6" t="s">
        <x:v>41</x:v>
      </x:c>
      <x:c r="G565" s="14" t="str">
        <x:f>IF(OR(N565="",N565&gt;기본입력!$C$34),"",VLOOKUP(O565,기본입력!$A$9:$F$33,5))</x:f>
        <x:v/>
      </x:c>
      <x:c r="H565" s="14" t="str">
        <x:f>IF(OR(N565="",N565&gt;기본입력!$C$34),"",기본입력!$C$6)</x:f>
        <x:v/>
      </x:c>
      <x:c r="I565" s="14" t="str">
        <x:f>IF(OR(O565="",N565&gt;기본입력!$C$34),"",VLOOKUP(O565,기본입력!$A$9:$F$33,6,FALSE))</x:f>
        <x:v/>
      </x:c>
      <x:c r="J565" s="38" t="str">
        <x:f t="shared" si="54"/>
        <x:v/>
      </x:c>
      <x:c r="K565" s="38" t="str">
        <x:f t="shared" si="55"/>
        <x:v/>
      </x:c>
      <x:c r="L565" s="38" t="str">
        <x:f t="shared" si="56"/>
        <x:v/>
      </x:c>
      <x:c r="M565" s="63"/>
      <x:c r="N565" s="30" t="str">
        <x:f>IF(F565="2","",COUNTIF($F$3:$F565,"=1"))</x:f>
        <x:v/>
      </x:c>
      <x:c r="O565" s="30" t="str">
        <x:f t="shared" si="51"/>
        <x:v/>
      </x:c>
      <x:c r="P565" s="30">
        <x:f t="shared" si="53"/>
        <x:v>7</x:v>
      </x:c>
      <x:c r="Q565" s="30">
        <x:f>COUNTIF($P$3:P565,"=3")</x:f>
        <x:v>63</x:v>
      </x:c>
      <x:c r="R565" s="29">
        <x:f>WORKDAY(기본입력!$H$2,Q565-1,공휴일)</x:f>
        <x:v>46015</x:v>
      </x:c>
    </x:row>
    <x:row r="566" spans="1:18">
      <x:c r="A566" s="144" t="str">
        <x:f t="shared" si="52"/>
        <x:v>20251224</x:v>
      </x:c>
      <x:c r="B566" s="6" t="s">
        <x:v>5</x:v>
      </x:c>
      <x:c r="C566" s="6">
        <x:v>1740</x:v>
      </x:c>
      <x:c r="D566" s="5" t="s">
        <x:v>1</x:v>
      </x:c>
      <x:c r="E566" s="6">
        <x:v>1340</x:v>
      </x:c>
      <x:c r="F566" s="6" t="s">
        <x:v>40</x:v>
      </x:c>
      <x:c r="G566" s="14" t="str">
        <x:f>IF(OR(N566="",N566&gt;기본입력!$C$34),"",VLOOKUP(O566,기본입력!$A$9:$F$33,5))</x:f>
        <x:v>양현수_53778</x:v>
      </x:c>
      <x:c r="H566" s="14" t="str">
        <x:f>IF(OR(N566="",N566&gt;기본입력!$C$34),"",기본입력!$C$6)</x:f>
        <x:v>1교육실(실습겸용강의실)_243089</x:v>
      </x:c>
      <x:c r="I566" s="14" t="str">
        <x:f>IF(OR(O566="",N566&gt;기본입력!$C$34),"",VLOOKUP(O566,기본입력!$A$9:$F$33,6,FALSE))</x:f>
        <x:v>Advanced 프로젝트_9</x:v>
      </x:c>
      <x:c r="J566" s="38" t="str">
        <x:f t="shared" si="54"/>
        <x:v>Advanced 프로젝트</x:v>
      </x:c>
      <x:c r="K566" s="38" t="str">
        <x:f t="shared" si="55"/>
        <x:v>1교육실(실습겸용강의실)</x:v>
      </x:c>
      <x:c r="L566" s="38" t="str">
        <x:f t="shared" si="56"/>
        <x:v>양현수</x:v>
      </x:c>
      <x:c r="M566" s="63"/>
      <x:c r="N566" s="30">
        <x:f>IF(F566="2","",COUNTIF($F$3:$F566,"=1"))</x:f>
        <x:v>501</x:v>
      </x:c>
      <x:c r="O566" s="30">
        <x:f t="shared" si="51"/>
        <x:v>6</x:v>
      </x:c>
      <x:c r="P566" s="30">
        <x:f t="shared" si="53"/>
        <x:v>8</x:v>
      </x:c>
      <x:c r="Q566" s="30">
        <x:f>COUNTIF($P$3:P566,"=3")</x:f>
        <x:v>63</x:v>
      </x:c>
      <x:c r="R566" s="29">
        <x:f>WORKDAY(기본입력!$H$2,Q566-1,공휴일)</x:f>
        <x:v>46015</x:v>
      </x:c>
    </x:row>
    <x:row r="567" spans="1:18">
      <x:c r="A567" s="144" t="str">
        <x:f t="shared" si="52"/>
        <x:v>20251224</x:v>
      </x:c>
      <x:c r="B567" s="6" t="s">
        <x:v>5</x:v>
      </x:c>
      <x:c r="C567" s="6">
        <x:v>1740</x:v>
      </x:c>
      <x:c r="D567" s="5" t="s">
        <x:v>1</x:v>
      </x:c>
      <x:c r="E567" s="6">
        <x:v>1440</x:v>
      </x:c>
      <x:c r="F567" s="6" t="s">
        <x:v>40</x:v>
      </x:c>
      <x:c r="G567" s="14" t="str">
        <x:f>IF(OR(N567="",N567&gt;기본입력!$C$34),"",VLOOKUP(O567,기본입력!$A$9:$F$33,5))</x:f>
        <x:v>양현수_53778</x:v>
      </x:c>
      <x:c r="H567" s="14" t="str">
        <x:f>IF(OR(N567="",N567&gt;기본입력!$C$34),"",기본입력!$C$6)</x:f>
        <x:v>1교육실(실습겸용강의실)_243089</x:v>
      </x:c>
      <x:c r="I567" s="14" t="str">
        <x:f>IF(OR(O567="",N567&gt;기본입력!$C$34),"",VLOOKUP(O567,기본입력!$A$9:$F$33,6,FALSE))</x:f>
        <x:v>Advanced 프로젝트_9</x:v>
      </x:c>
      <x:c r="J567" s="38" t="str">
        <x:f t="shared" si="54"/>
        <x:v>Advanced 프로젝트</x:v>
      </x:c>
      <x:c r="K567" s="38" t="str">
        <x:f t="shared" si="55"/>
        <x:v>1교육실(실습겸용강의실)</x:v>
      </x:c>
      <x:c r="L567" s="38" t="str">
        <x:f t="shared" si="56"/>
        <x:v>양현수</x:v>
      </x:c>
      <x:c r="M567" s="63"/>
      <x:c r="N567" s="30">
        <x:f>IF(F567="2","",COUNTIF($F$3:$F567,"=1"))</x:f>
        <x:v>502</x:v>
      </x:c>
      <x:c r="O567" s="30">
        <x:f t="shared" si="51"/>
        <x:v>6</x:v>
      </x:c>
      <x:c r="P567" s="30">
        <x:f t="shared" si="53"/>
        <x:v>0</x:v>
      </x:c>
      <x:c r="Q567" s="30">
        <x:f>COUNTIF($P$3:P567,"=3")</x:f>
        <x:v>63</x:v>
      </x:c>
      <x:c r="R567" s="29">
        <x:f>WORKDAY(기본입력!$H$2,Q567-1,공휴일)</x:f>
        <x:v>46015</x:v>
      </x:c>
    </x:row>
    <x:row r="568" spans="1:18">
      <x:c r="A568" s="144" t="str">
        <x:f t="shared" si="52"/>
        <x:v>20251224</x:v>
      </x:c>
      <x:c r="B568" s="6" t="s">
        <x:v>5</x:v>
      </x:c>
      <x:c r="C568" s="6">
        <x:v>1740</x:v>
      </x:c>
      <x:c r="D568" s="5" t="s">
        <x:v>1</x:v>
      </x:c>
      <x:c r="E568" s="6">
        <x:v>1540</x:v>
      </x:c>
      <x:c r="F568" s="6" t="s">
        <x:v>40</x:v>
      </x:c>
      <x:c r="G568" s="14" t="str">
        <x:f>IF(OR(N568="",N568&gt;기본입력!$C$34),"",VLOOKUP(O568,기본입력!$A$9:$F$33,5))</x:f>
        <x:v>양현수_53778</x:v>
      </x:c>
      <x:c r="H568" s="14" t="str">
        <x:f>IF(OR(N568="",N568&gt;기본입력!$C$34),"",기본입력!$C$6)</x:f>
        <x:v>1교육실(실습겸용강의실)_243089</x:v>
      </x:c>
      <x:c r="I568" s="14" t="str">
        <x:f>IF(OR(O568="",N568&gt;기본입력!$C$34),"",VLOOKUP(O568,기본입력!$A$9:$F$33,6,FALSE))</x:f>
        <x:v>Advanced 프로젝트_9</x:v>
      </x:c>
      <x:c r="J568" s="38" t="str">
        <x:f t="shared" si="54"/>
        <x:v>Advanced 프로젝트</x:v>
      </x:c>
      <x:c r="K568" s="38" t="str">
        <x:f t="shared" si="55"/>
        <x:v>1교육실(실습겸용강의실)</x:v>
      </x:c>
      <x:c r="L568" s="38" t="str">
        <x:f t="shared" si="56"/>
        <x:v>양현수</x:v>
      </x:c>
      <x:c r="M568" s="63"/>
      <x:c r="N568" s="30">
        <x:f>IF(F568="2","",COUNTIF($F$3:$F568,"=1"))</x:f>
        <x:v>503</x:v>
      </x:c>
      <x:c r="O568" s="30">
        <x:f t="shared" si="51"/>
        <x:v>6</x:v>
      </x:c>
      <x:c r="P568" s="30">
        <x:f t="shared" si="53"/>
        <x:v>1</x:v>
      </x:c>
      <x:c r="Q568" s="30">
        <x:f>COUNTIF($P$3:P568,"=3")</x:f>
        <x:v>63</x:v>
      </x:c>
      <x:c r="R568" s="29">
        <x:f>WORKDAY(기본입력!$H$2,Q568-1,공휴일)</x:f>
        <x:v>46015</x:v>
      </x:c>
    </x:row>
    <x:row r="569" spans="1:18">
      <x:c r="A569" s="144" t="str">
        <x:f t="shared" si="52"/>
        <x:v>20251224</x:v>
      </x:c>
      <x:c r="B569" s="6" t="s">
        <x:v>5</x:v>
      </x:c>
      <x:c r="C569" s="6">
        <x:v>1740</x:v>
      </x:c>
      <x:c r="D569" s="5" t="s">
        <x:v>1</x:v>
      </x:c>
      <x:c r="E569" s="6">
        <x:v>1640</x:v>
      </x:c>
      <x:c r="F569" s="6" t="s">
        <x:v>40</x:v>
      </x:c>
      <x:c r="G569" s="14" t="str">
        <x:f>IF(OR(N569="",N569&gt;기본입력!$C$34),"",VLOOKUP(O569,기본입력!$A$9:$F$33,5))</x:f>
        <x:v>양현수_53778</x:v>
      </x:c>
      <x:c r="H569" s="14" t="str">
        <x:f>IF(OR(N569="",N569&gt;기본입력!$C$34),"",기본입력!$C$6)</x:f>
        <x:v>1교육실(실습겸용강의실)_243089</x:v>
      </x:c>
      <x:c r="I569" s="14" t="str">
        <x:f>IF(OR(O569="",N569&gt;기본입력!$C$34),"",VLOOKUP(O569,기본입력!$A$9:$F$33,6,FALSE))</x:f>
        <x:v>Advanced 프로젝트_9</x:v>
      </x:c>
      <x:c r="J569" s="38" t="str">
        <x:f t="shared" si="54"/>
        <x:v>Advanced 프로젝트</x:v>
      </x:c>
      <x:c r="K569" s="38" t="str">
        <x:f t="shared" si="55"/>
        <x:v>1교육실(실습겸용강의실)</x:v>
      </x:c>
      <x:c r="L569" s="38" t="str">
        <x:f t="shared" si="56"/>
        <x:v>양현수</x:v>
      </x:c>
      <x:c r="M569" s="63"/>
      <x:c r="N569" s="30">
        <x:f>IF(F569="2","",COUNTIF($F$3:$F569,"=1"))</x:f>
        <x:v>504</x:v>
      </x:c>
      <x:c r="O569" s="30">
        <x:f t="shared" si="51"/>
        <x:v>6</x:v>
      </x:c>
      <x:c r="P569" s="30">
        <x:f t="shared" si="53"/>
        <x:v>2</x:v>
      </x:c>
      <x:c r="Q569" s="30">
        <x:f>COUNTIF($P$3:P569,"=3")</x:f>
        <x:v>63</x:v>
      </x:c>
      <x:c r="R569" s="29">
        <x:f>WORKDAY(기본입력!$H$2,Q569-1,공휴일)</x:f>
        <x:v>46015</x:v>
      </x:c>
    </x:row>
    <x:row r="570" spans="1:18">
      <x:c r="A570" s="145" t="str">
        <x:f t="shared" si="52"/>
        <x:v>20251226</x:v>
      </x:c>
      <x:c r="B570" s="8" t="s">
        <x:v>5</x:v>
      </x:c>
      <x:c r="C570" s="8">
        <x:v>1740</x:v>
      </x:c>
      <x:c r="D570" s="7" t="s">
        <x:v>1</x:v>
      </x:c>
      <x:c r="E570" s="8" t="s">
        <x:v>5</x:v>
      </x:c>
      <x:c r="F570" s="8" t="s">
        <x:v>40</x:v>
      </x:c>
      <x:c r="G570" s="15" t="str">
        <x:f>IF(OR(N570="",N570&gt;기본입력!$C$34),"",VLOOKUP(O570,기본입력!$A$9:$F$33,5))</x:f>
        <x:v>양현수_53778</x:v>
      </x:c>
      <x:c r="H570" s="15" t="str">
        <x:f>IF(OR(N570="",N570&gt;기본입력!$C$34),"",기본입력!$C$6)</x:f>
        <x:v>1교육실(실습겸용강의실)_243089</x:v>
      </x:c>
      <x:c r="I570" s="15" t="str">
        <x:f>IF(OR(O570="",N570&gt;기본입력!$C$34),"",VLOOKUP(O570,기본입력!$A$9:$F$33,6,FALSE))</x:f>
        <x:v>Advanced 프로젝트_9</x:v>
      </x:c>
      <x:c r="J570" s="38" t="str">
        <x:f t="shared" si="54"/>
        <x:v>Advanced 프로젝트</x:v>
      </x:c>
      <x:c r="K570" s="38" t="str">
        <x:f t="shared" si="55"/>
        <x:v>1교육실(실습겸용강의실)</x:v>
      </x:c>
      <x:c r="L570" s="38" t="str">
        <x:f t="shared" si="56"/>
        <x:v>양현수</x:v>
      </x:c>
      <x:c r="M570" s="63"/>
      <x:c r="N570" s="30">
        <x:f>IF(F570="2","",COUNTIF($F$3:$F570,"=1"))</x:f>
        <x:v>505</x:v>
      </x:c>
      <x:c r="O570" s="30">
        <x:f t="shared" si="51"/>
        <x:v>6</x:v>
      </x:c>
      <x:c r="P570" s="30">
        <x:f t="shared" si="53"/>
        <x:v>3</x:v>
      </x:c>
      <x:c r="Q570" s="30">
        <x:f>COUNTIF($P$3:P570,"=3")</x:f>
        <x:v>64</x:v>
      </x:c>
      <x:c r="R570" s="29">
        <x:f>WORKDAY(기본입력!$H$2,Q570-1,공휴일)</x:f>
        <x:v>46017</x:v>
      </x:c>
    </x:row>
    <x:row r="571" spans="1:18">
      <x:c r="A571" s="145" t="str">
        <x:f t="shared" si="52"/>
        <x:v>20251226</x:v>
      </x:c>
      <x:c r="B571" s="8" t="s">
        <x:v>5</x:v>
      </x:c>
      <x:c r="C571" s="8">
        <x:v>1740</x:v>
      </x:c>
      <x:c r="D571" s="7" t="s">
        <x:v>1</x:v>
      </x:c>
      <x:c r="E571" s="8" t="s">
        <x:v>117</x:v>
      </x:c>
      <x:c r="F571" s="8" t="s">
        <x:v>40</x:v>
      </x:c>
      <x:c r="G571" s="15" t="str">
        <x:f>IF(OR(N571="",N571&gt;기본입력!$C$34),"",VLOOKUP(O571,기본입력!$A$9:$F$33,5))</x:f>
        <x:v>양현수_53778</x:v>
      </x:c>
      <x:c r="H571" s="15" t="str">
        <x:f>IF(OR(N571="",N571&gt;기본입력!$C$34),"",기본입력!$C$6)</x:f>
        <x:v>1교육실(실습겸용강의실)_243089</x:v>
      </x:c>
      <x:c r="I571" s="15" t="str">
        <x:f>IF(OR(O571="",N571&gt;기본입력!$C$34),"",VLOOKUP(O571,기본입력!$A$9:$F$33,6,FALSE))</x:f>
        <x:v>Advanced 프로젝트_9</x:v>
      </x:c>
      <x:c r="J571" s="38" t="str">
        <x:f t="shared" si="54"/>
        <x:v>Advanced 프로젝트</x:v>
      </x:c>
      <x:c r="K571" s="38" t="str">
        <x:f t="shared" si="55"/>
        <x:v>1교육실(실습겸용강의실)</x:v>
      </x:c>
      <x:c r="L571" s="38" t="str">
        <x:f t="shared" si="56"/>
        <x:v>양현수</x:v>
      </x:c>
      <x:c r="M571" s="63"/>
      <x:c r="N571" s="30">
        <x:f>IF(F571="2","",COUNTIF($F$3:$F571,"=1"))</x:f>
        <x:v>506</x:v>
      </x:c>
      <x:c r="O571" s="30">
        <x:f t="shared" si="51"/>
        <x:v>6</x:v>
      </x:c>
      <x:c r="P571" s="30">
        <x:f t="shared" si="53"/>
        <x:v>4</x:v>
      </x:c>
      <x:c r="Q571" s="30">
        <x:f>COUNTIF($P$3:P571,"=3")</x:f>
        <x:v>64</x:v>
      </x:c>
      <x:c r="R571" s="29">
        <x:f>WORKDAY(기본입력!$H$2,Q571-1,공휴일)</x:f>
        <x:v>46017</x:v>
      </x:c>
    </x:row>
    <x:row r="572" spans="1:18">
      <x:c r="A572" s="145" t="str">
        <x:f t="shared" si="52"/>
        <x:v>20251226</x:v>
      </x:c>
      <x:c r="B572" s="8" t="s">
        <x:v>5</x:v>
      </x:c>
      <x:c r="C572" s="8">
        <x:v>1740</x:v>
      </x:c>
      <x:c r="D572" s="7" t="s">
        <x:v>1</x:v>
      </x:c>
      <x:c r="E572" s="8" t="s">
        <x:v>87</x:v>
      </x:c>
      <x:c r="F572" s="8" t="s">
        <x:v>40</x:v>
      </x:c>
      <x:c r="G572" s="15" t="str">
        <x:f>IF(OR(N572="",N572&gt;기본입력!$C$34),"",VLOOKUP(O572,기본입력!$A$9:$F$33,5))</x:f>
        <x:v>양현수_53778</x:v>
      </x:c>
      <x:c r="H572" s="15" t="str">
        <x:f>IF(OR(N572="",N572&gt;기본입력!$C$34),"",기본입력!$C$6)</x:f>
        <x:v>1교육실(실습겸용강의실)_243089</x:v>
      </x:c>
      <x:c r="I572" s="15" t="str">
        <x:f>IF(OR(O572="",N572&gt;기본입력!$C$34),"",VLOOKUP(O572,기본입력!$A$9:$F$33,6,FALSE))</x:f>
        <x:v>Advanced 프로젝트_9</x:v>
      </x:c>
      <x:c r="J572" s="38" t="str">
        <x:f t="shared" si="54"/>
        <x:v>Advanced 프로젝트</x:v>
      </x:c>
      <x:c r="K572" s="38" t="str">
        <x:f t="shared" si="55"/>
        <x:v>1교육실(실습겸용강의실)</x:v>
      </x:c>
      <x:c r="L572" s="38" t="str">
        <x:f t="shared" si="56"/>
        <x:v>양현수</x:v>
      </x:c>
      <x:c r="M572" s="63"/>
      <x:c r="N572" s="30">
        <x:f>IF(F572="2","",COUNTIF($F$3:$F572,"=1"))</x:f>
        <x:v>507</x:v>
      </x:c>
      <x:c r="O572" s="30">
        <x:f t="shared" si="51"/>
        <x:v>6</x:v>
      </x:c>
      <x:c r="P572" s="30">
        <x:f t="shared" si="53"/>
        <x:v>5</x:v>
      </x:c>
      <x:c r="Q572" s="30">
        <x:f>COUNTIF($P$3:P572,"=3")</x:f>
        <x:v>64</x:v>
      </x:c>
      <x:c r="R572" s="29">
        <x:f>WORKDAY(기본입력!$H$2,Q572-1,공휴일)</x:f>
        <x:v>46017</x:v>
      </x:c>
    </x:row>
    <x:row r="573" spans="1:18">
      <x:c r="A573" s="145" t="str">
        <x:f t="shared" si="52"/>
        <x:v>20251226</x:v>
      </x:c>
      <x:c r="B573" s="8" t="s">
        <x:v>5</x:v>
      </x:c>
      <x:c r="C573" s="8">
        <x:v>1740</x:v>
      </x:c>
      <x:c r="D573" s="7" t="s">
        <x:v>1</x:v>
      </x:c>
      <x:c r="E573" s="8" t="s">
        <x:v>88</x:v>
      </x:c>
      <x:c r="F573" s="8" t="s">
        <x:v>40</x:v>
      </x:c>
      <x:c r="G573" s="15" t="str">
        <x:f>IF(OR(N573="",N573&gt;기본입력!$C$34),"",VLOOKUP(O573,기본입력!$A$9:$F$33,5))</x:f>
        <x:v>양현수_53778</x:v>
      </x:c>
      <x:c r="H573" s="15" t="str">
        <x:f>IF(OR(N573="",N573&gt;기본입력!$C$34),"",기본입력!$C$6)</x:f>
        <x:v>1교육실(실습겸용강의실)_243089</x:v>
      </x:c>
      <x:c r="I573" s="15" t="str">
        <x:f>IF(OR(O573="",N573&gt;기본입력!$C$34),"",VLOOKUP(O573,기본입력!$A$9:$F$33,6,FALSE))</x:f>
        <x:v>Advanced 프로젝트_9</x:v>
      </x:c>
      <x:c r="J573" s="38" t="str">
        <x:f t="shared" si="54"/>
        <x:v>Advanced 프로젝트</x:v>
      </x:c>
      <x:c r="K573" s="38" t="str">
        <x:f t="shared" si="55"/>
        <x:v>1교육실(실습겸용강의실)</x:v>
      </x:c>
      <x:c r="L573" s="38" t="str">
        <x:f t="shared" si="56"/>
        <x:v>양현수</x:v>
      </x:c>
      <x:c r="M573" s="63"/>
      <x:c r="N573" s="30">
        <x:f>IF(F573="2","",COUNTIF($F$3:$F573,"=1"))</x:f>
        <x:v>508</x:v>
      </x:c>
      <x:c r="O573" s="30">
        <x:f t="shared" si="51"/>
        <x:v>6</x:v>
      </x:c>
      <x:c r="P573" s="30">
        <x:f t="shared" si="53"/>
        <x:v>6</x:v>
      </x:c>
      <x:c r="Q573" s="30">
        <x:f>COUNTIF($P$3:P573,"=3")</x:f>
        <x:v>64</x:v>
      </x:c>
      <x:c r="R573" s="29">
        <x:f>WORKDAY(기본입력!$H$2,Q573-1,공휴일)</x:f>
        <x:v>46017</x:v>
      </x:c>
    </x:row>
    <x:row r="574" spans="1:18">
      <x:c r="A574" s="145" t="str">
        <x:f t="shared" si="52"/>
        <x:v>20251226</x:v>
      </x:c>
      <x:c r="B574" s="8" t="s">
        <x:v>5</x:v>
      </x:c>
      <x:c r="C574" s="8">
        <x:v>1740</x:v>
      </x:c>
      <x:c r="D574" s="7" t="s">
        <x:v>1</x:v>
      </x:c>
      <x:c r="E574" s="8" t="s">
        <x:v>0</x:v>
      </x:c>
      <x:c r="F574" s="8" t="s">
        <x:v>41</x:v>
      </x:c>
      <x:c r="G574" s="15" t="str">
        <x:f>IF(OR(N574="",N574&gt;기본입력!$C$34),"",VLOOKUP(O574,기본입력!$A$9:$F$33,5))</x:f>
        <x:v/>
      </x:c>
      <x:c r="H574" s="15" t="str">
        <x:f>IF(OR(N574="",N574&gt;기본입력!$C$34),"",기본입력!$C$6)</x:f>
        <x:v/>
      </x:c>
      <x:c r="I574" s="15" t="str">
        <x:f>IF(OR(O574="",N574&gt;기본입력!$C$34),"",VLOOKUP(O574,기본입력!$A$9:$F$33,6,FALSE))</x:f>
        <x:v/>
      </x:c>
      <x:c r="J574" s="38" t="str">
        <x:f t="shared" si="54"/>
        <x:v/>
      </x:c>
      <x:c r="K574" s="38" t="str">
        <x:f t="shared" si="55"/>
        <x:v/>
      </x:c>
      <x:c r="L574" s="38" t="str">
        <x:f t="shared" si="56"/>
        <x:v/>
      </x:c>
      <x:c r="M574" s="63"/>
      <x:c r="N574" s="30" t="str">
        <x:f>IF(F574="2","",COUNTIF($F$3:$F574,"=1"))</x:f>
        <x:v/>
      </x:c>
      <x:c r="O574" s="30" t="str">
        <x:f t="shared" si="51"/>
        <x:v/>
      </x:c>
      <x:c r="P574" s="30">
        <x:f t="shared" si="53"/>
        <x:v>7</x:v>
      </x:c>
      <x:c r="Q574" s="30">
        <x:f>COUNTIF($P$3:P574,"=3")</x:f>
        <x:v>64</x:v>
      </x:c>
      <x:c r="R574" s="29">
        <x:f>WORKDAY(기본입력!$H$2,Q574-1,공휴일)</x:f>
        <x:v>46017</x:v>
      </x:c>
    </x:row>
    <x:row r="575" spans="1:18">
      <x:c r="A575" s="145" t="str">
        <x:f t="shared" si="52"/>
        <x:v>20251226</x:v>
      </x:c>
      <x:c r="B575" s="8" t="s">
        <x:v>5</x:v>
      </x:c>
      <x:c r="C575" s="8">
        <x:v>1740</x:v>
      </x:c>
      <x:c r="D575" s="7" t="s">
        <x:v>1</x:v>
      </x:c>
      <x:c r="E575" s="8">
        <x:v>1340</x:v>
      </x:c>
      <x:c r="F575" s="8" t="s">
        <x:v>40</x:v>
      </x:c>
      <x:c r="G575" s="15" t="str">
        <x:f>IF(OR(N575="",N575&gt;기본입력!$C$34),"",VLOOKUP(O575,기본입력!$A$9:$F$33,5))</x:f>
        <x:v>양현수_53778</x:v>
      </x:c>
      <x:c r="H575" s="15" t="str">
        <x:f>IF(OR(N575="",N575&gt;기본입력!$C$34),"",기본입력!$C$6)</x:f>
        <x:v>1교육실(실습겸용강의실)_243089</x:v>
      </x:c>
      <x:c r="I575" s="15" t="str">
        <x:f>IF(OR(O575="",N575&gt;기본입력!$C$34),"",VLOOKUP(O575,기본입력!$A$9:$F$33,6,FALSE))</x:f>
        <x:v>Advanced 프로젝트_9</x:v>
      </x:c>
      <x:c r="J575" s="38" t="str">
        <x:f t="shared" si="54"/>
        <x:v>Advanced 프로젝트</x:v>
      </x:c>
      <x:c r="K575" s="38" t="str">
        <x:f t="shared" si="55"/>
        <x:v>1교육실(실습겸용강의실)</x:v>
      </x:c>
      <x:c r="L575" s="38" t="str">
        <x:f t="shared" si="56"/>
        <x:v>양현수</x:v>
      </x:c>
      <x:c r="M575" s="63"/>
      <x:c r="N575" s="30">
        <x:f>IF(F575="2","",COUNTIF($F$3:$F575,"=1"))</x:f>
        <x:v>509</x:v>
      </x:c>
      <x:c r="O575" s="30">
        <x:f t="shared" si="51"/>
        <x:v>6</x:v>
      </x:c>
      <x:c r="P575" s="30">
        <x:f t="shared" si="53"/>
        <x:v>8</x:v>
      </x:c>
      <x:c r="Q575" s="30">
        <x:f>COUNTIF($P$3:P575,"=3")</x:f>
        <x:v>64</x:v>
      </x:c>
      <x:c r="R575" s="29">
        <x:f>WORKDAY(기본입력!$H$2,Q575-1,공휴일)</x:f>
        <x:v>46017</x:v>
      </x:c>
    </x:row>
    <x:row r="576" spans="1:18">
      <x:c r="A576" s="145" t="str">
        <x:f t="shared" si="52"/>
        <x:v>20251226</x:v>
      </x:c>
      <x:c r="B576" s="8" t="s">
        <x:v>5</x:v>
      </x:c>
      <x:c r="C576" s="8">
        <x:v>1740</x:v>
      </x:c>
      <x:c r="D576" s="7" t="s">
        <x:v>1</x:v>
      </x:c>
      <x:c r="E576" s="8">
        <x:v>1440</x:v>
      </x:c>
      <x:c r="F576" s="8" t="s">
        <x:v>40</x:v>
      </x:c>
      <x:c r="G576" s="15" t="str">
        <x:f>IF(OR(N576="",N576&gt;기본입력!$C$34),"",VLOOKUP(O576,기본입력!$A$9:$F$33,5))</x:f>
        <x:v>양현수_53778</x:v>
      </x:c>
      <x:c r="H576" s="15" t="str">
        <x:f>IF(OR(N576="",N576&gt;기본입력!$C$34),"",기본입력!$C$6)</x:f>
        <x:v>1교육실(실습겸용강의실)_243089</x:v>
      </x:c>
      <x:c r="I576" s="15" t="str">
        <x:f>IF(OR(O576="",N576&gt;기본입력!$C$34),"",VLOOKUP(O576,기본입력!$A$9:$F$33,6,FALSE))</x:f>
        <x:v>Advanced 프로젝트_9</x:v>
      </x:c>
      <x:c r="J576" s="38" t="str">
        <x:f t="shared" si="54"/>
        <x:v>Advanced 프로젝트</x:v>
      </x:c>
      <x:c r="K576" s="38" t="str">
        <x:f t="shared" si="55"/>
        <x:v>1교육실(실습겸용강의실)</x:v>
      </x:c>
      <x:c r="L576" s="38" t="str">
        <x:f t="shared" si="56"/>
        <x:v>양현수</x:v>
      </x:c>
      <x:c r="M576" s="63"/>
      <x:c r="N576" s="30">
        <x:f>IF(F576="2","",COUNTIF($F$3:$F576,"=1"))</x:f>
        <x:v>510</x:v>
      </x:c>
      <x:c r="O576" s="30">
        <x:f t="shared" si="51"/>
        <x:v>6</x:v>
      </x:c>
      <x:c r="P576" s="30">
        <x:f t="shared" si="53"/>
        <x:v>0</x:v>
      </x:c>
      <x:c r="Q576" s="30">
        <x:f>COUNTIF($P$3:P576,"=3")</x:f>
        <x:v>64</x:v>
      </x:c>
      <x:c r="R576" s="29">
        <x:f>WORKDAY(기본입력!$H$2,Q576-1,공휴일)</x:f>
        <x:v>46017</x:v>
      </x:c>
    </x:row>
    <x:row r="577" spans="1:18">
      <x:c r="A577" s="145" t="str">
        <x:f t="shared" si="52"/>
        <x:v>20251226</x:v>
      </x:c>
      <x:c r="B577" s="8" t="s">
        <x:v>5</x:v>
      </x:c>
      <x:c r="C577" s="8">
        <x:v>1740</x:v>
      </x:c>
      <x:c r="D577" s="7" t="s">
        <x:v>1</x:v>
      </x:c>
      <x:c r="E577" s="8">
        <x:v>1540</x:v>
      </x:c>
      <x:c r="F577" s="8" t="s">
        <x:v>40</x:v>
      </x:c>
      <x:c r="G577" s="15" t="str">
        <x:f>IF(OR(N577="",N577&gt;기본입력!$C$34),"",VLOOKUP(O577,기본입력!$A$9:$F$33,5))</x:f>
        <x:v>양현수_53778</x:v>
      </x:c>
      <x:c r="H577" s="15" t="str">
        <x:f>IF(OR(N577="",N577&gt;기본입력!$C$34),"",기본입력!$C$6)</x:f>
        <x:v>1교육실(실습겸용강의실)_243089</x:v>
      </x:c>
      <x:c r="I577" s="15" t="str">
        <x:f>IF(OR(O577="",N577&gt;기본입력!$C$34),"",VLOOKUP(O577,기본입력!$A$9:$F$33,6,FALSE))</x:f>
        <x:v>Advanced 프로젝트_9</x:v>
      </x:c>
      <x:c r="J577" s="38" t="str">
        <x:f t="shared" si="54"/>
        <x:v>Advanced 프로젝트</x:v>
      </x:c>
      <x:c r="K577" s="38" t="str">
        <x:f t="shared" si="55"/>
        <x:v>1교육실(실습겸용강의실)</x:v>
      </x:c>
      <x:c r="L577" s="38" t="str">
        <x:f t="shared" si="56"/>
        <x:v>양현수</x:v>
      </x:c>
      <x:c r="M577" s="63"/>
      <x:c r="N577" s="30">
        <x:f>IF(F577="2","",COUNTIF($F$3:$F577,"=1"))</x:f>
        <x:v>511</x:v>
      </x:c>
      <x:c r="O577" s="30">
        <x:f t="shared" si="51"/>
        <x:v>6</x:v>
      </x:c>
      <x:c r="P577" s="30">
        <x:f t="shared" si="53"/>
        <x:v>1</x:v>
      </x:c>
      <x:c r="Q577" s="30">
        <x:f>COUNTIF($P$3:P577,"=3")</x:f>
        <x:v>64</x:v>
      </x:c>
      <x:c r="R577" s="29">
        <x:f>WORKDAY(기본입력!$H$2,Q577-1,공휴일)</x:f>
        <x:v>46017</x:v>
      </x:c>
    </x:row>
    <x:row r="578" spans="1:18">
      <x:c r="A578" s="145" t="str">
        <x:f t="shared" si="52"/>
        <x:v>20251226</x:v>
      </x:c>
      <x:c r="B578" s="8" t="s">
        <x:v>5</x:v>
      </x:c>
      <x:c r="C578" s="8">
        <x:v>1740</x:v>
      </x:c>
      <x:c r="D578" s="7" t="s">
        <x:v>1</x:v>
      </x:c>
      <x:c r="E578" s="8">
        <x:v>1640</x:v>
      </x:c>
      <x:c r="F578" s="8" t="s">
        <x:v>40</x:v>
      </x:c>
      <x:c r="G578" s="15" t="str">
        <x:f>IF(OR(N578="",N578&gt;기본입력!$C$34),"",VLOOKUP(O578,기본입력!$A$9:$F$33,5))</x:f>
        <x:v>양현수_53778</x:v>
      </x:c>
      <x:c r="H578" s="15" t="str">
        <x:f>IF(OR(N578="",N578&gt;기본입력!$C$34),"",기본입력!$C$6)</x:f>
        <x:v>1교육실(실습겸용강의실)_243089</x:v>
      </x:c>
      <x:c r="I578" s="15" t="str">
        <x:f>IF(OR(O578="",N578&gt;기본입력!$C$34),"",VLOOKUP(O578,기본입력!$A$9:$F$33,6,FALSE))</x:f>
        <x:v>Advanced 프로젝트_9</x:v>
      </x:c>
      <x:c r="J578" s="38" t="str">
        <x:f t="shared" si="54"/>
        <x:v>Advanced 프로젝트</x:v>
      </x:c>
      <x:c r="K578" s="38" t="str">
        <x:f t="shared" si="55"/>
        <x:v>1교육실(실습겸용강의실)</x:v>
      </x:c>
      <x:c r="L578" s="38" t="str">
        <x:f t="shared" si="56"/>
        <x:v>양현수</x:v>
      </x:c>
      <x:c r="M578" s="63"/>
      <x:c r="N578" s="30">
        <x:f>IF(F578="2","",COUNTIF($F$3:$F578,"=1"))</x:f>
        <x:v>512</x:v>
      </x:c>
      <x:c r="O578" s="30">
        <x:f t="shared" si="51"/>
        <x:v>6</x:v>
      </x:c>
      <x:c r="P578" s="30">
        <x:f t="shared" si="53"/>
        <x:v>2</x:v>
      </x:c>
      <x:c r="Q578" s="30">
        <x:f>COUNTIF($P$3:P578,"=3")</x:f>
        <x:v>64</x:v>
      </x:c>
      <x:c r="R578" s="29">
        <x:f>WORKDAY(기본입력!$H$2,Q578-1,공휴일)</x:f>
        <x:v>46017</x:v>
      </x:c>
    </x:row>
    <x:row r="579" spans="1:18">
      <x:c r="A579" s="144" t="str">
        <x:f t="shared" si="52"/>
        <x:v>20251229</x:v>
      </x:c>
      <x:c r="B579" s="6" t="s">
        <x:v>5</x:v>
      </x:c>
      <x:c r="C579" s="6">
        <x:v>1740</x:v>
      </x:c>
      <x:c r="D579" s="5" t="s">
        <x:v>1</x:v>
      </x:c>
      <x:c r="E579" s="6" t="s">
        <x:v>5</x:v>
      </x:c>
      <x:c r="F579" s="6" t="s">
        <x:v>40</x:v>
      </x:c>
      <x:c r="G579" s="14" t="str">
        <x:f>IF(OR(N579="",N579&gt;기본입력!$C$34),"",VLOOKUP(O579,기본입력!$A$9:$F$33,5))</x:f>
        <x:v>양현수_53778</x:v>
      </x:c>
      <x:c r="H579" s="14" t="str">
        <x:f>IF(OR(N579="",N579&gt;기본입력!$C$34),"",기본입력!$C$6)</x:f>
        <x:v>1교육실(실습겸용강의실)_243089</x:v>
      </x:c>
      <x:c r="I579" s="14" t="str">
        <x:f>IF(OR(O579="",N579&gt;기본입력!$C$34),"",VLOOKUP(O579,기본입력!$A$9:$F$33,6,FALSE))</x:f>
        <x:v>Advanced 프로젝트_9</x:v>
      </x:c>
      <x:c r="J579" s="38" t="str">
        <x:f t="shared" si="54"/>
        <x:v>Advanced 프로젝트</x:v>
      </x:c>
      <x:c r="K579" s="38" t="str">
        <x:f t="shared" si="55"/>
        <x:v>1교육실(실습겸용강의실)</x:v>
      </x:c>
      <x:c r="L579" s="38" t="str">
        <x:f t="shared" si="56"/>
        <x:v>양현수</x:v>
      </x:c>
      <x:c r="M579" s="63"/>
      <x:c r="N579" s="30">
        <x:f>IF(F579="2","",COUNTIF($F$3:$F579,"=1"))</x:f>
        <x:v>513</x:v>
      </x:c>
      <x:c r="O579" s="30">
        <x:f t="shared" ref="O579:O642" si="57">IF(F579="2","",IF(N579&lt;=누적시수1,1,IF(N579&lt;=누적시수2,2,IF(N579&lt;=누적시수3,3,IF(N579&lt;=누적시수4,4,IF(N579&lt;=누적시수5,5,IF(N579&lt;=누적시수6,6,IF(N579&lt;=누적시수7,7,IF(N579&lt;=누적시수8,8,IF(N579&lt;=누적시수9,9,IF(N579&lt;=누적시수10,10,IF(N579&lt;=누적시수11,11,IF(N579&lt;=누적시수12,12,IF(N579&lt;=누적시수13,13,IF(N579&lt;=누적시수14,14,IF(N579&lt;=누적시수15,15,IF(N579&lt;=누적시수16,16,IF(N579&lt;=누적시수17,17,IF(N579&lt;=누적시수18,18,IF(N579&lt;=누적시수19,19,IF(N579&lt;=누적시수20,20,IF(N579&lt;=누적시수21,21,IF(N579&lt;=누적시수22,22,IF(N579&lt;=누적시수23,23,IF(N579&lt;=누적시수24,24,IF(N579&lt;=누적시수25,25,0))))))))))))))))))))))))))</x:f>
        <x:v>6</x:v>
      </x:c>
      <x:c r="P579" s="30">
        <x:f t="shared" si="53"/>
        <x:v>3</x:v>
      </x:c>
      <x:c r="Q579" s="30">
        <x:f>COUNTIF($P$3:P579,"=3")</x:f>
        <x:v>65</x:v>
      </x:c>
      <x:c r="R579" s="29">
        <x:f>WORKDAY(기본입력!$H$2,Q579-1,공휴일)</x:f>
        <x:v>46020</x:v>
      </x:c>
    </x:row>
    <x:row r="580" spans="1:18">
      <x:c r="A580" s="144" t="str">
        <x:f t="shared" ref="A580:A643" si="58">TEXT(R580,"yyyymmdd")</x:f>
        <x:v>20251229</x:v>
      </x:c>
      <x:c r="B580" s="6" t="s">
        <x:v>5</x:v>
      </x:c>
      <x:c r="C580" s="6">
        <x:v>1740</x:v>
      </x:c>
      <x:c r="D580" s="5" t="s">
        <x:v>1</x:v>
      </x:c>
      <x:c r="E580" s="6" t="s">
        <x:v>117</x:v>
      </x:c>
      <x:c r="F580" s="6" t="s">
        <x:v>40</x:v>
      </x:c>
      <x:c r="G580" s="14" t="str">
        <x:f>IF(OR(N580="",N580&gt;기본입력!$C$34),"",VLOOKUP(O580,기본입력!$A$9:$F$33,5))</x:f>
        <x:v>양현수_53778</x:v>
      </x:c>
      <x:c r="H580" s="14" t="str">
        <x:f>IF(OR(N580="",N580&gt;기본입력!$C$34),"",기본입력!$C$6)</x:f>
        <x:v>1교육실(실습겸용강의실)_243089</x:v>
      </x:c>
      <x:c r="I580" s="14" t="str">
        <x:f>IF(OR(O580="",N580&gt;기본입력!$C$34),"",VLOOKUP(O580,기본입력!$A$9:$F$33,6,FALSE))</x:f>
        <x:v>Advanced 프로젝트_9</x:v>
      </x:c>
      <x:c r="J580" s="38" t="str">
        <x:f t="shared" si="54"/>
        <x:v>Advanced 프로젝트</x:v>
      </x:c>
      <x:c r="K580" s="38" t="str">
        <x:f t="shared" si="55"/>
        <x:v>1교육실(실습겸용강의실)</x:v>
      </x:c>
      <x:c r="L580" s="38" t="str">
        <x:f t="shared" si="56"/>
        <x:v>양현수</x:v>
      </x:c>
      <x:c r="M580" s="63"/>
      <x:c r="N580" s="30">
        <x:f>IF(F580="2","",COUNTIF($F$3:$F580,"=1"))</x:f>
        <x:v>514</x:v>
      </x:c>
      <x:c r="O580" s="30">
        <x:f t="shared" si="57"/>
        <x:v>6</x:v>
      </x:c>
      <x:c r="P580" s="30">
        <x:f t="shared" ref="P580:P643" si="59">MOD(ROW(),9)</x:f>
        <x:v>4</x:v>
      </x:c>
      <x:c r="Q580" s="30">
        <x:f>COUNTIF($P$3:P580,"=3")</x:f>
        <x:v>65</x:v>
      </x:c>
      <x:c r="R580" s="29">
        <x:f>WORKDAY(기본입력!$H$2,Q580-1,공휴일)</x:f>
        <x:v>46020</x:v>
      </x:c>
    </x:row>
    <x:row r="581" spans="1:18">
      <x:c r="A581" s="144" t="str">
        <x:f t="shared" si="58"/>
        <x:v>20251229</x:v>
      </x:c>
      <x:c r="B581" s="6" t="s">
        <x:v>5</x:v>
      </x:c>
      <x:c r="C581" s="6">
        <x:v>1740</x:v>
      </x:c>
      <x:c r="D581" s="5" t="s">
        <x:v>1</x:v>
      </x:c>
      <x:c r="E581" s="6" t="s">
        <x:v>87</x:v>
      </x:c>
      <x:c r="F581" s="6" t="s">
        <x:v>40</x:v>
      </x:c>
      <x:c r="G581" s="14" t="str">
        <x:f>IF(OR(N581="",N581&gt;기본입력!$C$34),"",VLOOKUP(O581,기본입력!$A$9:$F$33,5))</x:f>
        <x:v>양현수_53778</x:v>
      </x:c>
      <x:c r="H581" s="14" t="str">
        <x:f>IF(OR(N581="",N581&gt;기본입력!$C$34),"",기본입력!$C$6)</x:f>
        <x:v>1교육실(실습겸용강의실)_243089</x:v>
      </x:c>
      <x:c r="I581" s="14" t="str">
        <x:f>IF(OR(O581="",N581&gt;기본입력!$C$34),"",VLOOKUP(O581,기본입력!$A$9:$F$33,6,FALSE))</x:f>
        <x:v>Advanced 프로젝트_9</x:v>
      </x:c>
      <x:c r="J581" s="38" t="str">
        <x:f t="shared" si="54"/>
        <x:v>Advanced 프로젝트</x:v>
      </x:c>
      <x:c r="K581" s="38" t="str">
        <x:f t="shared" si="55"/>
        <x:v>1교육실(실습겸용강의실)</x:v>
      </x:c>
      <x:c r="L581" s="38" t="str">
        <x:f t="shared" si="56"/>
        <x:v>양현수</x:v>
      </x:c>
      <x:c r="M581" s="63"/>
      <x:c r="N581" s="30">
        <x:f>IF(F581="2","",COUNTIF($F$3:$F581,"=1"))</x:f>
        <x:v>515</x:v>
      </x:c>
      <x:c r="O581" s="30">
        <x:f t="shared" si="57"/>
        <x:v>6</x:v>
      </x:c>
      <x:c r="P581" s="30">
        <x:f t="shared" si="59"/>
        <x:v>5</x:v>
      </x:c>
      <x:c r="Q581" s="30">
        <x:f>COUNTIF($P$3:P581,"=3")</x:f>
        <x:v>65</x:v>
      </x:c>
      <x:c r="R581" s="29">
        <x:f>WORKDAY(기본입력!$H$2,Q581-1,공휴일)</x:f>
        <x:v>46020</x:v>
      </x:c>
    </x:row>
    <x:row r="582" spans="1:18">
      <x:c r="A582" s="144" t="str">
        <x:f t="shared" si="58"/>
        <x:v>20251229</x:v>
      </x:c>
      <x:c r="B582" s="6" t="s">
        <x:v>5</x:v>
      </x:c>
      <x:c r="C582" s="6">
        <x:v>1740</x:v>
      </x:c>
      <x:c r="D582" s="5" t="s">
        <x:v>1</x:v>
      </x:c>
      <x:c r="E582" s="6" t="s">
        <x:v>88</x:v>
      </x:c>
      <x:c r="F582" s="6" t="s">
        <x:v>40</x:v>
      </x:c>
      <x:c r="G582" s="14" t="str">
        <x:f>IF(OR(N582="",N582&gt;기본입력!$C$34),"",VLOOKUP(O582,기본입력!$A$9:$F$33,5))</x:f>
        <x:v>양현수_53778</x:v>
      </x:c>
      <x:c r="H582" s="14" t="str">
        <x:f>IF(OR(N582="",N582&gt;기본입력!$C$34),"",기본입력!$C$6)</x:f>
        <x:v>1교육실(실습겸용강의실)_243089</x:v>
      </x:c>
      <x:c r="I582" s="14" t="str">
        <x:f>IF(OR(O582="",N582&gt;기본입력!$C$34),"",VLOOKUP(O582,기본입력!$A$9:$F$33,6,FALSE))</x:f>
        <x:v>Advanced 프로젝트_9</x:v>
      </x:c>
      <x:c r="J582" s="38" t="str">
        <x:f t="shared" si="54"/>
        <x:v>Advanced 프로젝트</x:v>
      </x:c>
      <x:c r="K582" s="38" t="str">
        <x:f t="shared" si="55"/>
        <x:v>1교육실(실습겸용강의실)</x:v>
      </x:c>
      <x:c r="L582" s="38" t="str">
        <x:f t="shared" si="56"/>
        <x:v>양현수</x:v>
      </x:c>
      <x:c r="M582" s="63"/>
      <x:c r="N582" s="30">
        <x:f>IF(F582="2","",COUNTIF($F$3:$F582,"=1"))</x:f>
        <x:v>516</x:v>
      </x:c>
      <x:c r="O582" s="30">
        <x:f t="shared" si="57"/>
        <x:v>6</x:v>
      </x:c>
      <x:c r="P582" s="30">
        <x:f t="shared" si="59"/>
        <x:v>6</x:v>
      </x:c>
      <x:c r="Q582" s="30">
        <x:f>COUNTIF($P$3:P582,"=3")</x:f>
        <x:v>65</x:v>
      </x:c>
      <x:c r="R582" s="29">
        <x:f>WORKDAY(기본입력!$H$2,Q582-1,공휴일)</x:f>
        <x:v>46020</x:v>
      </x:c>
    </x:row>
    <x:row r="583" spans="1:18">
      <x:c r="A583" s="144" t="str">
        <x:f t="shared" si="58"/>
        <x:v>20251229</x:v>
      </x:c>
      <x:c r="B583" s="6" t="s">
        <x:v>5</x:v>
      </x:c>
      <x:c r="C583" s="6">
        <x:v>1740</x:v>
      </x:c>
      <x:c r="D583" s="5" t="s">
        <x:v>1</x:v>
      </x:c>
      <x:c r="E583" s="6" t="s">
        <x:v>0</x:v>
      </x:c>
      <x:c r="F583" s="6" t="s">
        <x:v>41</x:v>
      </x:c>
      <x:c r="G583" s="14" t="str">
        <x:f>IF(OR(N583="",N583&gt;기본입력!$C$34),"",VLOOKUP(O583,기본입력!$A$9:$F$33,5))</x:f>
        <x:v/>
      </x:c>
      <x:c r="H583" s="14" t="str">
        <x:f>IF(OR(N583="",N583&gt;기본입력!$C$34),"",기본입력!$C$6)</x:f>
        <x:v/>
      </x:c>
      <x:c r="I583" s="14" t="str">
        <x:f>IF(OR(O583="",N583&gt;기본입력!$C$34),"",VLOOKUP(O583,기본입력!$A$9:$F$33,6,FALSE))</x:f>
        <x:v/>
      </x:c>
      <x:c r="J583" s="38" t="str">
        <x:f t="shared" si="54"/>
        <x:v/>
      </x:c>
      <x:c r="K583" s="38" t="str">
        <x:f t="shared" si="55"/>
        <x:v/>
      </x:c>
      <x:c r="L583" s="38" t="str">
        <x:f t="shared" si="56"/>
        <x:v/>
      </x:c>
      <x:c r="M583" s="63"/>
      <x:c r="N583" s="30" t="str">
        <x:f>IF(F583="2","",COUNTIF($F$3:$F583,"=1"))</x:f>
        <x:v/>
      </x:c>
      <x:c r="O583" s="30" t="str">
        <x:f t="shared" si="57"/>
        <x:v/>
      </x:c>
      <x:c r="P583" s="30">
        <x:f t="shared" si="59"/>
        <x:v>7</x:v>
      </x:c>
      <x:c r="Q583" s="30">
        <x:f>COUNTIF($P$3:P583,"=3")</x:f>
        <x:v>65</x:v>
      </x:c>
      <x:c r="R583" s="29">
        <x:f>WORKDAY(기본입력!$H$2,Q583-1,공휴일)</x:f>
        <x:v>46020</x:v>
      </x:c>
    </x:row>
    <x:row r="584" spans="1:18">
      <x:c r="A584" s="144" t="str">
        <x:f t="shared" si="58"/>
        <x:v>20251229</x:v>
      </x:c>
      <x:c r="B584" s="6" t="s">
        <x:v>5</x:v>
      </x:c>
      <x:c r="C584" s="6">
        <x:v>1740</x:v>
      </x:c>
      <x:c r="D584" s="5" t="s">
        <x:v>1</x:v>
      </x:c>
      <x:c r="E584" s="6">
        <x:v>1340</x:v>
      </x:c>
      <x:c r="F584" s="6" t="s">
        <x:v>40</x:v>
      </x:c>
      <x:c r="G584" s="14" t="str">
        <x:f>IF(OR(N584="",N584&gt;기본입력!$C$34),"",VLOOKUP(O584,기본입력!$A$9:$F$33,5))</x:f>
        <x:v>양현수_53778</x:v>
      </x:c>
      <x:c r="H584" s="14" t="str">
        <x:f>IF(OR(N584="",N584&gt;기본입력!$C$34),"",기본입력!$C$6)</x:f>
        <x:v>1교육실(실습겸용강의실)_243089</x:v>
      </x:c>
      <x:c r="I584" s="14" t="str">
        <x:f>IF(OR(O584="",N584&gt;기본입력!$C$34),"",VLOOKUP(O584,기본입력!$A$9:$F$33,6,FALSE))</x:f>
        <x:v>Advanced 프로젝트_9</x:v>
      </x:c>
      <x:c r="J584" s="38" t="str">
        <x:f t="shared" si="54"/>
        <x:v>Advanced 프로젝트</x:v>
      </x:c>
      <x:c r="K584" s="38" t="str">
        <x:f t="shared" si="55"/>
        <x:v>1교육실(실습겸용강의실)</x:v>
      </x:c>
      <x:c r="L584" s="38" t="str">
        <x:f t="shared" si="56"/>
        <x:v>양현수</x:v>
      </x:c>
      <x:c r="M584" s="63"/>
      <x:c r="N584" s="30">
        <x:f>IF(F584="2","",COUNTIF($F$3:$F584,"=1"))</x:f>
        <x:v>517</x:v>
      </x:c>
      <x:c r="O584" s="30">
        <x:f t="shared" si="57"/>
        <x:v>6</x:v>
      </x:c>
      <x:c r="P584" s="30">
        <x:f t="shared" si="59"/>
        <x:v>8</x:v>
      </x:c>
      <x:c r="Q584" s="30">
        <x:f>COUNTIF($P$3:P584,"=3")</x:f>
        <x:v>65</x:v>
      </x:c>
      <x:c r="R584" s="29">
        <x:f>WORKDAY(기본입력!$H$2,Q584-1,공휴일)</x:f>
        <x:v>46020</x:v>
      </x:c>
    </x:row>
    <x:row r="585" spans="1:18">
      <x:c r="A585" s="144" t="str">
        <x:f t="shared" si="58"/>
        <x:v>20251229</x:v>
      </x:c>
      <x:c r="B585" s="6" t="s">
        <x:v>5</x:v>
      </x:c>
      <x:c r="C585" s="6">
        <x:v>1740</x:v>
      </x:c>
      <x:c r="D585" s="5" t="s">
        <x:v>1</x:v>
      </x:c>
      <x:c r="E585" s="6">
        <x:v>1440</x:v>
      </x:c>
      <x:c r="F585" s="6" t="s">
        <x:v>40</x:v>
      </x:c>
      <x:c r="G585" s="14" t="str">
        <x:f>IF(OR(N585="",N585&gt;기본입력!$C$34),"",VLOOKUP(O585,기본입력!$A$9:$F$33,5))</x:f>
        <x:v>양현수_53778</x:v>
      </x:c>
      <x:c r="H585" s="14" t="str">
        <x:f>IF(OR(N585="",N585&gt;기본입력!$C$34),"",기본입력!$C$6)</x:f>
        <x:v>1교육실(실습겸용강의실)_243089</x:v>
      </x:c>
      <x:c r="I585" s="14" t="str">
        <x:f>IF(OR(O585="",N585&gt;기본입력!$C$34),"",VLOOKUP(O585,기본입력!$A$9:$F$33,6,FALSE))</x:f>
        <x:v>Advanced 프로젝트_9</x:v>
      </x:c>
      <x:c r="J585" s="38" t="str">
        <x:f t="shared" si="54"/>
        <x:v>Advanced 프로젝트</x:v>
      </x:c>
      <x:c r="K585" s="38" t="str">
        <x:f t="shared" si="55"/>
        <x:v>1교육실(실습겸용강의실)</x:v>
      </x:c>
      <x:c r="L585" s="38" t="str">
        <x:f t="shared" si="56"/>
        <x:v>양현수</x:v>
      </x:c>
      <x:c r="M585" s="63"/>
      <x:c r="N585" s="30">
        <x:f>IF(F585="2","",COUNTIF($F$3:$F585,"=1"))</x:f>
        <x:v>518</x:v>
      </x:c>
      <x:c r="O585" s="30">
        <x:f t="shared" si="57"/>
        <x:v>6</x:v>
      </x:c>
      <x:c r="P585" s="30">
        <x:f t="shared" si="59"/>
        <x:v>0</x:v>
      </x:c>
      <x:c r="Q585" s="30">
        <x:f>COUNTIF($P$3:P585,"=3")</x:f>
        <x:v>65</x:v>
      </x:c>
      <x:c r="R585" s="29">
        <x:f>WORKDAY(기본입력!$H$2,Q585-1,공휴일)</x:f>
        <x:v>46020</x:v>
      </x:c>
    </x:row>
    <x:row r="586" spans="1:18">
      <x:c r="A586" s="144" t="str">
        <x:f t="shared" si="58"/>
        <x:v>20251229</x:v>
      </x:c>
      <x:c r="B586" s="6" t="s">
        <x:v>5</x:v>
      </x:c>
      <x:c r="C586" s="6">
        <x:v>1740</x:v>
      </x:c>
      <x:c r="D586" s="5" t="s">
        <x:v>1</x:v>
      </x:c>
      <x:c r="E586" s="6">
        <x:v>1540</x:v>
      </x:c>
      <x:c r="F586" s="6" t="s">
        <x:v>40</x:v>
      </x:c>
      <x:c r="G586" s="14" t="str">
        <x:f>IF(OR(N586="",N586&gt;기본입력!$C$34),"",VLOOKUP(O586,기본입력!$A$9:$F$33,5))</x:f>
        <x:v>양현수_53778</x:v>
      </x:c>
      <x:c r="H586" s="14" t="str">
        <x:f>IF(OR(N586="",N586&gt;기본입력!$C$34),"",기본입력!$C$6)</x:f>
        <x:v>1교육실(실습겸용강의실)_243089</x:v>
      </x:c>
      <x:c r="I586" s="14" t="str">
        <x:f>IF(OR(O586="",N586&gt;기본입력!$C$34),"",VLOOKUP(O586,기본입력!$A$9:$F$33,6,FALSE))</x:f>
        <x:v>Advanced 프로젝트_9</x:v>
      </x:c>
      <x:c r="J586" s="38" t="str">
        <x:f t="shared" si="54"/>
        <x:v>Advanced 프로젝트</x:v>
      </x:c>
      <x:c r="K586" s="38" t="str">
        <x:f t="shared" si="55"/>
        <x:v>1교육실(실습겸용강의실)</x:v>
      </x:c>
      <x:c r="L586" s="38" t="str">
        <x:f t="shared" si="56"/>
        <x:v>양현수</x:v>
      </x:c>
      <x:c r="M586" s="63"/>
      <x:c r="N586" s="30">
        <x:f>IF(F586="2","",COUNTIF($F$3:$F586,"=1"))</x:f>
        <x:v>519</x:v>
      </x:c>
      <x:c r="O586" s="30">
        <x:f t="shared" si="57"/>
        <x:v>6</x:v>
      </x:c>
      <x:c r="P586" s="30">
        <x:f t="shared" si="59"/>
        <x:v>1</x:v>
      </x:c>
      <x:c r="Q586" s="30">
        <x:f>COUNTIF($P$3:P586,"=3")</x:f>
        <x:v>65</x:v>
      </x:c>
      <x:c r="R586" s="29">
        <x:f>WORKDAY(기본입력!$H$2,Q586-1,공휴일)</x:f>
        <x:v>46020</x:v>
      </x:c>
    </x:row>
    <x:row r="587" spans="1:18">
      <x:c r="A587" s="144" t="str">
        <x:f t="shared" si="58"/>
        <x:v>20251229</x:v>
      </x:c>
      <x:c r="B587" s="6" t="s">
        <x:v>5</x:v>
      </x:c>
      <x:c r="C587" s="6">
        <x:v>1740</x:v>
      </x:c>
      <x:c r="D587" s="5" t="s">
        <x:v>1</x:v>
      </x:c>
      <x:c r="E587" s="6">
        <x:v>1640</x:v>
      </x:c>
      <x:c r="F587" s="6" t="s">
        <x:v>40</x:v>
      </x:c>
      <x:c r="G587" s="14" t="str">
        <x:f>IF(OR(N587="",N587&gt;기본입력!$C$34),"",VLOOKUP(O587,기본입력!$A$9:$F$33,5))</x:f>
        <x:v>양현수_53778</x:v>
      </x:c>
      <x:c r="H587" s="14" t="str">
        <x:f>IF(OR(N587="",N587&gt;기본입력!$C$34),"",기본입력!$C$6)</x:f>
        <x:v>1교육실(실습겸용강의실)_243089</x:v>
      </x:c>
      <x:c r="I587" s="14" t="str">
        <x:f>IF(OR(O587="",N587&gt;기본입력!$C$34),"",VLOOKUP(O587,기본입력!$A$9:$F$33,6,FALSE))</x:f>
        <x:v>Advanced 프로젝트_9</x:v>
      </x:c>
      <x:c r="J587" s="38" t="str">
        <x:f t="shared" si="54"/>
        <x:v>Advanced 프로젝트</x:v>
      </x:c>
      <x:c r="K587" s="38" t="str">
        <x:f t="shared" si="55"/>
        <x:v>1교육실(실습겸용강의실)</x:v>
      </x:c>
      <x:c r="L587" s="38" t="str">
        <x:f t="shared" si="56"/>
        <x:v>양현수</x:v>
      </x:c>
      <x:c r="M587" s="63"/>
      <x:c r="N587" s="30">
        <x:f>IF(F587="2","",COUNTIF($F$3:$F587,"=1"))</x:f>
        <x:v>520</x:v>
      </x:c>
      <x:c r="O587" s="30">
        <x:f t="shared" si="57"/>
        <x:v>6</x:v>
      </x:c>
      <x:c r="P587" s="30">
        <x:f t="shared" si="59"/>
        <x:v>2</x:v>
      </x:c>
      <x:c r="Q587" s="30">
        <x:f>COUNTIF($P$3:P587,"=3")</x:f>
        <x:v>65</x:v>
      </x:c>
      <x:c r="R587" s="29">
        <x:f>WORKDAY(기본입력!$H$2,Q587-1,공휴일)</x:f>
        <x:v>46020</x:v>
      </x:c>
    </x:row>
    <x:row r="588" spans="1:18">
      <x:c r="A588" s="145" t="str">
        <x:f t="shared" si="58"/>
        <x:v>20251230</x:v>
      </x:c>
      <x:c r="B588" s="8" t="s">
        <x:v>5</x:v>
      </x:c>
      <x:c r="C588" s="8">
        <x:v>1740</x:v>
      </x:c>
      <x:c r="D588" s="7" t="s">
        <x:v>1</x:v>
      </x:c>
      <x:c r="E588" s="8" t="s">
        <x:v>5</x:v>
      </x:c>
      <x:c r="F588" s="8" t="s">
        <x:v>40</x:v>
      </x:c>
      <x:c r="G588" s="15" t="str">
        <x:f>IF(OR(N588="",N588&gt;기본입력!$C$34),"",VLOOKUP(O588,기본입력!$A$9:$F$33,5))</x:f>
        <x:v>양현수_53778</x:v>
      </x:c>
      <x:c r="H588" s="15" t="str">
        <x:f>IF(OR(N588="",N588&gt;기본입력!$C$34),"",기본입력!$C$6)</x:f>
        <x:v>1교육실(실습겸용강의실)_243089</x:v>
      </x:c>
      <x:c r="I588" s="15" t="str">
        <x:f>IF(OR(O588="",N588&gt;기본입력!$C$34),"",VLOOKUP(O588,기본입력!$A$9:$F$33,6,FALSE))</x:f>
        <x:v>Advanced 프로젝트_9</x:v>
      </x:c>
      <x:c r="J588" s="38" t="str">
        <x:f t="shared" si="54"/>
        <x:v>Advanced 프로젝트</x:v>
      </x:c>
      <x:c r="K588" s="38" t="str">
        <x:f t="shared" si="55"/>
        <x:v>1교육실(실습겸용강의실)</x:v>
      </x:c>
      <x:c r="L588" s="38" t="str">
        <x:f t="shared" si="56"/>
        <x:v>양현수</x:v>
      </x:c>
      <x:c r="M588" s="63"/>
      <x:c r="N588" s="30">
        <x:f>IF(F588="2","",COUNTIF($F$3:$F588,"=1"))</x:f>
        <x:v>521</x:v>
      </x:c>
      <x:c r="O588" s="30">
        <x:f t="shared" si="57"/>
        <x:v>6</x:v>
      </x:c>
      <x:c r="P588" s="30">
        <x:f t="shared" si="59"/>
        <x:v>3</x:v>
      </x:c>
      <x:c r="Q588" s="30">
        <x:f>COUNTIF($P$3:P588,"=3")</x:f>
        <x:v>66</x:v>
      </x:c>
      <x:c r="R588" s="29">
        <x:f>WORKDAY(기본입력!$H$2,Q588-1,공휴일)</x:f>
        <x:v>46021</x:v>
      </x:c>
    </x:row>
    <x:row r="589" spans="1:18">
      <x:c r="A589" s="145" t="str">
        <x:f t="shared" si="58"/>
        <x:v>20251230</x:v>
      </x:c>
      <x:c r="B589" s="8" t="s">
        <x:v>5</x:v>
      </x:c>
      <x:c r="C589" s="8">
        <x:v>1740</x:v>
      </x:c>
      <x:c r="D589" s="7" t="s">
        <x:v>1</x:v>
      </x:c>
      <x:c r="E589" s="8" t="s">
        <x:v>117</x:v>
      </x:c>
      <x:c r="F589" s="8" t="s">
        <x:v>40</x:v>
      </x:c>
      <x:c r="G589" s="15" t="str">
        <x:f>IF(OR(N589="",N589&gt;기본입력!$C$34),"",VLOOKUP(O589,기본입력!$A$9:$F$33,5))</x:f>
        <x:v>양현수_53778</x:v>
      </x:c>
      <x:c r="H589" s="15" t="str">
        <x:f>IF(OR(N589="",N589&gt;기본입력!$C$34),"",기본입력!$C$6)</x:f>
        <x:v>1교육실(실습겸용강의실)_243089</x:v>
      </x:c>
      <x:c r="I589" s="15" t="str">
        <x:f>IF(OR(O589="",N589&gt;기본입력!$C$34),"",VLOOKUP(O589,기본입력!$A$9:$F$33,6,FALSE))</x:f>
        <x:v>Advanced 프로젝트_9</x:v>
      </x:c>
      <x:c r="J589" s="38" t="str">
        <x:f t="shared" si="54"/>
        <x:v>Advanced 프로젝트</x:v>
      </x:c>
      <x:c r="K589" s="38" t="str">
        <x:f t="shared" si="55"/>
        <x:v>1교육실(실습겸용강의실)</x:v>
      </x:c>
      <x:c r="L589" s="38" t="str">
        <x:f t="shared" si="56"/>
        <x:v>양현수</x:v>
      </x:c>
      <x:c r="M589" s="63"/>
      <x:c r="N589" s="30">
        <x:f>IF(F589="2","",COUNTIF($F$3:$F589,"=1"))</x:f>
        <x:v>522</x:v>
      </x:c>
      <x:c r="O589" s="30">
        <x:f t="shared" si="57"/>
        <x:v>6</x:v>
      </x:c>
      <x:c r="P589" s="30">
        <x:f t="shared" si="59"/>
        <x:v>4</x:v>
      </x:c>
      <x:c r="Q589" s="30">
        <x:f>COUNTIF($P$3:P589,"=3")</x:f>
        <x:v>66</x:v>
      </x:c>
      <x:c r="R589" s="29">
        <x:f>WORKDAY(기본입력!$H$2,Q589-1,공휴일)</x:f>
        <x:v>46021</x:v>
      </x:c>
    </x:row>
    <x:row r="590" spans="1:18">
      <x:c r="A590" s="145" t="str">
        <x:f t="shared" si="58"/>
        <x:v>20251230</x:v>
      </x:c>
      <x:c r="B590" s="8" t="s">
        <x:v>5</x:v>
      </x:c>
      <x:c r="C590" s="8">
        <x:v>1740</x:v>
      </x:c>
      <x:c r="D590" s="7" t="s">
        <x:v>1</x:v>
      </x:c>
      <x:c r="E590" s="8" t="s">
        <x:v>87</x:v>
      </x:c>
      <x:c r="F590" s="8" t="s">
        <x:v>40</x:v>
      </x:c>
      <x:c r="G590" s="15" t="str">
        <x:f>IF(OR(N590="",N590&gt;기본입력!$C$34),"",VLOOKUP(O590,기본입력!$A$9:$F$33,5))</x:f>
        <x:v>양현수_53778</x:v>
      </x:c>
      <x:c r="H590" s="15" t="str">
        <x:f>IF(OR(N590="",N590&gt;기본입력!$C$34),"",기본입력!$C$6)</x:f>
        <x:v>1교육실(실습겸용강의실)_243089</x:v>
      </x:c>
      <x:c r="I590" s="15" t="str">
        <x:f>IF(OR(O590="",N590&gt;기본입력!$C$34),"",VLOOKUP(O590,기본입력!$A$9:$F$33,6,FALSE))</x:f>
        <x:v>Advanced 프로젝트_9</x:v>
      </x:c>
      <x:c r="J590" s="38" t="str">
        <x:f t="shared" si="54"/>
        <x:v>Advanced 프로젝트</x:v>
      </x:c>
      <x:c r="K590" s="38" t="str">
        <x:f t="shared" si="55"/>
        <x:v>1교육실(실습겸용강의실)</x:v>
      </x:c>
      <x:c r="L590" s="38" t="str">
        <x:f t="shared" si="56"/>
        <x:v>양현수</x:v>
      </x:c>
      <x:c r="M590" s="63"/>
      <x:c r="N590" s="30">
        <x:f>IF(F590="2","",COUNTIF($F$3:$F590,"=1"))</x:f>
        <x:v>523</x:v>
      </x:c>
      <x:c r="O590" s="30">
        <x:f t="shared" si="57"/>
        <x:v>6</x:v>
      </x:c>
      <x:c r="P590" s="30">
        <x:f t="shared" si="59"/>
        <x:v>5</x:v>
      </x:c>
      <x:c r="Q590" s="30">
        <x:f>COUNTIF($P$3:P590,"=3")</x:f>
        <x:v>66</x:v>
      </x:c>
      <x:c r="R590" s="29">
        <x:f>WORKDAY(기본입력!$H$2,Q590-1,공휴일)</x:f>
        <x:v>46021</x:v>
      </x:c>
    </x:row>
    <x:row r="591" spans="1:18">
      <x:c r="A591" s="145" t="str">
        <x:f t="shared" si="58"/>
        <x:v>20251230</x:v>
      </x:c>
      <x:c r="B591" s="8" t="s">
        <x:v>5</x:v>
      </x:c>
      <x:c r="C591" s="8">
        <x:v>1740</x:v>
      </x:c>
      <x:c r="D591" s="7" t="s">
        <x:v>1</x:v>
      </x:c>
      <x:c r="E591" s="8" t="s">
        <x:v>88</x:v>
      </x:c>
      <x:c r="F591" s="8" t="s">
        <x:v>40</x:v>
      </x:c>
      <x:c r="G591" s="15" t="str">
        <x:f>IF(OR(N591="",N591&gt;기본입력!$C$34),"",VLOOKUP(O591,기본입력!$A$9:$F$33,5))</x:f>
        <x:v>양현수_53778</x:v>
      </x:c>
      <x:c r="H591" s="15" t="str">
        <x:f>IF(OR(N591="",N591&gt;기본입력!$C$34),"",기본입력!$C$6)</x:f>
        <x:v>1교육실(실습겸용강의실)_243089</x:v>
      </x:c>
      <x:c r="I591" s="15" t="str">
        <x:f>IF(OR(O591="",N591&gt;기본입력!$C$34),"",VLOOKUP(O591,기본입력!$A$9:$F$33,6,FALSE))</x:f>
        <x:v>Advanced 프로젝트_9</x:v>
      </x:c>
      <x:c r="J591" s="38" t="str">
        <x:f t="shared" si="54"/>
        <x:v>Advanced 프로젝트</x:v>
      </x:c>
      <x:c r="K591" s="38" t="str">
        <x:f t="shared" si="55"/>
        <x:v>1교육실(실습겸용강의실)</x:v>
      </x:c>
      <x:c r="L591" s="38" t="str">
        <x:f t="shared" si="56"/>
        <x:v>양현수</x:v>
      </x:c>
      <x:c r="M591" s="63"/>
      <x:c r="N591" s="30">
        <x:f>IF(F591="2","",COUNTIF($F$3:$F591,"=1"))</x:f>
        <x:v>524</x:v>
      </x:c>
      <x:c r="O591" s="30">
        <x:f t="shared" si="57"/>
        <x:v>6</x:v>
      </x:c>
      <x:c r="P591" s="30">
        <x:f t="shared" si="59"/>
        <x:v>6</x:v>
      </x:c>
      <x:c r="Q591" s="30">
        <x:f>COUNTIF($P$3:P591,"=3")</x:f>
        <x:v>66</x:v>
      </x:c>
      <x:c r="R591" s="29">
        <x:f>WORKDAY(기본입력!$H$2,Q591-1,공휴일)</x:f>
        <x:v>46021</x:v>
      </x:c>
    </x:row>
    <x:row r="592" spans="1:18">
      <x:c r="A592" s="145" t="str">
        <x:f t="shared" si="58"/>
        <x:v>20251230</x:v>
      </x:c>
      <x:c r="B592" s="8" t="s">
        <x:v>5</x:v>
      </x:c>
      <x:c r="C592" s="8">
        <x:v>1740</x:v>
      </x:c>
      <x:c r="D592" s="7" t="s">
        <x:v>1</x:v>
      </x:c>
      <x:c r="E592" s="8" t="s">
        <x:v>0</x:v>
      </x:c>
      <x:c r="F592" s="8" t="s">
        <x:v>41</x:v>
      </x:c>
      <x:c r="G592" s="15" t="str">
        <x:f>IF(OR(N592="",N592&gt;기본입력!$C$34),"",VLOOKUP(O592,기본입력!$A$9:$F$33,5))</x:f>
        <x:v/>
      </x:c>
      <x:c r="H592" s="15" t="str">
        <x:f>IF(OR(N592="",N592&gt;기본입력!$C$34),"",기본입력!$C$6)</x:f>
        <x:v/>
      </x:c>
      <x:c r="I592" s="15" t="str">
        <x:f>IF(OR(O592="",N592&gt;기본입력!$C$34),"",VLOOKUP(O592,기본입력!$A$9:$F$33,6,FALSE))</x:f>
        <x:v/>
      </x:c>
      <x:c r="J592" s="38" t="str">
        <x:f t="shared" si="54"/>
        <x:v/>
      </x:c>
      <x:c r="K592" s="38" t="str">
        <x:f t="shared" si="55"/>
        <x:v/>
      </x:c>
      <x:c r="L592" s="38" t="str">
        <x:f t="shared" si="56"/>
        <x:v/>
      </x:c>
      <x:c r="M592" s="63"/>
      <x:c r="N592" s="30" t="str">
        <x:f>IF(F592="2","",COUNTIF($F$3:$F592,"=1"))</x:f>
        <x:v/>
      </x:c>
      <x:c r="O592" s="30" t="str">
        <x:f t="shared" si="57"/>
        <x:v/>
      </x:c>
      <x:c r="P592" s="30">
        <x:f t="shared" si="59"/>
        <x:v>7</x:v>
      </x:c>
      <x:c r="Q592" s="30">
        <x:f>COUNTIF($P$3:P592,"=3")</x:f>
        <x:v>66</x:v>
      </x:c>
      <x:c r="R592" s="29">
        <x:f>WORKDAY(기본입력!$H$2,Q592-1,공휴일)</x:f>
        <x:v>46021</x:v>
      </x:c>
    </x:row>
    <x:row r="593" spans="1:18">
      <x:c r="A593" s="145" t="str">
        <x:f t="shared" si="58"/>
        <x:v>20251230</x:v>
      </x:c>
      <x:c r="B593" s="8" t="s">
        <x:v>5</x:v>
      </x:c>
      <x:c r="C593" s="8">
        <x:v>1740</x:v>
      </x:c>
      <x:c r="D593" s="7" t="s">
        <x:v>1</x:v>
      </x:c>
      <x:c r="E593" s="8">
        <x:v>1340</x:v>
      </x:c>
      <x:c r="F593" s="8" t="s">
        <x:v>40</x:v>
      </x:c>
      <x:c r="G593" s="15" t="str">
        <x:f>IF(OR(N593="",N593&gt;기본입력!$C$34),"",VLOOKUP(O593,기본입력!$A$9:$F$33,5))</x:f>
        <x:v>양현수_53778</x:v>
      </x:c>
      <x:c r="H593" s="15" t="str">
        <x:f>IF(OR(N593="",N593&gt;기본입력!$C$34),"",기본입력!$C$6)</x:f>
        <x:v>1교육실(실습겸용강의실)_243089</x:v>
      </x:c>
      <x:c r="I593" s="15" t="str">
        <x:f>IF(OR(O593="",N593&gt;기본입력!$C$34),"",VLOOKUP(O593,기본입력!$A$9:$F$33,6,FALSE))</x:f>
        <x:v>빅데이터 분석 및 시각화__6</x:v>
      </x:c>
      <x:c r="J593" s="38" t="str">
        <x:f t="shared" si="54"/>
        <x:v>빅데이터 분석 및 시각화</x:v>
      </x:c>
      <x:c r="K593" s="38" t="str">
        <x:f t="shared" si="55"/>
        <x:v>1교육실(실습겸용강의실)</x:v>
      </x:c>
      <x:c r="L593" s="38" t="str">
        <x:f t="shared" si="56"/>
        <x:v>양현수</x:v>
      </x:c>
      <x:c r="M593" s="63"/>
      <x:c r="N593" s="30">
        <x:f>IF(F593="2","",COUNTIF($F$3:$F593,"=1"))</x:f>
        <x:v>525</x:v>
      </x:c>
      <x:c r="O593" s="30">
        <x:f t="shared" si="57"/>
        <x:v>7</x:v>
      </x:c>
      <x:c r="P593" s="30">
        <x:f t="shared" si="59"/>
        <x:v>8</x:v>
      </x:c>
      <x:c r="Q593" s="30">
        <x:f>COUNTIF($P$3:P593,"=3")</x:f>
        <x:v>66</x:v>
      </x:c>
      <x:c r="R593" s="29">
        <x:f>WORKDAY(기본입력!$H$2,Q593-1,공휴일)</x:f>
        <x:v>46021</x:v>
      </x:c>
    </x:row>
    <x:row r="594" spans="1:18">
      <x:c r="A594" s="145" t="str">
        <x:f t="shared" si="58"/>
        <x:v>20251230</x:v>
      </x:c>
      <x:c r="B594" s="8" t="s">
        <x:v>5</x:v>
      </x:c>
      <x:c r="C594" s="8">
        <x:v>1740</x:v>
      </x:c>
      <x:c r="D594" s="7" t="s">
        <x:v>1</x:v>
      </x:c>
      <x:c r="E594" s="8">
        <x:v>1440</x:v>
      </x:c>
      <x:c r="F594" s="8" t="s">
        <x:v>40</x:v>
      </x:c>
      <x:c r="G594" s="15" t="str">
        <x:f>IF(OR(N594="",N594&gt;기본입력!$C$34),"",VLOOKUP(O594,기본입력!$A$9:$F$33,5))</x:f>
        <x:v>양현수_53778</x:v>
      </x:c>
      <x:c r="H594" s="15" t="str">
        <x:f>IF(OR(N594="",N594&gt;기본입력!$C$34),"",기본입력!$C$6)</x:f>
        <x:v>1교육실(실습겸용강의실)_243089</x:v>
      </x:c>
      <x:c r="I594" s="15" t="str">
        <x:f>IF(OR(O594="",N594&gt;기본입력!$C$34),"",VLOOKUP(O594,기본입력!$A$9:$F$33,6,FALSE))</x:f>
        <x:v>빅데이터 분석 및 시각화__6</x:v>
      </x:c>
      <x:c r="J594" s="38" t="str">
        <x:f t="shared" si="54"/>
        <x:v>빅데이터 분석 및 시각화</x:v>
      </x:c>
      <x:c r="K594" s="38" t="str">
        <x:f t="shared" si="55"/>
        <x:v>1교육실(실습겸용강의실)</x:v>
      </x:c>
      <x:c r="L594" s="38" t="str">
        <x:f t="shared" si="56"/>
        <x:v>양현수</x:v>
      </x:c>
      <x:c r="M594" s="63"/>
      <x:c r="N594" s="30">
        <x:f>IF(F594="2","",COUNTIF($F$3:$F594,"=1"))</x:f>
        <x:v>526</x:v>
      </x:c>
      <x:c r="O594" s="30">
        <x:f t="shared" si="57"/>
        <x:v>7</x:v>
      </x:c>
      <x:c r="P594" s="30">
        <x:f t="shared" si="59"/>
        <x:v>0</x:v>
      </x:c>
      <x:c r="Q594" s="30">
        <x:f>COUNTIF($P$3:P594,"=3")</x:f>
        <x:v>66</x:v>
      </x:c>
      <x:c r="R594" s="29">
        <x:f>WORKDAY(기본입력!$H$2,Q594-1,공휴일)</x:f>
        <x:v>46021</x:v>
      </x:c>
    </x:row>
    <x:row r="595" spans="1:18">
      <x:c r="A595" s="145" t="str">
        <x:f t="shared" si="58"/>
        <x:v>20251230</x:v>
      </x:c>
      <x:c r="B595" s="8" t="s">
        <x:v>5</x:v>
      </x:c>
      <x:c r="C595" s="8">
        <x:v>1740</x:v>
      </x:c>
      <x:c r="D595" s="7" t="s">
        <x:v>1</x:v>
      </x:c>
      <x:c r="E595" s="8">
        <x:v>1540</x:v>
      </x:c>
      <x:c r="F595" s="8" t="s">
        <x:v>40</x:v>
      </x:c>
      <x:c r="G595" s="15" t="str">
        <x:f>IF(OR(N595="",N595&gt;기본입력!$C$34),"",VLOOKUP(O595,기본입력!$A$9:$F$33,5))</x:f>
        <x:v>양현수_53778</x:v>
      </x:c>
      <x:c r="H595" s="15" t="str">
        <x:f>IF(OR(N595="",N595&gt;기본입력!$C$34),"",기본입력!$C$6)</x:f>
        <x:v>1교육실(실습겸용강의실)_243089</x:v>
      </x:c>
      <x:c r="I595" s="15" t="str">
        <x:f>IF(OR(O595="",N595&gt;기본입력!$C$34),"",VLOOKUP(O595,기본입력!$A$9:$F$33,6,FALSE))</x:f>
        <x:v>빅데이터 분석 및 시각화__6</x:v>
      </x:c>
      <x:c r="J595" s="38" t="str">
        <x:f t="shared" si="54"/>
        <x:v>빅데이터 분석 및 시각화</x:v>
      </x:c>
      <x:c r="K595" s="38" t="str">
        <x:f t="shared" si="55"/>
        <x:v>1교육실(실습겸용강의실)</x:v>
      </x:c>
      <x:c r="L595" s="38" t="str">
        <x:f t="shared" si="56"/>
        <x:v>양현수</x:v>
      </x:c>
      <x:c r="M595" s="63"/>
      <x:c r="N595" s="30">
        <x:f>IF(F595="2","",COUNTIF($F$3:$F595,"=1"))</x:f>
        <x:v>527</x:v>
      </x:c>
      <x:c r="O595" s="30">
        <x:f t="shared" si="57"/>
        <x:v>7</x:v>
      </x:c>
      <x:c r="P595" s="30">
        <x:f t="shared" si="59"/>
        <x:v>1</x:v>
      </x:c>
      <x:c r="Q595" s="30">
        <x:f>COUNTIF($P$3:P595,"=3")</x:f>
        <x:v>66</x:v>
      </x:c>
      <x:c r="R595" s="29">
        <x:f>WORKDAY(기본입력!$H$2,Q595-1,공휴일)</x:f>
        <x:v>46021</x:v>
      </x:c>
    </x:row>
    <x:row r="596" spans="1:18">
      <x:c r="A596" s="145" t="str">
        <x:f t="shared" si="58"/>
        <x:v>20251230</x:v>
      </x:c>
      <x:c r="B596" s="8" t="s">
        <x:v>5</x:v>
      </x:c>
      <x:c r="C596" s="8">
        <x:v>1740</x:v>
      </x:c>
      <x:c r="D596" s="7" t="s">
        <x:v>1</x:v>
      </x:c>
      <x:c r="E596" s="8">
        <x:v>1640</x:v>
      </x:c>
      <x:c r="F596" s="8" t="s">
        <x:v>40</x:v>
      </x:c>
      <x:c r="G596" s="15" t="str">
        <x:f>IF(OR(N596="",N596&gt;기본입력!$C$34),"",VLOOKUP(O596,기본입력!$A$9:$F$33,5))</x:f>
        <x:v>양현수_53778</x:v>
      </x:c>
      <x:c r="H596" s="15" t="str">
        <x:f>IF(OR(N596="",N596&gt;기본입력!$C$34),"",기본입력!$C$6)</x:f>
        <x:v>1교육실(실습겸용강의실)_243089</x:v>
      </x:c>
      <x:c r="I596" s="15" t="str">
        <x:f>IF(OR(O596="",N596&gt;기본입력!$C$34),"",VLOOKUP(O596,기본입력!$A$9:$F$33,6,FALSE))</x:f>
        <x:v>빅데이터 분석 및 시각화__6</x:v>
      </x:c>
      <x:c r="J596" s="38" t="str">
        <x:f t="shared" si="54"/>
        <x:v>빅데이터 분석 및 시각화</x:v>
      </x:c>
      <x:c r="K596" s="38" t="str">
        <x:f t="shared" si="55"/>
        <x:v>1교육실(실습겸용강의실)</x:v>
      </x:c>
      <x:c r="L596" s="38" t="str">
        <x:f t="shared" si="56"/>
        <x:v>양현수</x:v>
      </x:c>
      <x:c r="M596" s="63"/>
      <x:c r="N596" s="30">
        <x:f>IF(F596="2","",COUNTIF($F$3:$F596,"=1"))</x:f>
        <x:v>528</x:v>
      </x:c>
      <x:c r="O596" s="30">
        <x:f t="shared" si="57"/>
        <x:v>7</x:v>
      </x:c>
      <x:c r="P596" s="30">
        <x:f t="shared" si="59"/>
        <x:v>2</x:v>
      </x:c>
      <x:c r="Q596" s="30">
        <x:f>COUNTIF($P$3:P596,"=3")</x:f>
        <x:v>66</x:v>
      </x:c>
      <x:c r="R596" s="29">
        <x:f>WORKDAY(기본입력!$H$2,Q596-1,공휴일)</x:f>
        <x:v>46021</x:v>
      </x:c>
    </x:row>
    <x:row r="597" spans="1:18">
      <x:c r="A597" s="144" t="str">
        <x:f t="shared" si="58"/>
        <x:v>20251231</x:v>
      </x:c>
      <x:c r="B597" s="6" t="s">
        <x:v>5</x:v>
      </x:c>
      <x:c r="C597" s="6">
        <x:v>1740</x:v>
      </x:c>
      <x:c r="D597" s="5" t="s">
        <x:v>1</x:v>
      </x:c>
      <x:c r="E597" s="6" t="s">
        <x:v>5</x:v>
      </x:c>
      <x:c r="F597" s="6" t="s">
        <x:v>40</x:v>
      </x:c>
      <x:c r="G597" s="14" t="str">
        <x:f>IF(OR(N597="",N597&gt;기본입력!$C$34),"",VLOOKUP(O597,기본입력!$A$9:$F$33,5))</x:f>
        <x:v>양현수_53778</x:v>
      </x:c>
      <x:c r="H597" s="14" t="str">
        <x:f>IF(OR(N597="",N597&gt;기본입력!$C$34),"",기본입력!$C$6)</x:f>
        <x:v>1교육실(실습겸용강의실)_243089</x:v>
      </x:c>
      <x:c r="I597" s="14" t="str">
        <x:f>IF(OR(O597="",N597&gt;기본입력!$C$34),"",VLOOKUP(O597,기본입력!$A$9:$F$33,6,FALSE))</x:f>
        <x:v>빅데이터 분석 및 시각화__6</x:v>
      </x:c>
      <x:c r="J597" s="38" t="str">
        <x:f t="shared" si="54"/>
        <x:v>빅데이터 분석 및 시각화</x:v>
      </x:c>
      <x:c r="K597" s="38" t="str">
        <x:f t="shared" si="55"/>
        <x:v>1교육실(실습겸용강의실)</x:v>
      </x:c>
      <x:c r="L597" s="38" t="str">
        <x:f t="shared" si="56"/>
        <x:v>양현수</x:v>
      </x:c>
      <x:c r="M597" s="63"/>
      <x:c r="N597" s="30">
        <x:f>IF(F597="2","",COUNTIF($F$3:$F597,"=1"))</x:f>
        <x:v>529</x:v>
      </x:c>
      <x:c r="O597" s="30">
        <x:f t="shared" si="57"/>
        <x:v>7</x:v>
      </x:c>
      <x:c r="P597" s="30">
        <x:f t="shared" si="59"/>
        <x:v>3</x:v>
      </x:c>
      <x:c r="Q597" s="30">
        <x:f>COUNTIF($P$3:P597,"=3")</x:f>
        <x:v>67</x:v>
      </x:c>
      <x:c r="R597" s="29">
        <x:f>WORKDAY(기본입력!$H$2,Q597-1,공휴일)</x:f>
        <x:v>46022</x:v>
      </x:c>
    </x:row>
    <x:row r="598" spans="1:18">
      <x:c r="A598" s="144" t="str">
        <x:f t="shared" si="58"/>
        <x:v>20251231</x:v>
      </x:c>
      <x:c r="B598" s="6" t="s">
        <x:v>5</x:v>
      </x:c>
      <x:c r="C598" s="6">
        <x:v>1740</x:v>
      </x:c>
      <x:c r="D598" s="5" t="s">
        <x:v>1</x:v>
      </x:c>
      <x:c r="E598" s="6" t="s">
        <x:v>117</x:v>
      </x:c>
      <x:c r="F598" s="6" t="s">
        <x:v>40</x:v>
      </x:c>
      <x:c r="G598" s="14" t="str">
        <x:f>IF(OR(N598="",N598&gt;기본입력!$C$34),"",VLOOKUP(O598,기본입력!$A$9:$F$33,5))</x:f>
        <x:v>양현수_53778</x:v>
      </x:c>
      <x:c r="H598" s="14" t="str">
        <x:f>IF(OR(N598="",N598&gt;기본입력!$C$34),"",기본입력!$C$6)</x:f>
        <x:v>1교육실(실습겸용강의실)_243089</x:v>
      </x:c>
      <x:c r="I598" s="14" t="str">
        <x:f>IF(OR(O598="",N598&gt;기본입력!$C$34),"",VLOOKUP(O598,기본입력!$A$9:$F$33,6,FALSE))</x:f>
        <x:v>빅데이터 분석 및 시각화__6</x:v>
      </x:c>
      <x:c r="J598" s="38" t="str">
        <x:f t="shared" si="54"/>
        <x:v>빅데이터 분석 및 시각화</x:v>
      </x:c>
      <x:c r="K598" s="38" t="str">
        <x:f t="shared" si="55"/>
        <x:v>1교육실(실습겸용강의실)</x:v>
      </x:c>
      <x:c r="L598" s="38" t="str">
        <x:f t="shared" si="56"/>
        <x:v>양현수</x:v>
      </x:c>
      <x:c r="M598" s="63"/>
      <x:c r="N598" s="30">
        <x:f>IF(F598="2","",COUNTIF($F$3:$F598,"=1"))</x:f>
        <x:v>530</x:v>
      </x:c>
      <x:c r="O598" s="30">
        <x:f t="shared" si="57"/>
        <x:v>7</x:v>
      </x:c>
      <x:c r="P598" s="30">
        <x:f t="shared" si="59"/>
        <x:v>4</x:v>
      </x:c>
      <x:c r="Q598" s="30">
        <x:f>COUNTIF($P$3:P598,"=3")</x:f>
        <x:v>67</x:v>
      </x:c>
      <x:c r="R598" s="29">
        <x:f>WORKDAY(기본입력!$H$2,Q598-1,공휴일)</x:f>
        <x:v>46022</x:v>
      </x:c>
    </x:row>
    <x:row r="599" spans="1:18">
      <x:c r="A599" s="144" t="str">
        <x:f t="shared" si="58"/>
        <x:v>20251231</x:v>
      </x:c>
      <x:c r="B599" s="6" t="s">
        <x:v>5</x:v>
      </x:c>
      <x:c r="C599" s="6">
        <x:v>1740</x:v>
      </x:c>
      <x:c r="D599" s="5" t="s">
        <x:v>1</x:v>
      </x:c>
      <x:c r="E599" s="6" t="s">
        <x:v>87</x:v>
      </x:c>
      <x:c r="F599" s="6" t="s">
        <x:v>40</x:v>
      </x:c>
      <x:c r="G599" s="14" t="str">
        <x:f>IF(OR(N599="",N599&gt;기본입력!$C$34),"",VLOOKUP(O599,기본입력!$A$9:$F$33,5))</x:f>
        <x:v>양현수_53778</x:v>
      </x:c>
      <x:c r="H599" s="14" t="str">
        <x:f>IF(OR(N599="",N599&gt;기본입력!$C$34),"",기본입력!$C$6)</x:f>
        <x:v>1교육실(실습겸용강의실)_243089</x:v>
      </x:c>
      <x:c r="I599" s="14" t="str">
        <x:f>IF(OR(O599="",N599&gt;기본입력!$C$34),"",VLOOKUP(O599,기본입력!$A$9:$F$33,6,FALSE))</x:f>
        <x:v>빅데이터 분석 및 시각화__6</x:v>
      </x:c>
      <x:c r="J599" s="38" t="str">
        <x:f t="shared" si="54"/>
        <x:v>빅데이터 분석 및 시각화</x:v>
      </x:c>
      <x:c r="K599" s="38" t="str">
        <x:f t="shared" si="55"/>
        <x:v>1교육실(실습겸용강의실)</x:v>
      </x:c>
      <x:c r="L599" s="38" t="str">
        <x:f t="shared" si="56"/>
        <x:v>양현수</x:v>
      </x:c>
      <x:c r="M599" s="63"/>
      <x:c r="N599" s="30">
        <x:f>IF(F599="2","",COUNTIF($F$3:$F599,"=1"))</x:f>
        <x:v>531</x:v>
      </x:c>
      <x:c r="O599" s="30">
        <x:f t="shared" si="57"/>
        <x:v>7</x:v>
      </x:c>
      <x:c r="P599" s="30">
        <x:f t="shared" si="59"/>
        <x:v>5</x:v>
      </x:c>
      <x:c r="Q599" s="30">
        <x:f>COUNTIF($P$3:P599,"=3")</x:f>
        <x:v>67</x:v>
      </x:c>
      <x:c r="R599" s="29">
        <x:f>WORKDAY(기본입력!$H$2,Q599-1,공휴일)</x:f>
        <x:v>46022</x:v>
      </x:c>
    </x:row>
    <x:row r="600" spans="1:18">
      <x:c r="A600" s="144" t="str">
        <x:f t="shared" si="58"/>
        <x:v>20251231</x:v>
      </x:c>
      <x:c r="B600" s="6" t="s">
        <x:v>5</x:v>
      </x:c>
      <x:c r="C600" s="6">
        <x:v>1740</x:v>
      </x:c>
      <x:c r="D600" s="5" t="s">
        <x:v>1</x:v>
      </x:c>
      <x:c r="E600" s="6" t="s">
        <x:v>88</x:v>
      </x:c>
      <x:c r="F600" s="6" t="s">
        <x:v>40</x:v>
      </x:c>
      <x:c r="G600" s="14" t="str">
        <x:f>IF(OR(N600="",N600&gt;기본입력!$C$34),"",VLOOKUP(O600,기본입력!$A$9:$F$33,5))</x:f>
        <x:v>양현수_53778</x:v>
      </x:c>
      <x:c r="H600" s="14" t="str">
        <x:f>IF(OR(N600="",N600&gt;기본입력!$C$34),"",기본입력!$C$6)</x:f>
        <x:v>1교육실(실습겸용강의실)_243089</x:v>
      </x:c>
      <x:c r="I600" s="14" t="str">
        <x:f>IF(OR(O600="",N600&gt;기본입력!$C$34),"",VLOOKUP(O600,기본입력!$A$9:$F$33,6,FALSE))</x:f>
        <x:v>빅데이터 분석 및 시각화__6</x:v>
      </x:c>
      <x:c r="J600" s="38" t="str">
        <x:f t="shared" si="54"/>
        <x:v>빅데이터 분석 및 시각화</x:v>
      </x:c>
      <x:c r="K600" s="38" t="str">
        <x:f t="shared" si="55"/>
        <x:v>1교육실(실습겸용강의실)</x:v>
      </x:c>
      <x:c r="L600" s="38" t="str">
        <x:f t="shared" si="56"/>
        <x:v>양현수</x:v>
      </x:c>
      <x:c r="M600" s="63"/>
      <x:c r="N600" s="30">
        <x:f>IF(F600="2","",COUNTIF($F$3:$F600,"=1"))</x:f>
        <x:v>532</x:v>
      </x:c>
      <x:c r="O600" s="30">
        <x:f t="shared" si="57"/>
        <x:v>7</x:v>
      </x:c>
      <x:c r="P600" s="30">
        <x:f t="shared" si="59"/>
        <x:v>6</x:v>
      </x:c>
      <x:c r="Q600" s="30">
        <x:f>COUNTIF($P$3:P600,"=3")</x:f>
        <x:v>67</x:v>
      </x:c>
      <x:c r="R600" s="29">
        <x:f>WORKDAY(기본입력!$H$2,Q600-1,공휴일)</x:f>
        <x:v>46022</x:v>
      </x:c>
    </x:row>
    <x:row r="601" spans="1:18">
      <x:c r="A601" s="144" t="str">
        <x:f t="shared" si="58"/>
        <x:v>20251231</x:v>
      </x:c>
      <x:c r="B601" s="6" t="s">
        <x:v>5</x:v>
      </x:c>
      <x:c r="C601" s="6">
        <x:v>1740</x:v>
      </x:c>
      <x:c r="D601" s="5" t="s">
        <x:v>1</x:v>
      </x:c>
      <x:c r="E601" s="6" t="s">
        <x:v>0</x:v>
      </x:c>
      <x:c r="F601" s="6" t="s">
        <x:v>41</x:v>
      </x:c>
      <x:c r="G601" s="14" t="str">
        <x:f>IF(OR(N601="",N601&gt;기본입력!$C$34),"",VLOOKUP(O601,기본입력!$A$9:$F$33,5))</x:f>
        <x:v/>
      </x:c>
      <x:c r="H601" s="14" t="str">
        <x:f>IF(OR(N601="",N601&gt;기본입력!$C$34),"",기본입력!$C$6)</x:f>
        <x:v/>
      </x:c>
      <x:c r="I601" s="14" t="str">
        <x:f>IF(OR(O601="",N601&gt;기본입력!$C$34),"",VLOOKUP(O601,기본입력!$A$9:$F$33,6,FALSE))</x:f>
        <x:v/>
      </x:c>
      <x:c r="J601" s="38" t="str">
        <x:f t="shared" si="54"/>
        <x:v/>
      </x:c>
      <x:c r="K601" s="38" t="str">
        <x:f t="shared" si="55"/>
        <x:v/>
      </x:c>
      <x:c r="L601" s="38" t="str">
        <x:f t="shared" si="56"/>
        <x:v/>
      </x:c>
      <x:c r="M601" s="63"/>
      <x:c r="N601" s="30" t="str">
        <x:f>IF(F601="2","",COUNTIF($F$3:$F601,"=1"))</x:f>
        <x:v/>
      </x:c>
      <x:c r="O601" s="30" t="str">
        <x:f t="shared" si="57"/>
        <x:v/>
      </x:c>
      <x:c r="P601" s="30">
        <x:f t="shared" si="59"/>
        <x:v>7</x:v>
      </x:c>
      <x:c r="Q601" s="30">
        <x:f>COUNTIF($P$3:P601,"=3")</x:f>
        <x:v>67</x:v>
      </x:c>
      <x:c r="R601" s="29">
        <x:f>WORKDAY(기본입력!$H$2,Q601-1,공휴일)</x:f>
        <x:v>46022</x:v>
      </x:c>
    </x:row>
    <x:row r="602" spans="1:18">
      <x:c r="A602" s="144" t="str">
        <x:f t="shared" si="58"/>
        <x:v>20251231</x:v>
      </x:c>
      <x:c r="B602" s="6" t="s">
        <x:v>5</x:v>
      </x:c>
      <x:c r="C602" s="6">
        <x:v>1740</x:v>
      </x:c>
      <x:c r="D602" s="5" t="s">
        <x:v>1</x:v>
      </x:c>
      <x:c r="E602" s="6">
        <x:v>1340</x:v>
      </x:c>
      <x:c r="F602" s="6" t="s">
        <x:v>40</x:v>
      </x:c>
      <x:c r="G602" s="14" t="str">
        <x:f>IF(OR(N602="",N602&gt;기본입력!$C$34),"",VLOOKUP(O602,기본입력!$A$9:$F$33,5))</x:f>
        <x:v>양현수_53778</x:v>
      </x:c>
      <x:c r="H602" s="14" t="str">
        <x:f>IF(OR(N602="",N602&gt;기본입력!$C$34),"",기본입력!$C$6)</x:f>
        <x:v>1교육실(실습겸용강의실)_243089</x:v>
      </x:c>
      <x:c r="I602" s="14" t="str">
        <x:f>IF(OR(O602="",N602&gt;기본입력!$C$34),"",VLOOKUP(O602,기본입력!$A$9:$F$33,6,FALSE))</x:f>
        <x:v>빅데이터 분석 및 시각화__6</x:v>
      </x:c>
      <x:c r="J602" s="38" t="str">
        <x:f t="shared" si="54"/>
        <x:v>빅데이터 분석 및 시각화</x:v>
      </x:c>
      <x:c r="K602" s="38" t="str">
        <x:f t="shared" si="55"/>
        <x:v>1교육실(실습겸용강의실)</x:v>
      </x:c>
      <x:c r="L602" s="38" t="str">
        <x:f t="shared" si="56"/>
        <x:v>양현수</x:v>
      </x:c>
      <x:c r="M602" s="63"/>
      <x:c r="N602" s="30">
        <x:f>IF(F602="2","",COUNTIF($F$3:$F602,"=1"))</x:f>
        <x:v>533</x:v>
      </x:c>
      <x:c r="O602" s="30">
        <x:f t="shared" si="57"/>
        <x:v>7</x:v>
      </x:c>
      <x:c r="P602" s="30">
        <x:f t="shared" si="59"/>
        <x:v>8</x:v>
      </x:c>
      <x:c r="Q602" s="30">
        <x:f>COUNTIF($P$3:P602,"=3")</x:f>
        <x:v>67</x:v>
      </x:c>
      <x:c r="R602" s="29">
        <x:f>WORKDAY(기본입력!$H$2,Q602-1,공휴일)</x:f>
        <x:v>46022</x:v>
      </x:c>
    </x:row>
    <x:row r="603" spans="1:18">
      <x:c r="A603" s="144" t="str">
        <x:f t="shared" si="58"/>
        <x:v>20251231</x:v>
      </x:c>
      <x:c r="B603" s="6" t="s">
        <x:v>5</x:v>
      </x:c>
      <x:c r="C603" s="6">
        <x:v>1740</x:v>
      </x:c>
      <x:c r="D603" s="5" t="s">
        <x:v>1</x:v>
      </x:c>
      <x:c r="E603" s="6">
        <x:v>1440</x:v>
      </x:c>
      <x:c r="F603" s="6" t="s">
        <x:v>40</x:v>
      </x:c>
      <x:c r="G603" s="14" t="str">
        <x:f>IF(OR(N603="",N603&gt;기본입력!$C$34),"",VLOOKUP(O603,기본입력!$A$9:$F$33,5))</x:f>
        <x:v>양현수_53778</x:v>
      </x:c>
      <x:c r="H603" s="14" t="str">
        <x:f>IF(OR(N603="",N603&gt;기본입력!$C$34),"",기본입력!$C$6)</x:f>
        <x:v>1교육실(실습겸용강의실)_243089</x:v>
      </x:c>
      <x:c r="I603" s="14" t="str">
        <x:f>IF(OR(O603="",N603&gt;기본입력!$C$34),"",VLOOKUP(O603,기본입력!$A$9:$F$33,6,FALSE))</x:f>
        <x:v>빅데이터 분석 및 시각화__6</x:v>
      </x:c>
      <x:c r="J603" s="38" t="str">
        <x:f t="shared" si="54"/>
        <x:v>빅데이터 분석 및 시각화</x:v>
      </x:c>
      <x:c r="K603" s="38" t="str">
        <x:f t="shared" si="55"/>
        <x:v>1교육실(실습겸용강의실)</x:v>
      </x:c>
      <x:c r="L603" s="38" t="str">
        <x:f t="shared" si="56"/>
        <x:v>양현수</x:v>
      </x:c>
      <x:c r="M603" s="63"/>
      <x:c r="N603" s="30">
        <x:f>IF(F603="2","",COUNTIF($F$3:$F603,"=1"))</x:f>
        <x:v>534</x:v>
      </x:c>
      <x:c r="O603" s="30">
        <x:f t="shared" si="57"/>
        <x:v>7</x:v>
      </x:c>
      <x:c r="P603" s="30">
        <x:f t="shared" si="59"/>
        <x:v>0</x:v>
      </x:c>
      <x:c r="Q603" s="30">
        <x:f>COUNTIF($P$3:P603,"=3")</x:f>
        <x:v>67</x:v>
      </x:c>
      <x:c r="R603" s="29">
        <x:f>WORKDAY(기본입력!$H$2,Q603-1,공휴일)</x:f>
        <x:v>46022</x:v>
      </x:c>
    </x:row>
    <x:row r="604" spans="1:23">
      <x:c r="A604" s="144" t="str">
        <x:f t="shared" si="58"/>
        <x:v>20251231</x:v>
      </x:c>
      <x:c r="B604" s="6" t="s">
        <x:v>5</x:v>
      </x:c>
      <x:c r="C604" s="6">
        <x:v>1740</x:v>
      </x:c>
      <x:c r="D604" s="5" t="s">
        <x:v>1</x:v>
      </x:c>
      <x:c r="E604" s="6">
        <x:v>1540</x:v>
      </x:c>
      <x:c r="F604" s="6" t="s">
        <x:v>40</x:v>
      </x:c>
      <x:c r="G604" s="14" t="str">
        <x:f>IF(OR(N604="",N604&gt;기본입력!$C$34),"",VLOOKUP(O604,기본입력!$A$9:$F$33,5))</x:f>
        <x:v>양현수_53778</x:v>
      </x:c>
      <x:c r="H604" s="14" t="str">
        <x:f>IF(OR(N604="",N604&gt;기본입력!$C$34),"",기본입력!$C$6)</x:f>
        <x:v>1교육실(실습겸용강의실)_243089</x:v>
      </x:c>
      <x:c r="I604" s="14" t="str">
        <x:f>IF(OR(O604="",N604&gt;기본입력!$C$34),"",VLOOKUP(O604,기본입력!$A$9:$F$33,6,FALSE))</x:f>
        <x:v>빅데이터 분석 및 시각화__6</x:v>
      </x:c>
      <x:c r="J604" s="38" t="str">
        <x:f t="shared" si="54"/>
        <x:v>빅데이터 분석 및 시각화</x:v>
      </x:c>
      <x:c r="K604" s="38" t="str">
        <x:f t="shared" si="55"/>
        <x:v>1교육실(실습겸용강의실)</x:v>
      </x:c>
      <x:c r="L604" s="38" t="str">
        <x:f t="shared" si="56"/>
        <x:v>양현수</x:v>
      </x:c>
      <x:c r="M604" s="63"/>
      <x:c r="N604" s="30">
        <x:f>IF(F604="2","",COUNTIF($F$3:$F604,"=1"))</x:f>
        <x:v>535</x:v>
      </x:c>
      <x:c r="O604" s="30">
        <x:f t="shared" si="57"/>
        <x:v>7</x:v>
      </x:c>
      <x:c r="P604" s="30">
        <x:f t="shared" si="59"/>
        <x:v>1</x:v>
      </x:c>
      <x:c r="Q604" s="30">
        <x:f>COUNTIF($P$3:P604,"=3")</x:f>
        <x:v>67</x:v>
      </x:c>
      <x:c r="R604" s="29">
        <x:f>WORKDAY(기본입력!$H$2,Q604-1,공휴일)</x:f>
        <x:v>46022</x:v>
      </x:c>
      <x:c r="W604" s="32"/>
    </x:row>
    <x:row r="605" spans="1:18">
      <x:c r="A605" s="144" t="str">
        <x:f t="shared" si="58"/>
        <x:v>20251231</x:v>
      </x:c>
      <x:c r="B605" s="6" t="s">
        <x:v>5</x:v>
      </x:c>
      <x:c r="C605" s="6">
        <x:v>1740</x:v>
      </x:c>
      <x:c r="D605" s="5" t="s">
        <x:v>1</x:v>
      </x:c>
      <x:c r="E605" s="6">
        <x:v>1640</x:v>
      </x:c>
      <x:c r="F605" s="6" t="s">
        <x:v>40</x:v>
      </x:c>
      <x:c r="G605" s="14" t="str">
        <x:f>IF(OR(N605="",N605&gt;기본입력!$C$34),"",VLOOKUP(O605,기본입력!$A$9:$F$33,5))</x:f>
        <x:v>양현수_53778</x:v>
      </x:c>
      <x:c r="H605" s="14" t="str">
        <x:f>IF(OR(N605="",N605&gt;기본입력!$C$34),"",기본입력!$C$6)</x:f>
        <x:v>1교육실(실습겸용강의실)_243089</x:v>
      </x:c>
      <x:c r="I605" s="14" t="str">
        <x:f>IF(OR(O605="",N605&gt;기본입력!$C$34),"",VLOOKUP(O605,기본입력!$A$9:$F$33,6,FALSE))</x:f>
        <x:v>빅데이터 분석 및 시각화__6</x:v>
      </x:c>
      <x:c r="J605" s="38" t="str">
        <x:f t="shared" si="54"/>
        <x:v>빅데이터 분석 및 시각화</x:v>
      </x:c>
      <x:c r="K605" s="38" t="str">
        <x:f t="shared" si="55"/>
        <x:v>1교육실(실습겸용강의실)</x:v>
      </x:c>
      <x:c r="L605" s="38" t="str">
        <x:f t="shared" si="56"/>
        <x:v>양현수</x:v>
      </x:c>
      <x:c r="M605" s="63"/>
      <x:c r="N605" s="30">
        <x:f>IF(F605="2","",COUNTIF($F$3:$F605,"=1"))</x:f>
        <x:v>536</x:v>
      </x:c>
      <x:c r="O605" s="30">
        <x:f t="shared" si="57"/>
        <x:v>7</x:v>
      </x:c>
      <x:c r="P605" s="30">
        <x:f t="shared" si="59"/>
        <x:v>2</x:v>
      </x:c>
      <x:c r="Q605" s="30">
        <x:f>COUNTIF($P$3:P605,"=3")</x:f>
        <x:v>67</x:v>
      </x:c>
      <x:c r="R605" s="29">
        <x:f>WORKDAY(기본입력!$H$2,Q605-1,공휴일)</x:f>
        <x:v>46022</x:v>
      </x:c>
    </x:row>
    <x:row r="606" spans="1:18">
      <x:c r="A606" s="145" t="str">
        <x:f t="shared" si="58"/>
        <x:v>20260102</x:v>
      </x:c>
      <x:c r="B606" s="8" t="s">
        <x:v>5</x:v>
      </x:c>
      <x:c r="C606" s="8">
        <x:v>1740</x:v>
      </x:c>
      <x:c r="D606" s="7" t="s">
        <x:v>1</x:v>
      </x:c>
      <x:c r="E606" s="8" t="s">
        <x:v>5</x:v>
      </x:c>
      <x:c r="F606" s="8" t="s">
        <x:v>40</x:v>
      </x:c>
      <x:c r="G606" s="15" t="str">
        <x:f>IF(OR(N606="",N606&gt;기본입력!$C$34),"",VLOOKUP(O606,기본입력!$A$9:$F$33,5))</x:f>
        <x:v>양현수_53778</x:v>
      </x:c>
      <x:c r="H606" s="15" t="str">
        <x:f>IF(OR(N606="",N606&gt;기본입력!$C$34),"",기본입력!$C$6)</x:f>
        <x:v>1교육실(실습겸용강의실)_243089</x:v>
      </x:c>
      <x:c r="I606" s="15" t="str">
        <x:f>IF(OR(O606="",N606&gt;기본입력!$C$34),"",VLOOKUP(O606,기본입력!$A$9:$F$33,6,FALSE))</x:f>
        <x:v>빅데이터 분석 및 시각화__6</x:v>
      </x:c>
      <x:c r="J606" s="38" t="str">
        <x:f t="shared" si="54"/>
        <x:v>빅데이터 분석 및 시각화</x:v>
      </x:c>
      <x:c r="K606" s="38" t="str">
        <x:f t="shared" si="55"/>
        <x:v>1교육실(실습겸용강의실)</x:v>
      </x:c>
      <x:c r="L606" s="38" t="str">
        <x:f t="shared" si="56"/>
        <x:v>양현수</x:v>
      </x:c>
      <x:c r="M606" s="63"/>
      <x:c r="N606" s="30">
        <x:f>IF(F606="2","",COUNTIF($F$3:$F606,"=1"))</x:f>
        <x:v>537</x:v>
      </x:c>
      <x:c r="O606" s="30">
        <x:f t="shared" si="57"/>
        <x:v>7</x:v>
      </x:c>
      <x:c r="P606" s="30">
        <x:f t="shared" si="59"/>
        <x:v>3</x:v>
      </x:c>
      <x:c r="Q606" s="30">
        <x:f>COUNTIF($P$3:P606,"=3")</x:f>
        <x:v>68</x:v>
      </x:c>
      <x:c r="R606" s="29">
        <x:f>WORKDAY(기본입력!$H$2,Q606-1,공휴일)</x:f>
        <x:v>46024</x:v>
      </x:c>
    </x:row>
    <x:row r="607" spans="1:18">
      <x:c r="A607" s="145" t="str">
        <x:f t="shared" si="58"/>
        <x:v>20260102</x:v>
      </x:c>
      <x:c r="B607" s="8" t="s">
        <x:v>5</x:v>
      </x:c>
      <x:c r="C607" s="8">
        <x:v>1740</x:v>
      </x:c>
      <x:c r="D607" s="7" t="s">
        <x:v>1</x:v>
      </x:c>
      <x:c r="E607" s="8" t="s">
        <x:v>117</x:v>
      </x:c>
      <x:c r="F607" s="8" t="s">
        <x:v>40</x:v>
      </x:c>
      <x:c r="G607" s="15" t="str">
        <x:f>IF(OR(N607="",N607&gt;기본입력!$C$34),"",VLOOKUP(O607,기본입력!$A$9:$F$33,5))</x:f>
        <x:v>양현수_53778</x:v>
      </x:c>
      <x:c r="H607" s="15" t="str">
        <x:f>IF(OR(N607="",N607&gt;기본입력!$C$34),"",기본입력!$C$6)</x:f>
        <x:v>1교육실(실습겸용강의실)_243089</x:v>
      </x:c>
      <x:c r="I607" s="15" t="str">
        <x:f>IF(OR(O607="",N607&gt;기본입력!$C$34),"",VLOOKUP(O607,기본입력!$A$9:$F$33,6,FALSE))</x:f>
        <x:v>빅데이터 분석 및 시각화__6</x:v>
      </x:c>
      <x:c r="J607" s="38" t="str">
        <x:f t="shared" si="54"/>
        <x:v>빅데이터 분석 및 시각화</x:v>
      </x:c>
      <x:c r="K607" s="38" t="str">
        <x:f t="shared" si="55"/>
        <x:v>1교육실(실습겸용강의실)</x:v>
      </x:c>
      <x:c r="L607" s="38" t="str">
        <x:f t="shared" si="56"/>
        <x:v>양현수</x:v>
      </x:c>
      <x:c r="M607" s="63"/>
      <x:c r="N607" s="30">
        <x:f>IF(F607="2","",COUNTIF($F$3:$F607,"=1"))</x:f>
        <x:v>538</x:v>
      </x:c>
      <x:c r="O607" s="30">
        <x:f t="shared" si="57"/>
        <x:v>7</x:v>
      </x:c>
      <x:c r="P607" s="30">
        <x:f t="shared" si="59"/>
        <x:v>4</x:v>
      </x:c>
      <x:c r="Q607" s="30">
        <x:f>COUNTIF($P$3:P607,"=3")</x:f>
        <x:v>68</x:v>
      </x:c>
      <x:c r="R607" s="29">
        <x:f>WORKDAY(기본입력!$H$2,Q607-1,공휴일)</x:f>
        <x:v>46024</x:v>
      </x:c>
    </x:row>
    <x:row r="608" spans="1:18">
      <x:c r="A608" s="145" t="str">
        <x:f t="shared" si="58"/>
        <x:v>20260102</x:v>
      </x:c>
      <x:c r="B608" s="8" t="s">
        <x:v>5</x:v>
      </x:c>
      <x:c r="C608" s="8">
        <x:v>1740</x:v>
      </x:c>
      <x:c r="D608" s="7" t="s">
        <x:v>1</x:v>
      </x:c>
      <x:c r="E608" s="8" t="s">
        <x:v>87</x:v>
      </x:c>
      <x:c r="F608" s="8" t="s">
        <x:v>40</x:v>
      </x:c>
      <x:c r="G608" s="15" t="str">
        <x:f>IF(OR(N608="",N608&gt;기본입력!$C$34),"",VLOOKUP(O608,기본입력!$A$9:$F$33,5))</x:f>
        <x:v>양현수_53778</x:v>
      </x:c>
      <x:c r="H608" s="15" t="str">
        <x:f>IF(OR(N608="",N608&gt;기본입력!$C$34),"",기본입력!$C$6)</x:f>
        <x:v>1교육실(실습겸용강의실)_243089</x:v>
      </x:c>
      <x:c r="I608" s="15" t="str">
        <x:f>IF(OR(O608="",N608&gt;기본입력!$C$34),"",VLOOKUP(O608,기본입력!$A$9:$F$33,6,FALSE))</x:f>
        <x:v>빅데이터 분석 및 시각화__6</x:v>
      </x:c>
      <x:c r="J608" s="38" t="str">
        <x:f t="shared" si="54"/>
        <x:v>빅데이터 분석 및 시각화</x:v>
      </x:c>
      <x:c r="K608" s="38" t="str">
        <x:f t="shared" si="55"/>
        <x:v>1교육실(실습겸용강의실)</x:v>
      </x:c>
      <x:c r="L608" s="38" t="str">
        <x:f t="shared" si="56"/>
        <x:v>양현수</x:v>
      </x:c>
      <x:c r="M608" s="63"/>
      <x:c r="N608" s="30">
        <x:f>IF(F608="2","",COUNTIF($F$3:$F608,"=1"))</x:f>
        <x:v>539</x:v>
      </x:c>
      <x:c r="O608" s="30">
        <x:f t="shared" si="57"/>
        <x:v>7</x:v>
      </x:c>
      <x:c r="P608" s="30">
        <x:f t="shared" si="59"/>
        <x:v>5</x:v>
      </x:c>
      <x:c r="Q608" s="30">
        <x:f>COUNTIF($P$3:P608,"=3")</x:f>
        <x:v>68</x:v>
      </x:c>
      <x:c r="R608" s="29">
        <x:f>WORKDAY(기본입력!$H$2,Q608-1,공휴일)</x:f>
        <x:v>46024</x:v>
      </x:c>
    </x:row>
    <x:row r="609" spans="1:18">
      <x:c r="A609" s="145" t="str">
        <x:f t="shared" si="58"/>
        <x:v>20260102</x:v>
      </x:c>
      <x:c r="B609" s="8" t="s">
        <x:v>5</x:v>
      </x:c>
      <x:c r="C609" s="8">
        <x:v>1740</x:v>
      </x:c>
      <x:c r="D609" s="7" t="s">
        <x:v>1</x:v>
      </x:c>
      <x:c r="E609" s="8" t="s">
        <x:v>88</x:v>
      </x:c>
      <x:c r="F609" s="8" t="s">
        <x:v>40</x:v>
      </x:c>
      <x:c r="G609" s="15" t="str">
        <x:f>IF(OR(N609="",N609&gt;기본입력!$C$34),"",VLOOKUP(O609,기본입력!$A$9:$F$33,5))</x:f>
        <x:v>양현수_53778</x:v>
      </x:c>
      <x:c r="H609" s="15" t="str">
        <x:f>IF(OR(N609="",N609&gt;기본입력!$C$34),"",기본입력!$C$6)</x:f>
        <x:v>1교육실(실습겸용강의실)_243089</x:v>
      </x:c>
      <x:c r="I609" s="15" t="str">
        <x:f>IF(OR(O609="",N609&gt;기본입력!$C$34),"",VLOOKUP(O609,기본입력!$A$9:$F$33,6,FALSE))</x:f>
        <x:v>빅데이터 분석 및 시각화__6</x:v>
      </x:c>
      <x:c r="J609" s="38" t="str">
        <x:f t="shared" si="54"/>
        <x:v>빅데이터 분석 및 시각화</x:v>
      </x:c>
      <x:c r="K609" s="38" t="str">
        <x:f t="shared" si="55"/>
        <x:v>1교육실(실습겸용강의실)</x:v>
      </x:c>
      <x:c r="L609" s="38" t="str">
        <x:f t="shared" si="56"/>
        <x:v>양현수</x:v>
      </x:c>
      <x:c r="M609" s="63"/>
      <x:c r="N609" s="30">
        <x:f>IF(F609="2","",COUNTIF($F$3:$F609,"=1"))</x:f>
        <x:v>540</x:v>
      </x:c>
      <x:c r="O609" s="30">
        <x:f t="shared" si="57"/>
        <x:v>7</x:v>
      </x:c>
      <x:c r="P609" s="30">
        <x:f t="shared" si="59"/>
        <x:v>6</x:v>
      </x:c>
      <x:c r="Q609" s="30">
        <x:f>COUNTIF($P$3:P609,"=3")</x:f>
        <x:v>68</x:v>
      </x:c>
      <x:c r="R609" s="29">
        <x:f>WORKDAY(기본입력!$H$2,Q609-1,공휴일)</x:f>
        <x:v>46024</x:v>
      </x:c>
    </x:row>
    <x:row r="610" spans="1:18">
      <x:c r="A610" s="145" t="str">
        <x:f t="shared" si="58"/>
        <x:v>20260102</x:v>
      </x:c>
      <x:c r="B610" s="8" t="s">
        <x:v>5</x:v>
      </x:c>
      <x:c r="C610" s="8">
        <x:v>1740</x:v>
      </x:c>
      <x:c r="D610" s="7" t="s">
        <x:v>1</x:v>
      </x:c>
      <x:c r="E610" s="8" t="s">
        <x:v>0</x:v>
      </x:c>
      <x:c r="F610" s="8" t="s">
        <x:v>41</x:v>
      </x:c>
      <x:c r="G610" s="15" t="str">
        <x:f>IF(OR(N610="",N610&gt;기본입력!$C$34),"",VLOOKUP(O610,기본입력!$A$9:$F$33,5))</x:f>
        <x:v/>
      </x:c>
      <x:c r="H610" s="15" t="str">
        <x:f>IF(OR(N610="",N610&gt;기본입력!$C$34),"",기본입력!$C$6)</x:f>
        <x:v/>
      </x:c>
      <x:c r="I610" s="15" t="str">
        <x:f>IF(OR(O610="",N610&gt;기본입력!$C$34),"",VLOOKUP(O610,기본입력!$A$9:$F$33,6,FALSE))</x:f>
        <x:v/>
      </x:c>
      <x:c r="J610" s="38" t="str">
        <x:f t="shared" si="54"/>
        <x:v/>
      </x:c>
      <x:c r="K610" s="38" t="str">
        <x:f t="shared" si="55"/>
        <x:v/>
      </x:c>
      <x:c r="L610" s="38" t="str">
        <x:f t="shared" si="56"/>
        <x:v/>
      </x:c>
      <x:c r="M610" s="63"/>
      <x:c r="N610" s="30" t="str">
        <x:f>IF(F610="2","",COUNTIF($F$3:$F610,"=1"))</x:f>
        <x:v/>
      </x:c>
      <x:c r="O610" s="30" t="str">
        <x:f t="shared" si="57"/>
        <x:v/>
      </x:c>
      <x:c r="P610" s="30">
        <x:f t="shared" si="59"/>
        <x:v>7</x:v>
      </x:c>
      <x:c r="Q610" s="30">
        <x:f>COUNTIF($P$3:P610,"=3")</x:f>
        <x:v>68</x:v>
      </x:c>
      <x:c r="R610" s="29">
        <x:f>WORKDAY(기본입력!$H$2,Q610-1,공휴일)</x:f>
        <x:v>46024</x:v>
      </x:c>
    </x:row>
    <x:row r="611" spans="1:18">
      <x:c r="A611" s="145" t="str">
        <x:f t="shared" si="58"/>
        <x:v>20260102</x:v>
      </x:c>
      <x:c r="B611" s="8" t="s">
        <x:v>5</x:v>
      </x:c>
      <x:c r="C611" s="8">
        <x:v>1740</x:v>
      </x:c>
      <x:c r="D611" s="7" t="s">
        <x:v>1</x:v>
      </x:c>
      <x:c r="E611" s="8">
        <x:v>1340</x:v>
      </x:c>
      <x:c r="F611" s="8" t="s">
        <x:v>40</x:v>
      </x:c>
      <x:c r="G611" s="15" t="str">
        <x:f>IF(OR(N611="",N611&gt;기본입력!$C$34),"",VLOOKUP(O611,기본입력!$A$9:$F$33,5))</x:f>
        <x:v>양현수_53778</x:v>
      </x:c>
      <x:c r="H611" s="15" t="str">
        <x:f>IF(OR(N611="",N611&gt;기본입력!$C$34),"",기본입력!$C$6)</x:f>
        <x:v>1교육실(실습겸용강의실)_243089</x:v>
      </x:c>
      <x:c r="I611" s="15" t="str">
        <x:f>IF(OR(O611="",N611&gt;기본입력!$C$34),"",VLOOKUP(O611,기본입력!$A$9:$F$33,6,FALSE))</x:f>
        <x:v>빅데이터 분석 및 시각화__6</x:v>
      </x:c>
      <x:c r="J611" s="38" t="str">
        <x:f t="shared" si="54"/>
        <x:v>빅데이터 분석 및 시각화</x:v>
      </x:c>
      <x:c r="K611" s="38" t="str">
        <x:f t="shared" si="55"/>
        <x:v>1교육실(실습겸용강의실)</x:v>
      </x:c>
      <x:c r="L611" s="38" t="str">
        <x:f t="shared" si="56"/>
        <x:v>양현수</x:v>
      </x:c>
      <x:c r="M611" s="63"/>
      <x:c r="N611" s="30">
        <x:f>IF(F611="2","",COUNTIF($F$3:$F611,"=1"))</x:f>
        <x:v>541</x:v>
      </x:c>
      <x:c r="O611" s="30">
        <x:f t="shared" si="57"/>
        <x:v>7</x:v>
      </x:c>
      <x:c r="P611" s="30">
        <x:f t="shared" si="59"/>
        <x:v>8</x:v>
      </x:c>
      <x:c r="Q611" s="30">
        <x:f>COUNTIF($P$3:P611,"=3")</x:f>
        <x:v>68</x:v>
      </x:c>
      <x:c r="R611" s="29">
        <x:f>WORKDAY(기본입력!$H$2,Q611-1,공휴일)</x:f>
        <x:v>46024</x:v>
      </x:c>
    </x:row>
    <x:row r="612" spans="1:18">
      <x:c r="A612" s="145" t="str">
        <x:f t="shared" si="58"/>
        <x:v>20260102</x:v>
      </x:c>
      <x:c r="B612" s="8" t="s">
        <x:v>5</x:v>
      </x:c>
      <x:c r="C612" s="8">
        <x:v>1740</x:v>
      </x:c>
      <x:c r="D612" s="7" t="s">
        <x:v>1</x:v>
      </x:c>
      <x:c r="E612" s="8">
        <x:v>1440</x:v>
      </x:c>
      <x:c r="F612" s="8" t="s">
        <x:v>40</x:v>
      </x:c>
      <x:c r="G612" s="15" t="str">
        <x:f>IF(OR(N612="",N612&gt;기본입력!$C$34),"",VLOOKUP(O612,기본입력!$A$9:$F$33,5))</x:f>
        <x:v>양현수_53778</x:v>
      </x:c>
      <x:c r="H612" s="15" t="str">
        <x:f>IF(OR(N612="",N612&gt;기본입력!$C$34),"",기본입력!$C$6)</x:f>
        <x:v>1교육실(실습겸용강의실)_243089</x:v>
      </x:c>
      <x:c r="I612" s="15" t="str">
        <x:f>IF(OR(O612="",N612&gt;기본입력!$C$34),"",VLOOKUP(O612,기본입력!$A$9:$F$33,6,FALSE))</x:f>
        <x:v>빅데이터 분석 및 시각화__6</x:v>
      </x:c>
      <x:c r="J612" s="38" t="str">
        <x:f t="shared" si="54"/>
        <x:v>빅데이터 분석 및 시각화</x:v>
      </x:c>
      <x:c r="K612" s="38" t="str">
        <x:f t="shared" si="55"/>
        <x:v>1교육실(실습겸용강의실)</x:v>
      </x:c>
      <x:c r="L612" s="38" t="str">
        <x:f t="shared" si="56"/>
        <x:v>양현수</x:v>
      </x:c>
      <x:c r="M612" s="63"/>
      <x:c r="N612" s="30">
        <x:f>IF(F612="2","",COUNTIF($F$3:$F612,"=1"))</x:f>
        <x:v>542</x:v>
      </x:c>
      <x:c r="O612" s="30">
        <x:f t="shared" si="57"/>
        <x:v>7</x:v>
      </x:c>
      <x:c r="P612" s="30">
        <x:f t="shared" si="59"/>
        <x:v>0</x:v>
      </x:c>
      <x:c r="Q612" s="30">
        <x:f>COUNTIF($P$3:P612,"=3")</x:f>
        <x:v>68</x:v>
      </x:c>
      <x:c r="R612" s="29">
        <x:f>WORKDAY(기본입력!$H$2,Q612-1,공휴일)</x:f>
        <x:v>46024</x:v>
      </x:c>
    </x:row>
    <x:row r="613" spans="1:18">
      <x:c r="A613" s="145" t="str">
        <x:f t="shared" si="58"/>
        <x:v>20260102</x:v>
      </x:c>
      <x:c r="B613" s="8" t="s">
        <x:v>5</x:v>
      </x:c>
      <x:c r="C613" s="8">
        <x:v>1740</x:v>
      </x:c>
      <x:c r="D613" s="7" t="s">
        <x:v>1</x:v>
      </x:c>
      <x:c r="E613" s="8">
        <x:v>1540</x:v>
      </x:c>
      <x:c r="F613" s="8" t="s">
        <x:v>40</x:v>
      </x:c>
      <x:c r="G613" s="15" t="str">
        <x:f>IF(OR(N613="",N613&gt;기본입력!$C$34),"",VLOOKUP(O613,기본입력!$A$9:$F$33,5))</x:f>
        <x:v>양현수_53778</x:v>
      </x:c>
      <x:c r="H613" s="15" t="str">
        <x:f>IF(OR(N613="",N613&gt;기본입력!$C$34),"",기본입력!$C$6)</x:f>
        <x:v>1교육실(실습겸용강의실)_243089</x:v>
      </x:c>
      <x:c r="I613" s="15" t="str">
        <x:f>IF(OR(O613="",N613&gt;기본입력!$C$34),"",VLOOKUP(O613,기본입력!$A$9:$F$33,6,FALSE))</x:f>
        <x:v>빅데이터 분석 및 시각화__6</x:v>
      </x:c>
      <x:c r="J613" s="38" t="str">
        <x:f t="shared" si="54"/>
        <x:v>빅데이터 분석 및 시각화</x:v>
      </x:c>
      <x:c r="K613" s="38" t="str">
        <x:f t="shared" si="55"/>
        <x:v>1교육실(실습겸용강의실)</x:v>
      </x:c>
      <x:c r="L613" s="38" t="str">
        <x:f t="shared" si="56"/>
        <x:v>양현수</x:v>
      </x:c>
      <x:c r="M613" s="63"/>
      <x:c r="N613" s="30">
        <x:f>IF(F613="2","",COUNTIF($F$3:$F613,"=1"))</x:f>
        <x:v>543</x:v>
      </x:c>
      <x:c r="O613" s="30">
        <x:f t="shared" si="57"/>
        <x:v>7</x:v>
      </x:c>
      <x:c r="P613" s="30">
        <x:f t="shared" si="59"/>
        <x:v>1</x:v>
      </x:c>
      <x:c r="Q613" s="30">
        <x:f>COUNTIF($P$3:P613,"=3")</x:f>
        <x:v>68</x:v>
      </x:c>
      <x:c r="R613" s="29">
        <x:f>WORKDAY(기본입력!$H$2,Q613-1,공휴일)</x:f>
        <x:v>46024</x:v>
      </x:c>
    </x:row>
    <x:row r="614" spans="1:18">
      <x:c r="A614" s="145" t="str">
        <x:f t="shared" si="58"/>
        <x:v>20260102</x:v>
      </x:c>
      <x:c r="B614" s="8" t="s">
        <x:v>5</x:v>
      </x:c>
      <x:c r="C614" s="8">
        <x:v>1740</x:v>
      </x:c>
      <x:c r="D614" s="7" t="s">
        <x:v>1</x:v>
      </x:c>
      <x:c r="E614" s="8">
        <x:v>1640</x:v>
      </x:c>
      <x:c r="F614" s="8" t="s">
        <x:v>40</x:v>
      </x:c>
      <x:c r="G614" s="15" t="str">
        <x:f>IF(OR(N614="",N614&gt;기본입력!$C$34),"",VLOOKUP(O614,기본입력!$A$9:$F$33,5))</x:f>
        <x:v>양현수_53778</x:v>
      </x:c>
      <x:c r="H614" s="15" t="str">
        <x:f>IF(OR(N614="",N614&gt;기본입력!$C$34),"",기본입력!$C$6)</x:f>
        <x:v>1교육실(실습겸용강의실)_243089</x:v>
      </x:c>
      <x:c r="I614" s="15" t="str">
        <x:f>IF(OR(O614="",N614&gt;기본입력!$C$34),"",VLOOKUP(O614,기본입력!$A$9:$F$33,6,FALSE))</x:f>
        <x:v>빅데이터 분석 및 시각화__6</x:v>
      </x:c>
      <x:c r="J614" s="38" t="str">
        <x:f t="shared" si="54"/>
        <x:v>빅데이터 분석 및 시각화</x:v>
      </x:c>
      <x:c r="K614" s="38" t="str">
        <x:f t="shared" si="55"/>
        <x:v>1교육실(실습겸용강의실)</x:v>
      </x:c>
      <x:c r="L614" s="38" t="str">
        <x:f t="shared" si="56"/>
        <x:v>양현수</x:v>
      </x:c>
      <x:c r="M614" s="63"/>
      <x:c r="N614" s="30">
        <x:f>IF(F614="2","",COUNTIF($F$3:$F614,"=1"))</x:f>
        <x:v>544</x:v>
      </x:c>
      <x:c r="O614" s="30">
        <x:f t="shared" si="57"/>
        <x:v>7</x:v>
      </x:c>
      <x:c r="P614" s="30">
        <x:f t="shared" si="59"/>
        <x:v>2</x:v>
      </x:c>
      <x:c r="Q614" s="30">
        <x:f>COUNTIF($P$3:P614,"=3")</x:f>
        <x:v>68</x:v>
      </x:c>
      <x:c r="R614" s="29">
        <x:f>WORKDAY(기본입력!$H$2,Q614-1,공휴일)</x:f>
        <x:v>46024</x:v>
      </x:c>
    </x:row>
    <x:row r="615" spans="1:18">
      <x:c r="A615" s="144" t="str">
        <x:f t="shared" si="58"/>
        <x:v>20260105</x:v>
      </x:c>
      <x:c r="B615" s="6" t="s">
        <x:v>5</x:v>
      </x:c>
      <x:c r="C615" s="6">
        <x:v>1740</x:v>
      </x:c>
      <x:c r="D615" s="5" t="s">
        <x:v>1</x:v>
      </x:c>
      <x:c r="E615" s="6" t="s">
        <x:v>5</x:v>
      </x:c>
      <x:c r="F615" s="6" t="s">
        <x:v>40</x:v>
      </x:c>
      <x:c r="G615" s="14" t="str">
        <x:f>IF(OR(N615="",N615&gt;기본입력!$C$34),"",VLOOKUP(O615,기본입력!$A$9:$F$33,5))</x:f>
        <x:v>양현수_53778</x:v>
      </x:c>
      <x:c r="H615" s="14" t="str">
        <x:f>IF(OR(N615="",N615&gt;기본입력!$C$34),"",기본입력!$C$6)</x:f>
        <x:v>1교육실(실습겸용강의실)_243089</x:v>
      </x:c>
      <x:c r="I615" s="14" t="str">
        <x:f>IF(OR(O615="",N615&gt;기본입력!$C$34),"",VLOOKUP(O615,기본입력!$A$9:$F$33,6,FALSE))</x:f>
        <x:v>빅데이터 분석 및 시각화__6</x:v>
      </x:c>
      <x:c r="J615" s="38" t="str">
        <x:f t="shared" si="54"/>
        <x:v>빅데이터 분석 및 시각화</x:v>
      </x:c>
      <x:c r="K615" s="38" t="str">
        <x:f t="shared" si="55"/>
        <x:v>1교육실(실습겸용강의실)</x:v>
      </x:c>
      <x:c r="L615" s="38" t="str">
        <x:f t="shared" si="56"/>
        <x:v>양현수</x:v>
      </x:c>
      <x:c r="M615" s="63"/>
      <x:c r="N615" s="30">
        <x:f>IF(F615="2","",COUNTIF($F$3:$F615,"=1"))</x:f>
        <x:v>545</x:v>
      </x:c>
      <x:c r="O615" s="30">
        <x:f t="shared" si="57"/>
        <x:v>7</x:v>
      </x:c>
      <x:c r="P615" s="30">
        <x:f t="shared" si="59"/>
        <x:v>3</x:v>
      </x:c>
      <x:c r="Q615" s="30">
        <x:f>COUNTIF($P$3:P615,"=3")</x:f>
        <x:v>69</x:v>
      </x:c>
      <x:c r="R615" s="29">
        <x:f>WORKDAY(기본입력!$H$2,Q615-1,공휴일)</x:f>
        <x:v>46027</x:v>
      </x:c>
    </x:row>
    <x:row r="616" spans="1:18">
      <x:c r="A616" s="144" t="str">
        <x:f t="shared" si="58"/>
        <x:v>20260105</x:v>
      </x:c>
      <x:c r="B616" s="6" t="s">
        <x:v>5</x:v>
      </x:c>
      <x:c r="C616" s="6">
        <x:v>1740</x:v>
      </x:c>
      <x:c r="D616" s="5" t="s">
        <x:v>1</x:v>
      </x:c>
      <x:c r="E616" s="6" t="s">
        <x:v>117</x:v>
      </x:c>
      <x:c r="F616" s="6" t="s">
        <x:v>40</x:v>
      </x:c>
      <x:c r="G616" s="14" t="str">
        <x:f>IF(OR(N616="",N616&gt;기본입력!$C$34),"",VLOOKUP(O616,기본입력!$A$9:$F$33,5))</x:f>
        <x:v>양현수_53778</x:v>
      </x:c>
      <x:c r="H616" s="14" t="str">
        <x:f>IF(OR(N616="",N616&gt;기본입력!$C$34),"",기본입력!$C$6)</x:f>
        <x:v>1교육실(실습겸용강의실)_243089</x:v>
      </x:c>
      <x:c r="I616" s="14" t="str">
        <x:f>IF(OR(O616="",N616&gt;기본입력!$C$34),"",VLOOKUP(O616,기본입력!$A$9:$F$33,6,FALSE))</x:f>
        <x:v>빅데이터 분석 및 시각화__6</x:v>
      </x:c>
      <x:c r="J616" s="38" t="str">
        <x:f t="shared" si="54"/>
        <x:v>빅데이터 분석 및 시각화</x:v>
      </x:c>
      <x:c r="K616" s="38" t="str">
        <x:f t="shared" si="55"/>
        <x:v>1교육실(실습겸용강의실)</x:v>
      </x:c>
      <x:c r="L616" s="38" t="str">
        <x:f t="shared" si="56"/>
        <x:v>양현수</x:v>
      </x:c>
      <x:c r="M616" s="63"/>
      <x:c r="N616" s="30">
        <x:f>IF(F616="2","",COUNTIF($F$3:$F616,"=1"))</x:f>
        <x:v>546</x:v>
      </x:c>
      <x:c r="O616" s="30">
        <x:f t="shared" si="57"/>
        <x:v>7</x:v>
      </x:c>
      <x:c r="P616" s="30">
        <x:f t="shared" si="59"/>
        <x:v>4</x:v>
      </x:c>
      <x:c r="Q616" s="30">
        <x:f>COUNTIF($P$3:P616,"=3")</x:f>
        <x:v>69</x:v>
      </x:c>
      <x:c r="R616" s="29">
        <x:f>WORKDAY(기본입력!$H$2,Q616-1,공휴일)</x:f>
        <x:v>46027</x:v>
      </x:c>
    </x:row>
    <x:row r="617" spans="1:18">
      <x:c r="A617" s="144" t="str">
        <x:f t="shared" si="58"/>
        <x:v>20260105</x:v>
      </x:c>
      <x:c r="B617" s="6" t="s">
        <x:v>5</x:v>
      </x:c>
      <x:c r="C617" s="6">
        <x:v>1740</x:v>
      </x:c>
      <x:c r="D617" s="5" t="s">
        <x:v>1</x:v>
      </x:c>
      <x:c r="E617" s="6" t="s">
        <x:v>87</x:v>
      </x:c>
      <x:c r="F617" s="6" t="s">
        <x:v>40</x:v>
      </x:c>
      <x:c r="G617" s="14" t="str">
        <x:f>IF(OR(N617="",N617&gt;기본입력!$C$34),"",VLOOKUP(O617,기본입력!$A$9:$F$33,5))</x:f>
        <x:v>양현수_53778</x:v>
      </x:c>
      <x:c r="H617" s="14" t="str">
        <x:f>IF(OR(N617="",N617&gt;기본입력!$C$34),"",기본입력!$C$6)</x:f>
        <x:v>1교육실(실습겸용강의실)_243089</x:v>
      </x:c>
      <x:c r="I617" s="14" t="str">
        <x:f>IF(OR(O617="",N617&gt;기본입력!$C$34),"",VLOOKUP(O617,기본입력!$A$9:$F$33,6,FALSE))</x:f>
        <x:v>빅데이터 분석 및 시각화__6</x:v>
      </x:c>
      <x:c r="J617" s="38" t="str">
        <x:f t="shared" si="54"/>
        <x:v>빅데이터 분석 및 시각화</x:v>
      </x:c>
      <x:c r="K617" s="38" t="str">
        <x:f t="shared" si="55"/>
        <x:v>1교육실(실습겸용강의실)</x:v>
      </x:c>
      <x:c r="L617" s="38" t="str">
        <x:f t="shared" si="56"/>
        <x:v>양현수</x:v>
      </x:c>
      <x:c r="M617" s="63"/>
      <x:c r="N617" s="30">
        <x:f>IF(F617="2","",COUNTIF($F$3:$F617,"=1"))</x:f>
        <x:v>547</x:v>
      </x:c>
      <x:c r="O617" s="30">
        <x:f t="shared" si="57"/>
        <x:v>7</x:v>
      </x:c>
      <x:c r="P617" s="30">
        <x:f t="shared" si="59"/>
        <x:v>5</x:v>
      </x:c>
      <x:c r="Q617" s="30">
        <x:f>COUNTIF($P$3:P617,"=3")</x:f>
        <x:v>69</x:v>
      </x:c>
      <x:c r="R617" s="29">
        <x:f>WORKDAY(기본입력!$H$2,Q617-1,공휴일)</x:f>
        <x:v>46027</x:v>
      </x:c>
    </x:row>
    <x:row r="618" spans="1:18">
      <x:c r="A618" s="144" t="str">
        <x:f t="shared" si="58"/>
        <x:v>20260105</x:v>
      </x:c>
      <x:c r="B618" s="6" t="s">
        <x:v>5</x:v>
      </x:c>
      <x:c r="C618" s="6">
        <x:v>1740</x:v>
      </x:c>
      <x:c r="D618" s="5" t="s">
        <x:v>1</x:v>
      </x:c>
      <x:c r="E618" s="6" t="s">
        <x:v>88</x:v>
      </x:c>
      <x:c r="F618" s="6" t="s">
        <x:v>40</x:v>
      </x:c>
      <x:c r="G618" s="14" t="str">
        <x:f>IF(OR(N618="",N618&gt;기본입력!$C$34),"",VLOOKUP(O618,기본입력!$A$9:$F$33,5))</x:f>
        <x:v>양현수_53778</x:v>
      </x:c>
      <x:c r="H618" s="14" t="str">
        <x:f>IF(OR(N618="",N618&gt;기본입력!$C$34),"",기본입력!$C$6)</x:f>
        <x:v>1교육실(실습겸용강의실)_243089</x:v>
      </x:c>
      <x:c r="I618" s="14" t="str">
        <x:f>IF(OR(O618="",N618&gt;기본입력!$C$34),"",VLOOKUP(O618,기본입력!$A$9:$F$33,6,FALSE))</x:f>
        <x:v>빅데이터 분석 및 시각화__6</x:v>
      </x:c>
      <x:c r="J618" s="38" t="str">
        <x:f t="shared" si="54"/>
        <x:v>빅데이터 분석 및 시각화</x:v>
      </x:c>
      <x:c r="K618" s="38" t="str">
        <x:f t="shared" si="55"/>
        <x:v>1교육실(실습겸용강의실)</x:v>
      </x:c>
      <x:c r="L618" s="38" t="str">
        <x:f t="shared" si="56"/>
        <x:v>양현수</x:v>
      </x:c>
      <x:c r="M618" s="63"/>
      <x:c r="N618" s="30">
        <x:f>IF(F618="2","",COUNTIF($F$3:$F618,"=1"))</x:f>
        <x:v>548</x:v>
      </x:c>
      <x:c r="O618" s="30">
        <x:f t="shared" si="57"/>
        <x:v>7</x:v>
      </x:c>
      <x:c r="P618" s="30">
        <x:f t="shared" si="59"/>
        <x:v>6</x:v>
      </x:c>
      <x:c r="Q618" s="30">
        <x:f>COUNTIF($P$3:P618,"=3")</x:f>
        <x:v>69</x:v>
      </x:c>
      <x:c r="R618" s="29">
        <x:f>WORKDAY(기본입력!$H$2,Q618-1,공휴일)</x:f>
        <x:v>46027</x:v>
      </x:c>
    </x:row>
    <x:row r="619" spans="1:18">
      <x:c r="A619" s="144" t="str">
        <x:f t="shared" si="58"/>
        <x:v>20260105</x:v>
      </x:c>
      <x:c r="B619" s="6" t="s">
        <x:v>5</x:v>
      </x:c>
      <x:c r="C619" s="6">
        <x:v>1740</x:v>
      </x:c>
      <x:c r="D619" s="5" t="s">
        <x:v>1</x:v>
      </x:c>
      <x:c r="E619" s="6" t="s">
        <x:v>0</x:v>
      </x:c>
      <x:c r="F619" s="6" t="s">
        <x:v>41</x:v>
      </x:c>
      <x:c r="G619" s="14" t="str">
        <x:f>IF(OR(N619="",N619&gt;기본입력!$C$34),"",VLOOKUP(O619,기본입력!$A$9:$F$33,5))</x:f>
        <x:v/>
      </x:c>
      <x:c r="H619" s="14" t="str">
        <x:f>IF(OR(N619="",N619&gt;기본입력!$C$34),"",기본입력!$C$6)</x:f>
        <x:v/>
      </x:c>
      <x:c r="I619" s="14" t="str">
        <x:f>IF(OR(O619="",N619&gt;기본입력!$C$34),"",VLOOKUP(O619,기본입력!$A$9:$F$33,6,FALSE))</x:f>
        <x:v/>
      </x:c>
      <x:c r="J619" s="38" t="str">
        <x:f t="shared" si="54"/>
        <x:v/>
      </x:c>
      <x:c r="K619" s="38" t="str">
        <x:f t="shared" si="55"/>
        <x:v/>
      </x:c>
      <x:c r="L619" s="38" t="str">
        <x:f t="shared" si="56"/>
        <x:v/>
      </x:c>
      <x:c r="M619" s="63"/>
      <x:c r="N619" s="30" t="str">
        <x:f>IF(F619="2","",COUNTIF($F$3:$F619,"=1"))</x:f>
        <x:v/>
      </x:c>
      <x:c r="O619" s="30" t="str">
        <x:f t="shared" si="57"/>
        <x:v/>
      </x:c>
      <x:c r="P619" s="30">
        <x:f t="shared" si="59"/>
        <x:v>7</x:v>
      </x:c>
      <x:c r="Q619" s="30">
        <x:f>COUNTIF($P$3:P619,"=3")</x:f>
        <x:v>69</x:v>
      </x:c>
      <x:c r="R619" s="29">
        <x:f>WORKDAY(기본입력!$H$2,Q619-1,공휴일)</x:f>
        <x:v>46027</x:v>
      </x:c>
    </x:row>
    <x:row r="620" spans="1:18">
      <x:c r="A620" s="144" t="str">
        <x:f t="shared" si="58"/>
        <x:v>20260105</x:v>
      </x:c>
      <x:c r="B620" s="6" t="s">
        <x:v>5</x:v>
      </x:c>
      <x:c r="C620" s="6">
        <x:v>1740</x:v>
      </x:c>
      <x:c r="D620" s="5" t="s">
        <x:v>1</x:v>
      </x:c>
      <x:c r="E620" s="6">
        <x:v>1340</x:v>
      </x:c>
      <x:c r="F620" s="6" t="s">
        <x:v>40</x:v>
      </x:c>
      <x:c r="G620" s="14" t="str">
        <x:f>IF(OR(N620="",N620&gt;기본입력!$C$34),"",VLOOKUP(O620,기본입력!$A$9:$F$33,5))</x:f>
        <x:v>양현수_53778</x:v>
      </x:c>
      <x:c r="H620" s="14" t="str">
        <x:f>IF(OR(N620="",N620&gt;기본입력!$C$34),"",기본입력!$C$6)</x:f>
        <x:v>1교육실(실습겸용강의실)_243089</x:v>
      </x:c>
      <x:c r="I620" s="14" t="str">
        <x:f>IF(OR(O620="",N620&gt;기본입력!$C$34),"",VLOOKUP(O620,기본입력!$A$9:$F$33,6,FALSE))</x:f>
        <x:v>빅데이터 분석 및 시각화__6</x:v>
      </x:c>
      <x:c r="J620" s="38" t="str">
        <x:f t="shared" si="54"/>
        <x:v>빅데이터 분석 및 시각화</x:v>
      </x:c>
      <x:c r="K620" s="38" t="str">
        <x:f t="shared" si="55"/>
        <x:v>1교육실(실습겸용강의실)</x:v>
      </x:c>
      <x:c r="L620" s="38" t="str">
        <x:f t="shared" si="56"/>
        <x:v>양현수</x:v>
      </x:c>
      <x:c r="M620" s="63"/>
      <x:c r="N620" s="30">
        <x:f>IF(F620="2","",COUNTIF($F$3:$F620,"=1"))</x:f>
        <x:v>549</x:v>
      </x:c>
      <x:c r="O620" s="30">
        <x:f t="shared" si="57"/>
        <x:v>7</x:v>
      </x:c>
      <x:c r="P620" s="30">
        <x:f t="shared" si="59"/>
        <x:v>8</x:v>
      </x:c>
      <x:c r="Q620" s="30">
        <x:f>COUNTIF($P$3:P620,"=3")</x:f>
        <x:v>69</x:v>
      </x:c>
      <x:c r="R620" s="29">
        <x:f>WORKDAY(기본입력!$H$2,Q620-1,공휴일)</x:f>
        <x:v>46027</x:v>
      </x:c>
    </x:row>
    <x:row r="621" spans="1:18">
      <x:c r="A621" s="144" t="str">
        <x:f t="shared" si="58"/>
        <x:v>20260105</x:v>
      </x:c>
      <x:c r="B621" s="6" t="s">
        <x:v>5</x:v>
      </x:c>
      <x:c r="C621" s="6">
        <x:v>1740</x:v>
      </x:c>
      <x:c r="D621" s="5" t="s">
        <x:v>1</x:v>
      </x:c>
      <x:c r="E621" s="6">
        <x:v>1440</x:v>
      </x:c>
      <x:c r="F621" s="6" t="s">
        <x:v>40</x:v>
      </x:c>
      <x:c r="G621" s="14" t="str">
        <x:f>IF(OR(N621="",N621&gt;기본입력!$C$34),"",VLOOKUP(O621,기본입력!$A$9:$F$33,5))</x:f>
        <x:v>양현수_53778</x:v>
      </x:c>
      <x:c r="H621" s="14" t="str">
        <x:f>IF(OR(N621="",N621&gt;기본입력!$C$34),"",기본입력!$C$6)</x:f>
        <x:v>1교육실(실습겸용강의실)_243089</x:v>
      </x:c>
      <x:c r="I621" s="14" t="str">
        <x:f>IF(OR(O621="",N621&gt;기본입력!$C$34),"",VLOOKUP(O621,기본입력!$A$9:$F$33,6,FALSE))</x:f>
        <x:v>빅데이터 분석 및 시각화__6</x:v>
      </x:c>
      <x:c r="J621" s="38" t="str">
        <x:f t="shared" si="54"/>
        <x:v>빅데이터 분석 및 시각화</x:v>
      </x:c>
      <x:c r="K621" s="38" t="str">
        <x:f t="shared" si="55"/>
        <x:v>1교육실(실습겸용강의실)</x:v>
      </x:c>
      <x:c r="L621" s="38" t="str">
        <x:f t="shared" si="56"/>
        <x:v>양현수</x:v>
      </x:c>
      <x:c r="M621" s="63"/>
      <x:c r="N621" s="30">
        <x:f>IF(F621="2","",COUNTIF($F$3:$F621,"=1"))</x:f>
        <x:v>550</x:v>
      </x:c>
      <x:c r="O621" s="30">
        <x:f t="shared" si="57"/>
        <x:v>7</x:v>
      </x:c>
      <x:c r="P621" s="30">
        <x:f t="shared" si="59"/>
        <x:v>0</x:v>
      </x:c>
      <x:c r="Q621" s="30">
        <x:f>COUNTIF($P$3:P621,"=3")</x:f>
        <x:v>69</x:v>
      </x:c>
      <x:c r="R621" s="29">
        <x:f>WORKDAY(기본입력!$H$2,Q621-1,공휴일)</x:f>
        <x:v>46027</x:v>
      </x:c>
    </x:row>
    <x:row r="622" spans="1:18">
      <x:c r="A622" s="144" t="str">
        <x:f t="shared" si="58"/>
        <x:v>20260105</x:v>
      </x:c>
      <x:c r="B622" s="6" t="s">
        <x:v>5</x:v>
      </x:c>
      <x:c r="C622" s="6">
        <x:v>1740</x:v>
      </x:c>
      <x:c r="D622" s="5" t="s">
        <x:v>1</x:v>
      </x:c>
      <x:c r="E622" s="6">
        <x:v>1540</x:v>
      </x:c>
      <x:c r="F622" s="6" t="s">
        <x:v>40</x:v>
      </x:c>
      <x:c r="G622" s="14" t="str">
        <x:f>IF(OR(N622="",N622&gt;기본입력!$C$34),"",VLOOKUP(O622,기본입력!$A$9:$F$33,5))</x:f>
        <x:v>양현수_53778</x:v>
      </x:c>
      <x:c r="H622" s="14" t="str">
        <x:f>IF(OR(N622="",N622&gt;기본입력!$C$34),"",기본입력!$C$6)</x:f>
        <x:v>1교육실(실습겸용강의실)_243089</x:v>
      </x:c>
      <x:c r="I622" s="14" t="str">
        <x:f>IF(OR(O622="",N622&gt;기본입력!$C$34),"",VLOOKUP(O622,기본입력!$A$9:$F$33,6,FALSE))</x:f>
        <x:v>빅데이터 분석 및 시각화__6</x:v>
      </x:c>
      <x:c r="J622" s="38" t="str">
        <x:f t="shared" si="54"/>
        <x:v>빅데이터 분석 및 시각화</x:v>
      </x:c>
      <x:c r="K622" s="38" t="str">
        <x:f t="shared" si="55"/>
        <x:v>1교육실(실습겸용강의실)</x:v>
      </x:c>
      <x:c r="L622" s="38" t="str">
        <x:f t="shared" si="56"/>
        <x:v>양현수</x:v>
      </x:c>
      <x:c r="M622" s="63"/>
      <x:c r="N622" s="30">
        <x:f>IF(F622="2","",COUNTIF($F$3:$F622,"=1"))</x:f>
        <x:v>551</x:v>
      </x:c>
      <x:c r="O622" s="30">
        <x:f t="shared" si="57"/>
        <x:v>7</x:v>
      </x:c>
      <x:c r="P622" s="30">
        <x:f t="shared" si="59"/>
        <x:v>1</x:v>
      </x:c>
      <x:c r="Q622" s="30">
        <x:f>COUNTIF($P$3:P622,"=3")</x:f>
        <x:v>69</x:v>
      </x:c>
      <x:c r="R622" s="29">
        <x:f>WORKDAY(기본입력!$H$2,Q622-1,공휴일)</x:f>
        <x:v>46027</x:v>
      </x:c>
    </x:row>
    <x:row r="623" spans="1:18">
      <x:c r="A623" s="144" t="str">
        <x:f t="shared" si="58"/>
        <x:v>20260105</x:v>
      </x:c>
      <x:c r="B623" s="6" t="s">
        <x:v>5</x:v>
      </x:c>
      <x:c r="C623" s="6">
        <x:v>1740</x:v>
      </x:c>
      <x:c r="D623" s="5" t="s">
        <x:v>1</x:v>
      </x:c>
      <x:c r="E623" s="6">
        <x:v>1640</x:v>
      </x:c>
      <x:c r="F623" s="6" t="s">
        <x:v>40</x:v>
      </x:c>
      <x:c r="G623" s="14" t="str">
        <x:f>IF(OR(N623="",N623&gt;기본입력!$C$34),"",VLOOKUP(O623,기본입력!$A$9:$F$33,5))</x:f>
        <x:v>양현수_53778</x:v>
      </x:c>
      <x:c r="H623" s="14" t="str">
        <x:f>IF(OR(N623="",N623&gt;기본입력!$C$34),"",기본입력!$C$6)</x:f>
        <x:v>1교육실(실습겸용강의실)_243089</x:v>
      </x:c>
      <x:c r="I623" s="14" t="str">
        <x:f>IF(OR(O623="",N623&gt;기본입력!$C$34),"",VLOOKUP(O623,기본입력!$A$9:$F$33,6,FALSE))</x:f>
        <x:v>빅데이터 분석 및 시각화__6</x:v>
      </x:c>
      <x:c r="J623" s="38" t="str">
        <x:f t="shared" si="54"/>
        <x:v>빅데이터 분석 및 시각화</x:v>
      </x:c>
      <x:c r="K623" s="38" t="str">
        <x:f t="shared" si="55"/>
        <x:v>1교육실(실습겸용강의실)</x:v>
      </x:c>
      <x:c r="L623" s="38" t="str">
        <x:f t="shared" si="56"/>
        <x:v>양현수</x:v>
      </x:c>
      <x:c r="M623" s="63"/>
      <x:c r="N623" s="30">
        <x:f>IF(F623="2","",COUNTIF($F$3:$F623,"=1"))</x:f>
        <x:v>552</x:v>
      </x:c>
      <x:c r="O623" s="30">
        <x:f t="shared" si="57"/>
        <x:v>7</x:v>
      </x:c>
      <x:c r="P623" s="30">
        <x:f t="shared" si="59"/>
        <x:v>2</x:v>
      </x:c>
      <x:c r="Q623" s="30">
        <x:f>COUNTIF($P$3:P623,"=3")</x:f>
        <x:v>69</x:v>
      </x:c>
      <x:c r="R623" s="29">
        <x:f>WORKDAY(기본입력!$H$2,Q623-1,공휴일)</x:f>
        <x:v>46027</x:v>
      </x:c>
    </x:row>
    <x:row r="624" spans="1:18">
      <x:c r="A624" s="145" t="str">
        <x:f t="shared" si="58"/>
        <x:v>20260106</x:v>
      </x:c>
      <x:c r="B624" s="8" t="s">
        <x:v>5</x:v>
      </x:c>
      <x:c r="C624" s="8">
        <x:v>1740</x:v>
      </x:c>
      <x:c r="D624" s="7" t="s">
        <x:v>1</x:v>
      </x:c>
      <x:c r="E624" s="8" t="s">
        <x:v>5</x:v>
      </x:c>
      <x:c r="F624" s="8" t="s">
        <x:v>40</x:v>
      </x:c>
      <x:c r="G624" s="15" t="str">
        <x:f>IF(OR(N624="",N624&gt;기본입력!$C$34),"",VLOOKUP(O624,기본입력!$A$9:$F$33,5))</x:f>
        <x:v>양현수_53778</x:v>
      </x:c>
      <x:c r="H624" s="15" t="str">
        <x:f>IF(OR(N624="",N624&gt;기본입력!$C$34),"",기본입력!$C$6)</x:f>
        <x:v>1교육실(실습겸용강의실)_243089</x:v>
      </x:c>
      <x:c r="I624" s="15" t="str">
        <x:f>IF(OR(O624="",N624&gt;기본입력!$C$34),"",VLOOKUP(O624,기본입력!$A$9:$F$33,6,FALSE))</x:f>
        <x:v>빅데이터 분석 및 시각화__6</x:v>
      </x:c>
      <x:c r="J624" s="38" t="str">
        <x:f t="shared" si="54"/>
        <x:v>빅데이터 분석 및 시각화</x:v>
      </x:c>
      <x:c r="K624" s="38" t="str">
        <x:f t="shared" si="55"/>
        <x:v>1교육실(실습겸용강의실)</x:v>
      </x:c>
      <x:c r="L624" s="38" t="str">
        <x:f t="shared" si="56"/>
        <x:v>양현수</x:v>
      </x:c>
      <x:c r="M624" s="63"/>
      <x:c r="N624" s="30">
        <x:f>IF(F624="2","",COUNTIF($F$3:$F624,"=1"))</x:f>
        <x:v>553</x:v>
      </x:c>
      <x:c r="O624" s="30">
        <x:f t="shared" si="57"/>
        <x:v>7</x:v>
      </x:c>
      <x:c r="P624" s="30">
        <x:f t="shared" si="59"/>
        <x:v>3</x:v>
      </x:c>
      <x:c r="Q624" s="30">
        <x:f>COUNTIF($P$3:P624,"=3")</x:f>
        <x:v>70</x:v>
      </x:c>
      <x:c r="R624" s="29">
        <x:f>WORKDAY(기본입력!$H$2,Q624-1,공휴일)</x:f>
        <x:v>46028</x:v>
      </x:c>
    </x:row>
    <x:row r="625" spans="1:18">
      <x:c r="A625" s="145" t="str">
        <x:f t="shared" si="58"/>
        <x:v>20260106</x:v>
      </x:c>
      <x:c r="B625" s="8" t="s">
        <x:v>5</x:v>
      </x:c>
      <x:c r="C625" s="8">
        <x:v>1740</x:v>
      </x:c>
      <x:c r="D625" s="7" t="s">
        <x:v>1</x:v>
      </x:c>
      <x:c r="E625" s="8" t="s">
        <x:v>117</x:v>
      </x:c>
      <x:c r="F625" s="8" t="s">
        <x:v>40</x:v>
      </x:c>
      <x:c r="G625" s="15" t="str">
        <x:f>IF(OR(N625="",N625&gt;기본입력!$C$34),"",VLOOKUP(O625,기본입력!$A$9:$F$33,5))</x:f>
        <x:v>양현수_53778</x:v>
      </x:c>
      <x:c r="H625" s="15" t="str">
        <x:f>IF(OR(N625="",N625&gt;기본입력!$C$34),"",기본입력!$C$6)</x:f>
        <x:v>1교육실(실습겸용강의실)_243089</x:v>
      </x:c>
      <x:c r="I625" s="15" t="str">
        <x:f>IF(OR(O625="",N625&gt;기본입력!$C$34),"",VLOOKUP(O625,기본입력!$A$9:$F$33,6,FALSE))</x:f>
        <x:v>빅데이터 분석 및 시각화__6</x:v>
      </x:c>
      <x:c r="J625" s="38" t="str">
        <x:f t="shared" si="54"/>
        <x:v>빅데이터 분석 및 시각화</x:v>
      </x:c>
      <x:c r="K625" s="38" t="str">
        <x:f t="shared" si="55"/>
        <x:v>1교육실(실습겸용강의실)</x:v>
      </x:c>
      <x:c r="L625" s="38" t="str">
        <x:f t="shared" si="56"/>
        <x:v>양현수</x:v>
      </x:c>
      <x:c r="M625" s="63"/>
      <x:c r="N625" s="30">
        <x:f>IF(F625="2","",COUNTIF($F$3:$F625,"=1"))</x:f>
        <x:v>554</x:v>
      </x:c>
      <x:c r="O625" s="30">
        <x:f t="shared" si="57"/>
        <x:v>7</x:v>
      </x:c>
      <x:c r="P625" s="30">
        <x:f t="shared" si="59"/>
        <x:v>4</x:v>
      </x:c>
      <x:c r="Q625" s="30">
        <x:f>COUNTIF($P$3:P625,"=3")</x:f>
        <x:v>70</x:v>
      </x:c>
      <x:c r="R625" s="29">
        <x:f>WORKDAY(기본입력!$H$2,Q625-1,공휴일)</x:f>
        <x:v>46028</x:v>
      </x:c>
    </x:row>
    <x:row r="626" spans="1:18">
      <x:c r="A626" s="145" t="str">
        <x:f t="shared" si="58"/>
        <x:v>20260106</x:v>
      </x:c>
      <x:c r="B626" s="8" t="s">
        <x:v>5</x:v>
      </x:c>
      <x:c r="C626" s="8">
        <x:v>1740</x:v>
      </x:c>
      <x:c r="D626" s="7" t="s">
        <x:v>1</x:v>
      </x:c>
      <x:c r="E626" s="8" t="s">
        <x:v>87</x:v>
      </x:c>
      <x:c r="F626" s="8" t="s">
        <x:v>40</x:v>
      </x:c>
      <x:c r="G626" s="15" t="str">
        <x:f>IF(OR(N626="",N626&gt;기본입력!$C$34),"",VLOOKUP(O626,기본입력!$A$9:$F$33,5))</x:f>
        <x:v>양현수_53778</x:v>
      </x:c>
      <x:c r="H626" s="15" t="str">
        <x:f>IF(OR(N626="",N626&gt;기본입력!$C$34),"",기본입력!$C$6)</x:f>
        <x:v>1교육실(실습겸용강의실)_243089</x:v>
      </x:c>
      <x:c r="I626" s="15" t="str">
        <x:f>IF(OR(O626="",N626&gt;기본입력!$C$34),"",VLOOKUP(O626,기본입력!$A$9:$F$33,6,FALSE))</x:f>
        <x:v>빅데이터 분석 및 시각화__6</x:v>
      </x:c>
      <x:c r="J626" s="38" t="str">
        <x:f t="shared" ref="J626:J689" si="60">IF(F626="2","",LEFT(I626,FIND("_",I626,2)-1))</x:f>
        <x:v>빅데이터 분석 및 시각화</x:v>
      </x:c>
      <x:c r="K626" s="38" t="str">
        <x:f t="shared" ref="K626:K689" si="61">IF(F626="2","",LEFT(H626,FIND("_",H626,2)-1))</x:f>
        <x:v>1교육실(실습겸용강의실)</x:v>
      </x:c>
      <x:c r="L626" s="38" t="str">
        <x:f t="shared" ref="L626:L689" si="62">IF(F626="2","",LEFT(G626,FIND("_",G626,2)-1))</x:f>
        <x:v>양현수</x:v>
      </x:c>
      <x:c r="M626" s="63"/>
      <x:c r="N626" s="30">
        <x:f>IF(F626="2","",COUNTIF($F$3:$F626,"=1"))</x:f>
        <x:v>555</x:v>
      </x:c>
      <x:c r="O626" s="30">
        <x:f t="shared" si="57"/>
        <x:v>7</x:v>
      </x:c>
      <x:c r="P626" s="30">
        <x:f t="shared" si="59"/>
        <x:v>5</x:v>
      </x:c>
      <x:c r="Q626" s="30">
        <x:f>COUNTIF($P$3:P626,"=3")</x:f>
        <x:v>70</x:v>
      </x:c>
      <x:c r="R626" s="29">
        <x:f>WORKDAY(기본입력!$H$2,Q626-1,공휴일)</x:f>
        <x:v>46028</x:v>
      </x:c>
    </x:row>
    <x:row r="627" spans="1:18">
      <x:c r="A627" s="145" t="str">
        <x:f t="shared" si="58"/>
        <x:v>20260106</x:v>
      </x:c>
      <x:c r="B627" s="8" t="s">
        <x:v>5</x:v>
      </x:c>
      <x:c r="C627" s="8">
        <x:v>1740</x:v>
      </x:c>
      <x:c r="D627" s="7" t="s">
        <x:v>1</x:v>
      </x:c>
      <x:c r="E627" s="8" t="s">
        <x:v>88</x:v>
      </x:c>
      <x:c r="F627" s="8" t="s">
        <x:v>40</x:v>
      </x:c>
      <x:c r="G627" s="15" t="str">
        <x:f>IF(OR(N627="",N627&gt;기본입력!$C$34),"",VLOOKUP(O627,기본입력!$A$9:$F$33,5))</x:f>
        <x:v>양현수_53778</x:v>
      </x:c>
      <x:c r="H627" s="15" t="str">
        <x:f>IF(OR(N627="",N627&gt;기본입력!$C$34),"",기본입력!$C$6)</x:f>
        <x:v>1교육실(실습겸용강의실)_243089</x:v>
      </x:c>
      <x:c r="I627" s="15" t="str">
        <x:f>IF(OR(O627="",N627&gt;기본입력!$C$34),"",VLOOKUP(O627,기본입력!$A$9:$F$33,6,FALSE))</x:f>
        <x:v>빅데이터 분석 및 시각화__6</x:v>
      </x:c>
      <x:c r="J627" s="38" t="str">
        <x:f t="shared" si="60"/>
        <x:v>빅데이터 분석 및 시각화</x:v>
      </x:c>
      <x:c r="K627" s="38" t="str">
        <x:f t="shared" si="61"/>
        <x:v>1교육실(실습겸용강의실)</x:v>
      </x:c>
      <x:c r="L627" s="38" t="str">
        <x:f t="shared" si="62"/>
        <x:v>양현수</x:v>
      </x:c>
      <x:c r="M627" s="63"/>
      <x:c r="N627" s="30">
        <x:f>IF(F627="2","",COUNTIF($F$3:$F627,"=1"))</x:f>
        <x:v>556</x:v>
      </x:c>
      <x:c r="O627" s="30">
        <x:f t="shared" si="57"/>
        <x:v>7</x:v>
      </x:c>
      <x:c r="P627" s="30">
        <x:f t="shared" si="59"/>
        <x:v>6</x:v>
      </x:c>
      <x:c r="Q627" s="30">
        <x:f>COUNTIF($P$3:P627,"=3")</x:f>
        <x:v>70</x:v>
      </x:c>
      <x:c r="R627" s="29">
        <x:f>WORKDAY(기본입력!$H$2,Q627-1,공휴일)</x:f>
        <x:v>46028</x:v>
      </x:c>
    </x:row>
    <x:row r="628" spans="1:18">
      <x:c r="A628" s="145" t="str">
        <x:f t="shared" si="58"/>
        <x:v>20260106</x:v>
      </x:c>
      <x:c r="B628" s="8" t="s">
        <x:v>5</x:v>
      </x:c>
      <x:c r="C628" s="8">
        <x:v>1740</x:v>
      </x:c>
      <x:c r="D628" s="7" t="s">
        <x:v>1</x:v>
      </x:c>
      <x:c r="E628" s="8" t="s">
        <x:v>0</x:v>
      </x:c>
      <x:c r="F628" s="8" t="s">
        <x:v>41</x:v>
      </x:c>
      <x:c r="G628" s="15" t="str">
        <x:f>IF(OR(N628="",N628&gt;기본입력!$C$34),"",VLOOKUP(O628,기본입력!$A$9:$F$33,5))</x:f>
        <x:v/>
      </x:c>
      <x:c r="H628" s="15" t="str">
        <x:f>IF(OR(N628="",N628&gt;기본입력!$C$34),"",기본입력!$C$6)</x:f>
        <x:v/>
      </x:c>
      <x:c r="I628" s="15" t="str">
        <x:f>IF(OR(O628="",N628&gt;기본입력!$C$34),"",VLOOKUP(O628,기본입력!$A$9:$F$33,6,FALSE))</x:f>
        <x:v/>
      </x:c>
      <x:c r="J628" s="38" t="str">
        <x:f t="shared" si="60"/>
        <x:v/>
      </x:c>
      <x:c r="K628" s="38" t="str">
        <x:f t="shared" si="61"/>
        <x:v/>
      </x:c>
      <x:c r="L628" s="38" t="str">
        <x:f t="shared" si="62"/>
        <x:v/>
      </x:c>
      <x:c r="M628" s="63"/>
      <x:c r="N628" s="30" t="str">
        <x:f>IF(F628="2","",COUNTIF($F$3:$F628,"=1"))</x:f>
        <x:v/>
      </x:c>
      <x:c r="O628" s="30" t="str">
        <x:f t="shared" si="57"/>
        <x:v/>
      </x:c>
      <x:c r="P628" s="30">
        <x:f t="shared" si="59"/>
        <x:v>7</x:v>
      </x:c>
      <x:c r="Q628" s="30">
        <x:f>COUNTIF($P$3:P628,"=3")</x:f>
        <x:v>70</x:v>
      </x:c>
      <x:c r="R628" s="29">
        <x:f>WORKDAY(기본입력!$H$2,Q628-1,공휴일)</x:f>
        <x:v>46028</x:v>
      </x:c>
    </x:row>
    <x:row r="629" spans="1:18">
      <x:c r="A629" s="145" t="str">
        <x:f t="shared" si="58"/>
        <x:v>20260106</x:v>
      </x:c>
      <x:c r="B629" s="8" t="s">
        <x:v>5</x:v>
      </x:c>
      <x:c r="C629" s="8">
        <x:v>1740</x:v>
      </x:c>
      <x:c r="D629" s="7" t="s">
        <x:v>1</x:v>
      </x:c>
      <x:c r="E629" s="8">
        <x:v>1340</x:v>
      </x:c>
      <x:c r="F629" s="8" t="s">
        <x:v>40</x:v>
      </x:c>
      <x:c r="G629" s="15" t="str">
        <x:f>IF(OR(N629="",N629&gt;기본입력!$C$34),"",VLOOKUP(O629,기본입력!$A$9:$F$33,5))</x:f>
        <x:v>양현수_53778</x:v>
      </x:c>
      <x:c r="H629" s="15" t="str">
        <x:f>IF(OR(N629="",N629&gt;기본입력!$C$34),"",기본입력!$C$6)</x:f>
        <x:v>1교육실(실습겸용강의실)_243089</x:v>
      </x:c>
      <x:c r="I629" s="15" t="str">
        <x:f>IF(OR(O629="",N629&gt;기본입력!$C$34),"",VLOOKUP(O629,기본입력!$A$9:$F$33,6,FALSE))</x:f>
        <x:v>빅데이터 분석 및 시각화__6</x:v>
      </x:c>
      <x:c r="J629" s="38" t="str">
        <x:f t="shared" si="60"/>
        <x:v>빅데이터 분석 및 시각화</x:v>
      </x:c>
      <x:c r="K629" s="38" t="str">
        <x:f t="shared" si="61"/>
        <x:v>1교육실(실습겸용강의실)</x:v>
      </x:c>
      <x:c r="L629" s="38" t="str">
        <x:f t="shared" si="62"/>
        <x:v>양현수</x:v>
      </x:c>
      <x:c r="M629" s="63"/>
      <x:c r="N629" s="30">
        <x:f>IF(F629="2","",COUNTIF($F$3:$F629,"=1"))</x:f>
        <x:v>557</x:v>
      </x:c>
      <x:c r="O629" s="30">
        <x:f t="shared" si="57"/>
        <x:v>7</x:v>
      </x:c>
      <x:c r="P629" s="30">
        <x:f t="shared" si="59"/>
        <x:v>8</x:v>
      </x:c>
      <x:c r="Q629" s="30">
        <x:f>COUNTIF($P$3:P629,"=3")</x:f>
        <x:v>70</x:v>
      </x:c>
      <x:c r="R629" s="29">
        <x:f>WORKDAY(기본입력!$H$2,Q629-1,공휴일)</x:f>
        <x:v>46028</x:v>
      </x:c>
    </x:row>
    <x:row r="630" spans="1:18">
      <x:c r="A630" s="145" t="str">
        <x:f t="shared" si="58"/>
        <x:v>20260106</x:v>
      </x:c>
      <x:c r="B630" s="8" t="s">
        <x:v>5</x:v>
      </x:c>
      <x:c r="C630" s="8">
        <x:v>1740</x:v>
      </x:c>
      <x:c r="D630" s="7" t="s">
        <x:v>1</x:v>
      </x:c>
      <x:c r="E630" s="8">
        <x:v>1440</x:v>
      </x:c>
      <x:c r="F630" s="8" t="s">
        <x:v>40</x:v>
      </x:c>
      <x:c r="G630" s="15" t="str">
        <x:f>IF(OR(N630="",N630&gt;기본입력!$C$34),"",VLOOKUP(O630,기본입력!$A$9:$F$33,5))</x:f>
        <x:v>양현수_53778</x:v>
      </x:c>
      <x:c r="H630" s="15" t="str">
        <x:f>IF(OR(N630="",N630&gt;기본입력!$C$34),"",기본입력!$C$6)</x:f>
        <x:v>1교육실(실습겸용강의실)_243089</x:v>
      </x:c>
      <x:c r="I630" s="15" t="str">
        <x:f>IF(OR(O630="",N630&gt;기본입력!$C$34),"",VLOOKUP(O630,기본입력!$A$9:$F$33,6,FALSE))</x:f>
        <x:v>빅데이터 분석 및 시각화__6</x:v>
      </x:c>
      <x:c r="J630" s="38" t="str">
        <x:f t="shared" si="60"/>
        <x:v>빅데이터 분석 및 시각화</x:v>
      </x:c>
      <x:c r="K630" s="38" t="str">
        <x:f t="shared" si="61"/>
        <x:v>1교육실(실습겸용강의실)</x:v>
      </x:c>
      <x:c r="L630" s="38" t="str">
        <x:f t="shared" si="62"/>
        <x:v>양현수</x:v>
      </x:c>
      <x:c r="M630" s="63"/>
      <x:c r="N630" s="30">
        <x:f>IF(F630="2","",COUNTIF($F$3:$F630,"=1"))</x:f>
        <x:v>558</x:v>
      </x:c>
      <x:c r="O630" s="30">
        <x:f t="shared" si="57"/>
        <x:v>7</x:v>
      </x:c>
      <x:c r="P630" s="30">
        <x:f t="shared" si="59"/>
        <x:v>0</x:v>
      </x:c>
      <x:c r="Q630" s="30">
        <x:f>COUNTIF($P$3:P630,"=3")</x:f>
        <x:v>70</x:v>
      </x:c>
      <x:c r="R630" s="29">
        <x:f>WORKDAY(기본입력!$H$2,Q630-1,공휴일)</x:f>
        <x:v>46028</x:v>
      </x:c>
    </x:row>
    <x:row r="631" spans="1:18">
      <x:c r="A631" s="145" t="str">
        <x:f t="shared" si="58"/>
        <x:v>20260106</x:v>
      </x:c>
      <x:c r="B631" s="8" t="s">
        <x:v>5</x:v>
      </x:c>
      <x:c r="C631" s="8">
        <x:v>1740</x:v>
      </x:c>
      <x:c r="D631" s="7" t="s">
        <x:v>1</x:v>
      </x:c>
      <x:c r="E631" s="8">
        <x:v>1540</x:v>
      </x:c>
      <x:c r="F631" s="8" t="s">
        <x:v>40</x:v>
      </x:c>
      <x:c r="G631" s="15" t="str">
        <x:f>IF(OR(N631="",N631&gt;기본입력!$C$34),"",VLOOKUP(O631,기본입력!$A$9:$F$33,5))</x:f>
        <x:v>양현수_53778</x:v>
      </x:c>
      <x:c r="H631" s="15" t="str">
        <x:f>IF(OR(N631="",N631&gt;기본입력!$C$34),"",기본입력!$C$6)</x:f>
        <x:v>1교육실(실습겸용강의실)_243089</x:v>
      </x:c>
      <x:c r="I631" s="15" t="str">
        <x:f>IF(OR(O631="",N631&gt;기본입력!$C$34),"",VLOOKUP(O631,기본입력!$A$9:$F$33,6,FALSE))</x:f>
        <x:v>빅데이터 분석 및 시각화__6</x:v>
      </x:c>
      <x:c r="J631" s="38" t="str">
        <x:f t="shared" si="60"/>
        <x:v>빅데이터 분석 및 시각화</x:v>
      </x:c>
      <x:c r="K631" s="38" t="str">
        <x:f t="shared" si="61"/>
        <x:v>1교육실(실습겸용강의실)</x:v>
      </x:c>
      <x:c r="L631" s="38" t="str">
        <x:f t="shared" si="62"/>
        <x:v>양현수</x:v>
      </x:c>
      <x:c r="M631" s="63"/>
      <x:c r="N631" s="30">
        <x:f>IF(F631="2","",COUNTIF($F$3:$F631,"=1"))</x:f>
        <x:v>559</x:v>
      </x:c>
      <x:c r="O631" s="30">
        <x:f t="shared" si="57"/>
        <x:v>7</x:v>
      </x:c>
      <x:c r="P631" s="30">
        <x:f t="shared" si="59"/>
        <x:v>1</x:v>
      </x:c>
      <x:c r="Q631" s="30">
        <x:f>COUNTIF($P$3:P631,"=3")</x:f>
        <x:v>70</x:v>
      </x:c>
      <x:c r="R631" s="29">
        <x:f>WORKDAY(기본입력!$H$2,Q631-1,공휴일)</x:f>
        <x:v>46028</x:v>
      </x:c>
    </x:row>
    <x:row r="632" spans="1:18">
      <x:c r="A632" s="145" t="str">
        <x:f t="shared" si="58"/>
        <x:v>20260106</x:v>
      </x:c>
      <x:c r="B632" s="8" t="s">
        <x:v>5</x:v>
      </x:c>
      <x:c r="C632" s="8">
        <x:v>1740</x:v>
      </x:c>
      <x:c r="D632" s="7" t="s">
        <x:v>1</x:v>
      </x:c>
      <x:c r="E632" s="8">
        <x:v>1640</x:v>
      </x:c>
      <x:c r="F632" s="8" t="s">
        <x:v>40</x:v>
      </x:c>
      <x:c r="G632" s="15" t="str">
        <x:f>IF(OR(N632="",N632&gt;기본입력!$C$34),"",VLOOKUP(O632,기본입력!$A$9:$F$33,5))</x:f>
        <x:v>양현수_53778</x:v>
      </x:c>
      <x:c r="H632" s="15" t="str">
        <x:f>IF(OR(N632="",N632&gt;기본입력!$C$34),"",기본입력!$C$6)</x:f>
        <x:v>1교육실(실습겸용강의실)_243089</x:v>
      </x:c>
      <x:c r="I632" s="15" t="str">
        <x:f>IF(OR(O632="",N632&gt;기본입력!$C$34),"",VLOOKUP(O632,기본입력!$A$9:$F$33,6,FALSE))</x:f>
        <x:v>빅데이터 분석 및 시각화__6</x:v>
      </x:c>
      <x:c r="J632" s="38" t="str">
        <x:f t="shared" si="60"/>
        <x:v>빅데이터 분석 및 시각화</x:v>
      </x:c>
      <x:c r="K632" s="38" t="str">
        <x:f t="shared" si="61"/>
        <x:v>1교육실(실습겸용강의실)</x:v>
      </x:c>
      <x:c r="L632" s="38" t="str">
        <x:f t="shared" si="62"/>
        <x:v>양현수</x:v>
      </x:c>
      <x:c r="M632" s="63"/>
      <x:c r="N632" s="30">
        <x:f>IF(F632="2","",COUNTIF($F$3:$F632,"=1"))</x:f>
        <x:v>560</x:v>
      </x:c>
      <x:c r="O632" s="30">
        <x:f t="shared" si="57"/>
        <x:v>7</x:v>
      </x:c>
      <x:c r="P632" s="30">
        <x:f t="shared" si="59"/>
        <x:v>2</x:v>
      </x:c>
      <x:c r="Q632" s="30">
        <x:f>COUNTIF($P$3:P632,"=3")</x:f>
        <x:v>70</x:v>
      </x:c>
      <x:c r="R632" s="29">
        <x:f>WORKDAY(기본입력!$H$2,Q632-1,공휴일)</x:f>
        <x:v>46028</x:v>
      </x:c>
    </x:row>
    <x:row r="633" spans="1:18">
      <x:c r="A633" s="144" t="str">
        <x:f t="shared" si="58"/>
        <x:v>20260107</x:v>
      </x:c>
      <x:c r="B633" s="6" t="s">
        <x:v>5</x:v>
      </x:c>
      <x:c r="C633" s="6">
        <x:v>1740</x:v>
      </x:c>
      <x:c r="D633" s="5" t="s">
        <x:v>1</x:v>
      </x:c>
      <x:c r="E633" s="6" t="s">
        <x:v>5</x:v>
      </x:c>
      <x:c r="F633" s="6" t="s">
        <x:v>40</x:v>
      </x:c>
      <x:c r="G633" s="14" t="str">
        <x:f>IF(OR(N633="",N633&gt;기본입력!$C$34),"",VLOOKUP(O633,기본입력!$A$9:$F$33,5))</x:f>
        <x:v>양현수_53778</x:v>
      </x:c>
      <x:c r="H633" s="14" t="str">
        <x:f>IF(OR(N633="",N633&gt;기본입력!$C$34),"",기본입력!$C$6)</x:f>
        <x:v>1교육실(실습겸용강의실)_243089</x:v>
      </x:c>
      <x:c r="I633" s="14" t="str">
        <x:f>IF(OR(O633="",N633&gt;기본입력!$C$34),"",VLOOKUP(O633,기본입력!$A$9:$F$33,6,FALSE))</x:f>
        <x:v>빅데이터 분석 및 시각화__6</x:v>
      </x:c>
      <x:c r="J633" s="38" t="str">
        <x:f t="shared" si="60"/>
        <x:v>빅데이터 분석 및 시각화</x:v>
      </x:c>
      <x:c r="K633" s="38" t="str">
        <x:f t="shared" si="61"/>
        <x:v>1교육실(실습겸용강의실)</x:v>
      </x:c>
      <x:c r="L633" s="38" t="str">
        <x:f t="shared" si="62"/>
        <x:v>양현수</x:v>
      </x:c>
      <x:c r="M633" s="63"/>
      <x:c r="N633" s="30">
        <x:f>IF(F633="2","",COUNTIF($F$3:$F633,"=1"))</x:f>
        <x:v>561</x:v>
      </x:c>
      <x:c r="O633" s="30">
        <x:f t="shared" si="57"/>
        <x:v>7</x:v>
      </x:c>
      <x:c r="P633" s="30">
        <x:f t="shared" si="59"/>
        <x:v>3</x:v>
      </x:c>
      <x:c r="Q633" s="30">
        <x:f>COUNTIF($P$3:P633,"=3")</x:f>
        <x:v>71</x:v>
      </x:c>
      <x:c r="R633" s="29">
        <x:f>WORKDAY(기본입력!$H$2,Q633-1,공휴일)</x:f>
        <x:v>46029</x:v>
      </x:c>
    </x:row>
    <x:row r="634" spans="1:18">
      <x:c r="A634" s="144" t="str">
        <x:f t="shared" si="58"/>
        <x:v>20260107</x:v>
      </x:c>
      <x:c r="B634" s="6" t="s">
        <x:v>5</x:v>
      </x:c>
      <x:c r="C634" s="6">
        <x:v>1740</x:v>
      </x:c>
      <x:c r="D634" s="5" t="s">
        <x:v>1</x:v>
      </x:c>
      <x:c r="E634" s="6" t="s">
        <x:v>117</x:v>
      </x:c>
      <x:c r="F634" s="6" t="s">
        <x:v>40</x:v>
      </x:c>
      <x:c r="G634" s="14" t="str">
        <x:f>IF(OR(N634="",N634&gt;기본입력!$C$34),"",VLOOKUP(O634,기본입력!$A$9:$F$33,5))</x:f>
        <x:v>양현수_53778</x:v>
      </x:c>
      <x:c r="H634" s="14" t="str">
        <x:f>IF(OR(N634="",N634&gt;기본입력!$C$34),"",기본입력!$C$6)</x:f>
        <x:v>1교육실(실습겸용강의실)_243089</x:v>
      </x:c>
      <x:c r="I634" s="14" t="str">
        <x:f>IF(OR(O634="",N634&gt;기본입력!$C$34),"",VLOOKUP(O634,기본입력!$A$9:$F$33,6,FALSE))</x:f>
        <x:v>빅데이터 분석 및 시각화__6</x:v>
      </x:c>
      <x:c r="J634" s="38" t="str">
        <x:f t="shared" si="60"/>
        <x:v>빅데이터 분석 및 시각화</x:v>
      </x:c>
      <x:c r="K634" s="38" t="str">
        <x:f t="shared" si="61"/>
        <x:v>1교육실(실습겸용강의실)</x:v>
      </x:c>
      <x:c r="L634" s="38" t="str">
        <x:f t="shared" si="62"/>
        <x:v>양현수</x:v>
      </x:c>
      <x:c r="M634" s="63"/>
      <x:c r="N634" s="30">
        <x:f>IF(F634="2","",COUNTIF($F$3:$F634,"=1"))</x:f>
        <x:v>562</x:v>
      </x:c>
      <x:c r="O634" s="30">
        <x:f t="shared" si="57"/>
        <x:v>7</x:v>
      </x:c>
      <x:c r="P634" s="30">
        <x:f t="shared" si="59"/>
        <x:v>4</x:v>
      </x:c>
      <x:c r="Q634" s="30">
        <x:f>COUNTIF($P$3:P634,"=3")</x:f>
        <x:v>71</x:v>
      </x:c>
      <x:c r="R634" s="29">
        <x:f>WORKDAY(기본입력!$H$2,Q634-1,공휴일)</x:f>
        <x:v>46029</x:v>
      </x:c>
    </x:row>
    <x:row r="635" spans="1:18">
      <x:c r="A635" s="144" t="str">
        <x:f t="shared" si="58"/>
        <x:v>20260107</x:v>
      </x:c>
      <x:c r="B635" s="6" t="s">
        <x:v>5</x:v>
      </x:c>
      <x:c r="C635" s="6">
        <x:v>1740</x:v>
      </x:c>
      <x:c r="D635" s="5" t="s">
        <x:v>1</x:v>
      </x:c>
      <x:c r="E635" s="6" t="s">
        <x:v>87</x:v>
      </x:c>
      <x:c r="F635" s="6" t="s">
        <x:v>40</x:v>
      </x:c>
      <x:c r="G635" s="14" t="str">
        <x:f>IF(OR(N635="",N635&gt;기본입력!$C$34),"",VLOOKUP(O635,기본입력!$A$9:$F$33,5))</x:f>
        <x:v>양현수_53778</x:v>
      </x:c>
      <x:c r="H635" s="14" t="str">
        <x:f>IF(OR(N635="",N635&gt;기본입력!$C$34),"",기본입력!$C$6)</x:f>
        <x:v>1교육실(실습겸용강의실)_243089</x:v>
      </x:c>
      <x:c r="I635" s="14" t="str">
        <x:f>IF(OR(O635="",N635&gt;기본입력!$C$34),"",VLOOKUP(O635,기본입력!$A$9:$F$33,6,FALSE))</x:f>
        <x:v>빅데이터 분석 및 시각화__6</x:v>
      </x:c>
      <x:c r="J635" s="38" t="str">
        <x:f t="shared" si="60"/>
        <x:v>빅데이터 분석 및 시각화</x:v>
      </x:c>
      <x:c r="K635" s="38" t="str">
        <x:f t="shared" si="61"/>
        <x:v>1교육실(실습겸용강의실)</x:v>
      </x:c>
      <x:c r="L635" s="38" t="str">
        <x:f t="shared" si="62"/>
        <x:v>양현수</x:v>
      </x:c>
      <x:c r="M635" s="63"/>
      <x:c r="N635" s="30">
        <x:f>IF(F635="2","",COUNTIF($F$3:$F635,"=1"))</x:f>
        <x:v>563</x:v>
      </x:c>
      <x:c r="O635" s="30">
        <x:f t="shared" si="57"/>
        <x:v>7</x:v>
      </x:c>
      <x:c r="P635" s="30">
        <x:f t="shared" si="59"/>
        <x:v>5</x:v>
      </x:c>
      <x:c r="Q635" s="30">
        <x:f>COUNTIF($P$3:P635,"=3")</x:f>
        <x:v>71</x:v>
      </x:c>
      <x:c r="R635" s="29">
        <x:f>WORKDAY(기본입력!$H$2,Q635-1,공휴일)</x:f>
        <x:v>46029</x:v>
      </x:c>
    </x:row>
    <x:row r="636" spans="1:18">
      <x:c r="A636" s="144" t="str">
        <x:f t="shared" si="58"/>
        <x:v>20260107</x:v>
      </x:c>
      <x:c r="B636" s="6" t="s">
        <x:v>5</x:v>
      </x:c>
      <x:c r="C636" s="6">
        <x:v>1740</x:v>
      </x:c>
      <x:c r="D636" s="5" t="s">
        <x:v>1</x:v>
      </x:c>
      <x:c r="E636" s="6" t="s">
        <x:v>88</x:v>
      </x:c>
      <x:c r="F636" s="6" t="s">
        <x:v>40</x:v>
      </x:c>
      <x:c r="G636" s="14" t="str">
        <x:f>IF(OR(N636="",N636&gt;기본입력!$C$34),"",VLOOKUP(O636,기본입력!$A$9:$F$33,5))</x:f>
        <x:v>양현수_53778</x:v>
      </x:c>
      <x:c r="H636" s="14" t="str">
        <x:f>IF(OR(N636="",N636&gt;기본입력!$C$34),"",기본입력!$C$6)</x:f>
        <x:v>1교육실(실습겸용강의실)_243089</x:v>
      </x:c>
      <x:c r="I636" s="14" t="str">
        <x:f>IF(OR(O636="",N636&gt;기본입력!$C$34),"",VLOOKUP(O636,기본입력!$A$9:$F$33,6,FALSE))</x:f>
        <x:v>빅데이터 분석 및 시각화__6</x:v>
      </x:c>
      <x:c r="J636" s="38" t="str">
        <x:f t="shared" si="60"/>
        <x:v>빅데이터 분석 및 시각화</x:v>
      </x:c>
      <x:c r="K636" s="38" t="str">
        <x:f t="shared" si="61"/>
        <x:v>1교육실(실습겸용강의실)</x:v>
      </x:c>
      <x:c r="L636" s="38" t="str">
        <x:f t="shared" si="62"/>
        <x:v>양현수</x:v>
      </x:c>
      <x:c r="M636" s="63"/>
      <x:c r="N636" s="30">
        <x:f>IF(F636="2","",COUNTIF($F$3:$F636,"=1"))</x:f>
        <x:v>564</x:v>
      </x:c>
      <x:c r="O636" s="30">
        <x:f t="shared" si="57"/>
        <x:v>7</x:v>
      </x:c>
      <x:c r="P636" s="30">
        <x:f t="shared" si="59"/>
        <x:v>6</x:v>
      </x:c>
      <x:c r="Q636" s="30">
        <x:f>COUNTIF($P$3:P636,"=3")</x:f>
        <x:v>71</x:v>
      </x:c>
      <x:c r="R636" s="29">
        <x:f>WORKDAY(기본입력!$H$2,Q636-1,공휴일)</x:f>
        <x:v>46029</x:v>
      </x:c>
    </x:row>
    <x:row r="637" spans="1:18">
      <x:c r="A637" s="144" t="str">
        <x:f t="shared" si="58"/>
        <x:v>20260107</x:v>
      </x:c>
      <x:c r="B637" s="6" t="s">
        <x:v>5</x:v>
      </x:c>
      <x:c r="C637" s="6">
        <x:v>1740</x:v>
      </x:c>
      <x:c r="D637" s="5" t="s">
        <x:v>1</x:v>
      </x:c>
      <x:c r="E637" s="6" t="s">
        <x:v>0</x:v>
      </x:c>
      <x:c r="F637" s="6" t="s">
        <x:v>41</x:v>
      </x:c>
      <x:c r="G637" s="14" t="str">
        <x:f>IF(OR(N637="",N637&gt;기본입력!$C$34),"",VLOOKUP(O637,기본입력!$A$9:$F$33,5))</x:f>
        <x:v/>
      </x:c>
      <x:c r="H637" s="14" t="str">
        <x:f>IF(OR(N637="",N637&gt;기본입력!$C$34),"",기본입력!$C$6)</x:f>
        <x:v/>
      </x:c>
      <x:c r="I637" s="14" t="str">
        <x:f>IF(OR(O637="",N637&gt;기본입력!$C$34),"",VLOOKUP(O637,기본입력!$A$9:$F$33,6,FALSE))</x:f>
        <x:v/>
      </x:c>
      <x:c r="J637" s="38" t="str">
        <x:f t="shared" si="60"/>
        <x:v/>
      </x:c>
      <x:c r="K637" s="38" t="str">
        <x:f t="shared" si="61"/>
        <x:v/>
      </x:c>
      <x:c r="L637" s="38" t="str">
        <x:f t="shared" si="62"/>
        <x:v/>
      </x:c>
      <x:c r="M637" s="63"/>
      <x:c r="N637" s="30" t="str">
        <x:f>IF(F637="2","",COUNTIF($F$3:$F637,"=1"))</x:f>
        <x:v/>
      </x:c>
      <x:c r="O637" s="30" t="str">
        <x:f t="shared" si="57"/>
        <x:v/>
      </x:c>
      <x:c r="P637" s="30">
        <x:f t="shared" si="59"/>
        <x:v>7</x:v>
      </x:c>
      <x:c r="Q637" s="30">
        <x:f>COUNTIF($P$3:P637,"=3")</x:f>
        <x:v>71</x:v>
      </x:c>
      <x:c r="R637" s="29">
        <x:f>WORKDAY(기본입력!$H$2,Q637-1,공휴일)</x:f>
        <x:v>46029</x:v>
      </x:c>
    </x:row>
    <x:row r="638" spans="1:18">
      <x:c r="A638" s="144" t="str">
        <x:f t="shared" si="58"/>
        <x:v>20260107</x:v>
      </x:c>
      <x:c r="B638" s="6" t="s">
        <x:v>5</x:v>
      </x:c>
      <x:c r="C638" s="6">
        <x:v>1740</x:v>
      </x:c>
      <x:c r="D638" s="5" t="s">
        <x:v>1</x:v>
      </x:c>
      <x:c r="E638" s="6">
        <x:v>1340</x:v>
      </x:c>
      <x:c r="F638" s="6" t="s">
        <x:v>40</x:v>
      </x:c>
      <x:c r="G638" s="14" t="str">
        <x:f>IF(OR(N638="",N638&gt;기본입력!$C$34),"",VLOOKUP(O638,기본입력!$A$9:$F$33,5))</x:f>
        <x:v>양현수_53778</x:v>
      </x:c>
      <x:c r="H638" s="14" t="str">
        <x:f>IF(OR(N638="",N638&gt;기본입력!$C$34),"",기본입력!$C$6)</x:f>
        <x:v>1교육실(실습겸용강의실)_243089</x:v>
      </x:c>
      <x:c r="I638" s="14" t="str">
        <x:f>IF(OR(O638="",N638&gt;기본입력!$C$34),"",VLOOKUP(O638,기본입력!$A$9:$F$33,6,FALSE))</x:f>
        <x:v>빅데이터 시스템 구축__7</x:v>
      </x:c>
      <x:c r="J638" s="38" t="str">
        <x:f t="shared" si="60"/>
        <x:v>빅데이터 시스템 구축</x:v>
      </x:c>
      <x:c r="K638" s="38" t="str">
        <x:f t="shared" si="61"/>
        <x:v>1교육실(실습겸용강의실)</x:v>
      </x:c>
      <x:c r="L638" s="38" t="str">
        <x:f t="shared" si="62"/>
        <x:v>양현수</x:v>
      </x:c>
      <x:c r="M638" s="63"/>
      <x:c r="N638" s="30">
        <x:f>IF(F638="2","",COUNTIF($F$3:$F638,"=1"))</x:f>
        <x:v>565</x:v>
      </x:c>
      <x:c r="O638" s="30">
        <x:f t="shared" si="57"/>
        <x:v>8</x:v>
      </x:c>
      <x:c r="P638" s="30">
        <x:f t="shared" si="59"/>
        <x:v>8</x:v>
      </x:c>
      <x:c r="Q638" s="30">
        <x:f>COUNTIF($P$3:P638,"=3")</x:f>
        <x:v>71</x:v>
      </x:c>
      <x:c r="R638" s="29">
        <x:f>WORKDAY(기본입력!$H$2,Q638-1,공휴일)</x:f>
        <x:v>46029</x:v>
      </x:c>
    </x:row>
    <x:row r="639" spans="1:18">
      <x:c r="A639" s="144" t="str">
        <x:f t="shared" si="58"/>
        <x:v>20260107</x:v>
      </x:c>
      <x:c r="B639" s="6" t="s">
        <x:v>5</x:v>
      </x:c>
      <x:c r="C639" s="6">
        <x:v>1740</x:v>
      </x:c>
      <x:c r="D639" s="5" t="s">
        <x:v>1</x:v>
      </x:c>
      <x:c r="E639" s="6">
        <x:v>1440</x:v>
      </x:c>
      <x:c r="F639" s="6" t="s">
        <x:v>40</x:v>
      </x:c>
      <x:c r="G639" s="14" t="str">
        <x:f>IF(OR(N639="",N639&gt;기본입력!$C$34),"",VLOOKUP(O639,기본입력!$A$9:$F$33,5))</x:f>
        <x:v>양현수_53778</x:v>
      </x:c>
      <x:c r="H639" s="14" t="str">
        <x:f>IF(OR(N639="",N639&gt;기본입력!$C$34),"",기본입력!$C$6)</x:f>
        <x:v>1교육실(실습겸용강의실)_243089</x:v>
      </x:c>
      <x:c r="I639" s="14" t="str">
        <x:f>IF(OR(O639="",N639&gt;기본입력!$C$34),"",VLOOKUP(O639,기본입력!$A$9:$F$33,6,FALSE))</x:f>
        <x:v>빅데이터 시스템 구축__7</x:v>
      </x:c>
      <x:c r="J639" s="38" t="str">
        <x:f t="shared" si="60"/>
        <x:v>빅데이터 시스템 구축</x:v>
      </x:c>
      <x:c r="K639" s="38" t="str">
        <x:f t="shared" si="61"/>
        <x:v>1교육실(실습겸용강의실)</x:v>
      </x:c>
      <x:c r="L639" s="38" t="str">
        <x:f t="shared" si="62"/>
        <x:v>양현수</x:v>
      </x:c>
      <x:c r="M639" s="63"/>
      <x:c r="N639" s="30">
        <x:f>IF(F639="2","",COUNTIF($F$3:$F639,"=1"))</x:f>
        <x:v>566</x:v>
      </x:c>
      <x:c r="O639" s="30">
        <x:f t="shared" si="57"/>
        <x:v>8</x:v>
      </x:c>
      <x:c r="P639" s="30">
        <x:f t="shared" si="59"/>
        <x:v>0</x:v>
      </x:c>
      <x:c r="Q639" s="30">
        <x:f>COUNTIF($P$3:P639,"=3")</x:f>
        <x:v>71</x:v>
      </x:c>
      <x:c r="R639" s="29">
        <x:f>WORKDAY(기본입력!$H$2,Q639-1,공휴일)</x:f>
        <x:v>46029</x:v>
      </x:c>
    </x:row>
    <x:row r="640" spans="1:18">
      <x:c r="A640" s="144" t="str">
        <x:f t="shared" si="58"/>
        <x:v>20260107</x:v>
      </x:c>
      <x:c r="B640" s="6" t="s">
        <x:v>5</x:v>
      </x:c>
      <x:c r="C640" s="6">
        <x:v>1740</x:v>
      </x:c>
      <x:c r="D640" s="5" t="s">
        <x:v>1</x:v>
      </x:c>
      <x:c r="E640" s="6">
        <x:v>1540</x:v>
      </x:c>
      <x:c r="F640" s="6" t="s">
        <x:v>40</x:v>
      </x:c>
      <x:c r="G640" s="14" t="str">
        <x:f>IF(OR(N640="",N640&gt;기본입력!$C$34),"",VLOOKUP(O640,기본입력!$A$9:$F$33,5))</x:f>
        <x:v>양현수_53778</x:v>
      </x:c>
      <x:c r="H640" s="14" t="str">
        <x:f>IF(OR(N640="",N640&gt;기본입력!$C$34),"",기본입력!$C$6)</x:f>
        <x:v>1교육실(실습겸용강의실)_243089</x:v>
      </x:c>
      <x:c r="I640" s="14" t="str">
        <x:f>IF(OR(O640="",N640&gt;기본입력!$C$34),"",VLOOKUP(O640,기본입력!$A$9:$F$33,6,FALSE))</x:f>
        <x:v>빅데이터 시스템 구축__7</x:v>
      </x:c>
      <x:c r="J640" s="38" t="str">
        <x:f t="shared" si="60"/>
        <x:v>빅데이터 시스템 구축</x:v>
      </x:c>
      <x:c r="K640" s="38" t="str">
        <x:f t="shared" si="61"/>
        <x:v>1교육실(실습겸용강의실)</x:v>
      </x:c>
      <x:c r="L640" s="38" t="str">
        <x:f t="shared" si="62"/>
        <x:v>양현수</x:v>
      </x:c>
      <x:c r="M640" s="63"/>
      <x:c r="N640" s="30">
        <x:f>IF(F640="2","",COUNTIF($F$3:$F640,"=1"))</x:f>
        <x:v>567</x:v>
      </x:c>
      <x:c r="O640" s="30">
        <x:f t="shared" si="57"/>
        <x:v>8</x:v>
      </x:c>
      <x:c r="P640" s="30">
        <x:f t="shared" si="59"/>
        <x:v>1</x:v>
      </x:c>
      <x:c r="Q640" s="30">
        <x:f>COUNTIF($P$3:P640,"=3")</x:f>
        <x:v>71</x:v>
      </x:c>
      <x:c r="R640" s="29">
        <x:f>WORKDAY(기본입력!$H$2,Q640-1,공휴일)</x:f>
        <x:v>46029</x:v>
      </x:c>
    </x:row>
    <x:row r="641" spans="1:18">
      <x:c r="A641" s="144" t="str">
        <x:f t="shared" si="58"/>
        <x:v>20260107</x:v>
      </x:c>
      <x:c r="B641" s="6" t="s">
        <x:v>5</x:v>
      </x:c>
      <x:c r="C641" s="6">
        <x:v>1740</x:v>
      </x:c>
      <x:c r="D641" s="5" t="s">
        <x:v>1</x:v>
      </x:c>
      <x:c r="E641" s="6">
        <x:v>1640</x:v>
      </x:c>
      <x:c r="F641" s="6" t="s">
        <x:v>40</x:v>
      </x:c>
      <x:c r="G641" s="14" t="str">
        <x:f>IF(OR(N641="",N641&gt;기본입력!$C$34),"",VLOOKUP(O641,기본입력!$A$9:$F$33,5))</x:f>
        <x:v>양현수_53778</x:v>
      </x:c>
      <x:c r="H641" s="14" t="str">
        <x:f>IF(OR(N641="",N641&gt;기본입력!$C$34),"",기본입력!$C$6)</x:f>
        <x:v>1교육실(실습겸용강의실)_243089</x:v>
      </x:c>
      <x:c r="I641" s="14" t="str">
        <x:f>IF(OR(O641="",N641&gt;기본입력!$C$34),"",VLOOKUP(O641,기본입력!$A$9:$F$33,6,FALSE))</x:f>
        <x:v>빅데이터 시스템 구축__7</x:v>
      </x:c>
      <x:c r="J641" s="38" t="str">
        <x:f t="shared" si="60"/>
        <x:v>빅데이터 시스템 구축</x:v>
      </x:c>
      <x:c r="K641" s="38" t="str">
        <x:f t="shared" si="61"/>
        <x:v>1교육실(실습겸용강의실)</x:v>
      </x:c>
      <x:c r="L641" s="38" t="str">
        <x:f t="shared" si="62"/>
        <x:v>양현수</x:v>
      </x:c>
      <x:c r="M641" s="63"/>
      <x:c r="N641" s="30">
        <x:f>IF(F641="2","",COUNTIF($F$3:$F641,"=1"))</x:f>
        <x:v>568</x:v>
      </x:c>
      <x:c r="O641" s="30">
        <x:f t="shared" si="57"/>
        <x:v>8</x:v>
      </x:c>
      <x:c r="P641" s="30">
        <x:f t="shared" si="59"/>
        <x:v>2</x:v>
      </x:c>
      <x:c r="Q641" s="30">
        <x:f>COUNTIF($P$3:P641,"=3")</x:f>
        <x:v>71</x:v>
      </x:c>
      <x:c r="R641" s="29">
        <x:f>WORKDAY(기본입력!$H$2,Q641-1,공휴일)</x:f>
        <x:v>46029</x:v>
      </x:c>
    </x:row>
    <x:row r="642" spans="1:18">
      <x:c r="A642" s="145" t="str">
        <x:f t="shared" si="58"/>
        <x:v>20260108</x:v>
      </x:c>
      <x:c r="B642" s="8" t="s">
        <x:v>5</x:v>
      </x:c>
      <x:c r="C642" s="8">
        <x:v>1740</x:v>
      </x:c>
      <x:c r="D642" s="7" t="s">
        <x:v>1</x:v>
      </x:c>
      <x:c r="E642" s="8" t="s">
        <x:v>5</x:v>
      </x:c>
      <x:c r="F642" s="8" t="s">
        <x:v>40</x:v>
      </x:c>
      <x:c r="G642" s="15" t="str">
        <x:f>IF(OR(N642="",N642&gt;기본입력!$C$34),"",VLOOKUP(O642,기본입력!$A$9:$F$33,5))</x:f>
        <x:v>양현수_53778</x:v>
      </x:c>
      <x:c r="H642" s="15" t="str">
        <x:f>IF(OR(N642="",N642&gt;기본입력!$C$34),"",기본입력!$C$6)</x:f>
        <x:v>1교육실(실습겸용강의실)_243089</x:v>
      </x:c>
      <x:c r="I642" s="15" t="str">
        <x:f>IF(OR(O642="",N642&gt;기본입력!$C$34),"",VLOOKUP(O642,기본입력!$A$9:$F$33,6,FALSE))</x:f>
        <x:v>빅데이터 시스템 구축__7</x:v>
      </x:c>
      <x:c r="J642" s="38" t="str">
        <x:f t="shared" si="60"/>
        <x:v>빅데이터 시스템 구축</x:v>
      </x:c>
      <x:c r="K642" s="38" t="str">
        <x:f t="shared" si="61"/>
        <x:v>1교육실(실습겸용강의실)</x:v>
      </x:c>
      <x:c r="L642" s="38" t="str">
        <x:f t="shared" si="62"/>
        <x:v>양현수</x:v>
      </x:c>
      <x:c r="M642" s="63"/>
      <x:c r="N642" s="30">
        <x:f>IF(F642="2","",COUNTIF($F$3:$F642,"=1"))</x:f>
        <x:v>569</x:v>
      </x:c>
      <x:c r="O642" s="30">
        <x:f t="shared" si="57"/>
        <x:v>8</x:v>
      </x:c>
      <x:c r="P642" s="30">
        <x:f t="shared" si="59"/>
        <x:v>3</x:v>
      </x:c>
      <x:c r="Q642" s="30">
        <x:f>COUNTIF($P$3:P642,"=3")</x:f>
        <x:v>72</x:v>
      </x:c>
      <x:c r="R642" s="29">
        <x:f>WORKDAY(기본입력!$H$2,Q642-1,공휴일)</x:f>
        <x:v>46030</x:v>
      </x:c>
    </x:row>
    <x:row r="643" spans="1:18">
      <x:c r="A643" s="145" t="str">
        <x:f t="shared" si="58"/>
        <x:v>20260108</x:v>
      </x:c>
      <x:c r="B643" s="8" t="s">
        <x:v>5</x:v>
      </x:c>
      <x:c r="C643" s="8">
        <x:v>1740</x:v>
      </x:c>
      <x:c r="D643" s="7" t="s">
        <x:v>1</x:v>
      </x:c>
      <x:c r="E643" s="8" t="s">
        <x:v>117</x:v>
      </x:c>
      <x:c r="F643" s="8" t="s">
        <x:v>40</x:v>
      </x:c>
      <x:c r="G643" s="15" t="str">
        <x:f>IF(OR(N643="",N643&gt;기본입력!$C$34),"",VLOOKUP(O643,기본입력!$A$9:$F$33,5))</x:f>
        <x:v>양현수_53778</x:v>
      </x:c>
      <x:c r="H643" s="15" t="str">
        <x:f>IF(OR(N643="",N643&gt;기본입력!$C$34),"",기본입력!$C$6)</x:f>
        <x:v>1교육실(실습겸용강의실)_243089</x:v>
      </x:c>
      <x:c r="I643" s="15" t="str">
        <x:f>IF(OR(O643="",N643&gt;기본입력!$C$34),"",VLOOKUP(O643,기본입력!$A$9:$F$33,6,FALSE))</x:f>
        <x:v>빅데이터 시스템 구축__7</x:v>
      </x:c>
      <x:c r="J643" s="38" t="str">
        <x:f t="shared" si="60"/>
        <x:v>빅데이터 시스템 구축</x:v>
      </x:c>
      <x:c r="K643" s="38" t="str">
        <x:f t="shared" si="61"/>
        <x:v>1교육실(실습겸용강의실)</x:v>
      </x:c>
      <x:c r="L643" s="38" t="str">
        <x:f t="shared" si="62"/>
        <x:v>양현수</x:v>
      </x:c>
      <x:c r="M643" s="63"/>
      <x:c r="N643" s="30">
        <x:f>IF(F643="2","",COUNTIF($F$3:$F643,"=1"))</x:f>
        <x:v>570</x:v>
      </x:c>
      <x:c r="O643" s="30">
        <x:f t="shared" ref="O643:O706" si="63">IF(F643="2","",IF(N643&lt;=누적시수1,1,IF(N643&lt;=누적시수2,2,IF(N643&lt;=누적시수3,3,IF(N643&lt;=누적시수4,4,IF(N643&lt;=누적시수5,5,IF(N643&lt;=누적시수6,6,IF(N643&lt;=누적시수7,7,IF(N643&lt;=누적시수8,8,IF(N643&lt;=누적시수9,9,IF(N643&lt;=누적시수10,10,IF(N643&lt;=누적시수11,11,IF(N643&lt;=누적시수12,12,IF(N643&lt;=누적시수13,13,IF(N643&lt;=누적시수14,14,IF(N643&lt;=누적시수15,15,IF(N643&lt;=누적시수16,16,IF(N643&lt;=누적시수17,17,IF(N643&lt;=누적시수18,18,IF(N643&lt;=누적시수19,19,IF(N643&lt;=누적시수20,20,IF(N643&lt;=누적시수21,21,IF(N643&lt;=누적시수22,22,IF(N643&lt;=누적시수23,23,IF(N643&lt;=누적시수24,24,IF(N643&lt;=누적시수25,25,0))))))))))))))))))))))))))</x:f>
        <x:v>8</x:v>
      </x:c>
      <x:c r="P643" s="30">
        <x:f t="shared" si="59"/>
        <x:v>4</x:v>
      </x:c>
      <x:c r="Q643" s="30">
        <x:f>COUNTIF($P$3:P643,"=3")</x:f>
        <x:v>72</x:v>
      </x:c>
      <x:c r="R643" s="29">
        <x:f>WORKDAY(기본입력!$H$2,Q643-1,공휴일)</x:f>
        <x:v>46030</x:v>
      </x:c>
    </x:row>
    <x:row r="644" spans="1:18">
      <x:c r="A644" s="145" t="str">
        <x:f t="shared" ref="A644:A707" si="64">TEXT(R644,"yyyymmdd")</x:f>
        <x:v>20260108</x:v>
      </x:c>
      <x:c r="B644" s="8" t="s">
        <x:v>5</x:v>
      </x:c>
      <x:c r="C644" s="8">
        <x:v>1740</x:v>
      </x:c>
      <x:c r="D644" s="7" t="s">
        <x:v>1</x:v>
      </x:c>
      <x:c r="E644" s="8" t="s">
        <x:v>87</x:v>
      </x:c>
      <x:c r="F644" s="8" t="s">
        <x:v>40</x:v>
      </x:c>
      <x:c r="G644" s="15" t="str">
        <x:f>IF(OR(N644="",N644&gt;기본입력!$C$34),"",VLOOKUP(O644,기본입력!$A$9:$F$33,5))</x:f>
        <x:v>양현수_53778</x:v>
      </x:c>
      <x:c r="H644" s="15" t="str">
        <x:f>IF(OR(N644="",N644&gt;기본입력!$C$34),"",기본입력!$C$6)</x:f>
        <x:v>1교육실(실습겸용강의실)_243089</x:v>
      </x:c>
      <x:c r="I644" s="15" t="str">
        <x:f>IF(OR(O644="",N644&gt;기본입력!$C$34),"",VLOOKUP(O644,기본입력!$A$9:$F$33,6,FALSE))</x:f>
        <x:v>빅데이터 시스템 구축__7</x:v>
      </x:c>
      <x:c r="J644" s="38" t="str">
        <x:f t="shared" si="60"/>
        <x:v>빅데이터 시스템 구축</x:v>
      </x:c>
      <x:c r="K644" s="38" t="str">
        <x:f t="shared" si="61"/>
        <x:v>1교육실(실습겸용강의실)</x:v>
      </x:c>
      <x:c r="L644" s="38" t="str">
        <x:f t="shared" si="62"/>
        <x:v>양현수</x:v>
      </x:c>
      <x:c r="M644" s="63"/>
      <x:c r="N644" s="30">
        <x:f>IF(F644="2","",COUNTIF($F$3:$F644,"=1"))</x:f>
        <x:v>571</x:v>
      </x:c>
      <x:c r="O644" s="30">
        <x:f t="shared" si="63"/>
        <x:v>8</x:v>
      </x:c>
      <x:c r="P644" s="30">
        <x:f t="shared" ref="P644:P707" si="65">MOD(ROW(),9)</x:f>
        <x:v>5</x:v>
      </x:c>
      <x:c r="Q644" s="30">
        <x:f>COUNTIF($P$3:P644,"=3")</x:f>
        <x:v>72</x:v>
      </x:c>
      <x:c r="R644" s="29">
        <x:f>WORKDAY(기본입력!$H$2,Q644-1,공휴일)</x:f>
        <x:v>46030</x:v>
      </x:c>
    </x:row>
    <x:row r="645" spans="1:18">
      <x:c r="A645" s="145" t="str">
        <x:f t="shared" si="64"/>
        <x:v>20260108</x:v>
      </x:c>
      <x:c r="B645" s="8" t="s">
        <x:v>5</x:v>
      </x:c>
      <x:c r="C645" s="8">
        <x:v>1740</x:v>
      </x:c>
      <x:c r="D645" s="7" t="s">
        <x:v>1</x:v>
      </x:c>
      <x:c r="E645" s="8" t="s">
        <x:v>88</x:v>
      </x:c>
      <x:c r="F645" s="8" t="s">
        <x:v>40</x:v>
      </x:c>
      <x:c r="G645" s="15" t="str">
        <x:f>IF(OR(N645="",N645&gt;기본입력!$C$34),"",VLOOKUP(O645,기본입력!$A$9:$F$33,5))</x:f>
        <x:v>양현수_53778</x:v>
      </x:c>
      <x:c r="H645" s="15" t="str">
        <x:f>IF(OR(N645="",N645&gt;기본입력!$C$34),"",기본입력!$C$6)</x:f>
        <x:v>1교육실(실습겸용강의실)_243089</x:v>
      </x:c>
      <x:c r="I645" s="15" t="str">
        <x:f>IF(OR(O645="",N645&gt;기본입력!$C$34),"",VLOOKUP(O645,기본입력!$A$9:$F$33,6,FALSE))</x:f>
        <x:v>빅데이터 시스템 구축__7</x:v>
      </x:c>
      <x:c r="J645" s="38" t="str">
        <x:f t="shared" si="60"/>
        <x:v>빅데이터 시스템 구축</x:v>
      </x:c>
      <x:c r="K645" s="38" t="str">
        <x:f t="shared" si="61"/>
        <x:v>1교육실(실습겸용강의실)</x:v>
      </x:c>
      <x:c r="L645" s="38" t="str">
        <x:f t="shared" si="62"/>
        <x:v>양현수</x:v>
      </x:c>
      <x:c r="M645" s="63"/>
      <x:c r="N645" s="30">
        <x:f>IF(F645="2","",COUNTIF($F$3:$F645,"=1"))</x:f>
        <x:v>572</x:v>
      </x:c>
      <x:c r="O645" s="30">
        <x:f t="shared" si="63"/>
        <x:v>8</x:v>
      </x:c>
      <x:c r="P645" s="30">
        <x:f t="shared" si="65"/>
        <x:v>6</x:v>
      </x:c>
      <x:c r="Q645" s="30">
        <x:f>COUNTIF($P$3:P645,"=3")</x:f>
        <x:v>72</x:v>
      </x:c>
      <x:c r="R645" s="29">
        <x:f>WORKDAY(기본입력!$H$2,Q645-1,공휴일)</x:f>
        <x:v>46030</x:v>
      </x:c>
    </x:row>
    <x:row r="646" spans="1:18">
      <x:c r="A646" s="145" t="str">
        <x:f t="shared" si="64"/>
        <x:v>20260108</x:v>
      </x:c>
      <x:c r="B646" s="8" t="s">
        <x:v>5</x:v>
      </x:c>
      <x:c r="C646" s="8">
        <x:v>1740</x:v>
      </x:c>
      <x:c r="D646" s="7" t="s">
        <x:v>1</x:v>
      </x:c>
      <x:c r="E646" s="8" t="s">
        <x:v>0</x:v>
      </x:c>
      <x:c r="F646" s="8" t="s">
        <x:v>41</x:v>
      </x:c>
      <x:c r="G646" s="15" t="str">
        <x:f>IF(OR(N646="",N646&gt;기본입력!$C$34),"",VLOOKUP(O646,기본입력!$A$9:$F$33,5))</x:f>
        <x:v/>
      </x:c>
      <x:c r="H646" s="15" t="str">
        <x:f>IF(OR(N646="",N646&gt;기본입력!$C$34),"",기본입력!$C$6)</x:f>
        <x:v/>
      </x:c>
      <x:c r="I646" s="15" t="str">
        <x:f>IF(OR(O646="",N646&gt;기본입력!$C$34),"",VLOOKUP(O646,기본입력!$A$9:$F$33,6,FALSE))</x:f>
        <x:v/>
      </x:c>
      <x:c r="J646" s="38" t="str">
        <x:f t="shared" si="60"/>
        <x:v/>
      </x:c>
      <x:c r="K646" s="38" t="str">
        <x:f t="shared" si="61"/>
        <x:v/>
      </x:c>
      <x:c r="L646" s="38" t="str">
        <x:f t="shared" si="62"/>
        <x:v/>
      </x:c>
      <x:c r="M646" s="63"/>
      <x:c r="N646" s="30" t="str">
        <x:f>IF(F646="2","",COUNTIF($F$3:$F646,"=1"))</x:f>
        <x:v/>
      </x:c>
      <x:c r="O646" s="30" t="str">
        <x:f t="shared" si="63"/>
        <x:v/>
      </x:c>
      <x:c r="P646" s="30">
        <x:f t="shared" si="65"/>
        <x:v>7</x:v>
      </x:c>
      <x:c r="Q646" s="30">
        <x:f>COUNTIF($P$3:P646,"=3")</x:f>
        <x:v>72</x:v>
      </x:c>
      <x:c r="R646" s="29">
        <x:f>WORKDAY(기본입력!$H$2,Q646-1,공휴일)</x:f>
        <x:v>46030</x:v>
      </x:c>
    </x:row>
    <x:row r="647" spans="1:18">
      <x:c r="A647" s="145" t="str">
        <x:f t="shared" si="64"/>
        <x:v>20260108</x:v>
      </x:c>
      <x:c r="B647" s="8" t="s">
        <x:v>5</x:v>
      </x:c>
      <x:c r="C647" s="8">
        <x:v>1740</x:v>
      </x:c>
      <x:c r="D647" s="7" t="s">
        <x:v>1</x:v>
      </x:c>
      <x:c r="E647" s="8">
        <x:v>1340</x:v>
      </x:c>
      <x:c r="F647" s="8" t="s">
        <x:v>40</x:v>
      </x:c>
      <x:c r="G647" s="15" t="str">
        <x:f>IF(OR(N647="",N647&gt;기본입력!$C$34),"",VLOOKUP(O647,기본입력!$A$9:$F$33,5))</x:f>
        <x:v>양현수_53778</x:v>
      </x:c>
      <x:c r="H647" s="15" t="str">
        <x:f>IF(OR(N647="",N647&gt;기본입력!$C$34),"",기본입력!$C$6)</x:f>
        <x:v>1교육실(실습겸용강의실)_243089</x:v>
      </x:c>
      <x:c r="I647" s="15" t="str">
        <x:f>IF(OR(O647="",N647&gt;기본입력!$C$34),"",VLOOKUP(O647,기본입력!$A$9:$F$33,6,FALSE))</x:f>
        <x:v>빅데이터 시스템 구축__7</x:v>
      </x:c>
      <x:c r="J647" s="38" t="str">
        <x:f t="shared" si="60"/>
        <x:v>빅데이터 시스템 구축</x:v>
      </x:c>
      <x:c r="K647" s="38" t="str">
        <x:f t="shared" si="61"/>
        <x:v>1교육실(실습겸용강의실)</x:v>
      </x:c>
      <x:c r="L647" s="38" t="str">
        <x:f t="shared" si="62"/>
        <x:v>양현수</x:v>
      </x:c>
      <x:c r="M647" s="63"/>
      <x:c r="N647" s="30">
        <x:f>IF(F647="2","",COUNTIF($F$3:$F647,"=1"))</x:f>
        <x:v>573</x:v>
      </x:c>
      <x:c r="O647" s="30">
        <x:f t="shared" si="63"/>
        <x:v>8</x:v>
      </x:c>
      <x:c r="P647" s="30">
        <x:f t="shared" si="65"/>
        <x:v>8</x:v>
      </x:c>
      <x:c r="Q647" s="30">
        <x:f>COUNTIF($P$3:P647,"=3")</x:f>
        <x:v>72</x:v>
      </x:c>
      <x:c r="R647" s="29">
        <x:f>WORKDAY(기본입력!$H$2,Q647-1,공휴일)</x:f>
        <x:v>46030</x:v>
      </x:c>
    </x:row>
    <x:row r="648" spans="1:18">
      <x:c r="A648" s="145" t="str">
        <x:f t="shared" si="64"/>
        <x:v>20260108</x:v>
      </x:c>
      <x:c r="B648" s="8" t="s">
        <x:v>5</x:v>
      </x:c>
      <x:c r="C648" s="8">
        <x:v>1740</x:v>
      </x:c>
      <x:c r="D648" s="7" t="s">
        <x:v>1</x:v>
      </x:c>
      <x:c r="E648" s="8">
        <x:v>1440</x:v>
      </x:c>
      <x:c r="F648" s="8" t="s">
        <x:v>40</x:v>
      </x:c>
      <x:c r="G648" s="15" t="str">
        <x:f>IF(OR(N648="",N648&gt;기본입력!$C$34),"",VLOOKUP(O648,기본입력!$A$9:$F$33,5))</x:f>
        <x:v>양현수_53778</x:v>
      </x:c>
      <x:c r="H648" s="15" t="str">
        <x:f>IF(OR(N648="",N648&gt;기본입력!$C$34),"",기본입력!$C$6)</x:f>
        <x:v>1교육실(실습겸용강의실)_243089</x:v>
      </x:c>
      <x:c r="I648" s="15" t="str">
        <x:f>IF(OR(O648="",N648&gt;기본입력!$C$34),"",VLOOKUP(O648,기본입력!$A$9:$F$33,6,FALSE))</x:f>
        <x:v>빅데이터 시스템 구축__7</x:v>
      </x:c>
      <x:c r="J648" s="38" t="str">
        <x:f t="shared" si="60"/>
        <x:v>빅데이터 시스템 구축</x:v>
      </x:c>
      <x:c r="K648" s="38" t="str">
        <x:f t="shared" si="61"/>
        <x:v>1교육실(실습겸용강의실)</x:v>
      </x:c>
      <x:c r="L648" s="38" t="str">
        <x:f t="shared" si="62"/>
        <x:v>양현수</x:v>
      </x:c>
      <x:c r="M648" s="63"/>
      <x:c r="N648" s="30">
        <x:f>IF(F648="2","",COUNTIF($F$3:$F648,"=1"))</x:f>
        <x:v>574</x:v>
      </x:c>
      <x:c r="O648" s="30">
        <x:f t="shared" si="63"/>
        <x:v>8</x:v>
      </x:c>
      <x:c r="P648" s="30">
        <x:f t="shared" si="65"/>
        <x:v>0</x:v>
      </x:c>
      <x:c r="Q648" s="30">
        <x:f>COUNTIF($P$3:P648,"=3")</x:f>
        <x:v>72</x:v>
      </x:c>
      <x:c r="R648" s="29">
        <x:f>WORKDAY(기본입력!$H$2,Q648-1,공휴일)</x:f>
        <x:v>46030</x:v>
      </x:c>
    </x:row>
    <x:row r="649" spans="1:18">
      <x:c r="A649" s="145" t="str">
        <x:f t="shared" si="64"/>
        <x:v>20260108</x:v>
      </x:c>
      <x:c r="B649" s="8" t="s">
        <x:v>5</x:v>
      </x:c>
      <x:c r="C649" s="8">
        <x:v>1740</x:v>
      </x:c>
      <x:c r="D649" s="7" t="s">
        <x:v>1</x:v>
      </x:c>
      <x:c r="E649" s="8">
        <x:v>1540</x:v>
      </x:c>
      <x:c r="F649" s="8" t="s">
        <x:v>40</x:v>
      </x:c>
      <x:c r="G649" s="15" t="str">
        <x:f>IF(OR(N649="",N649&gt;기본입력!$C$34),"",VLOOKUP(O649,기본입력!$A$9:$F$33,5))</x:f>
        <x:v>양현수_53778</x:v>
      </x:c>
      <x:c r="H649" s="15" t="str">
        <x:f>IF(OR(N649="",N649&gt;기본입력!$C$34),"",기본입력!$C$6)</x:f>
        <x:v>1교육실(실습겸용강의실)_243089</x:v>
      </x:c>
      <x:c r="I649" s="15" t="str">
        <x:f>IF(OR(O649="",N649&gt;기본입력!$C$34),"",VLOOKUP(O649,기본입력!$A$9:$F$33,6,FALSE))</x:f>
        <x:v>빅데이터 시스템 구축__7</x:v>
      </x:c>
      <x:c r="J649" s="38" t="str">
        <x:f t="shared" si="60"/>
        <x:v>빅데이터 시스템 구축</x:v>
      </x:c>
      <x:c r="K649" s="38" t="str">
        <x:f t="shared" si="61"/>
        <x:v>1교육실(실습겸용강의실)</x:v>
      </x:c>
      <x:c r="L649" s="38" t="str">
        <x:f t="shared" si="62"/>
        <x:v>양현수</x:v>
      </x:c>
      <x:c r="M649" s="63"/>
      <x:c r="N649" s="30">
        <x:f>IF(F649="2","",COUNTIF($F$3:$F649,"=1"))</x:f>
        <x:v>575</x:v>
      </x:c>
      <x:c r="O649" s="30">
        <x:f t="shared" si="63"/>
        <x:v>8</x:v>
      </x:c>
      <x:c r="P649" s="30">
        <x:f t="shared" si="65"/>
        <x:v>1</x:v>
      </x:c>
      <x:c r="Q649" s="30">
        <x:f>COUNTIF($P$3:P649,"=3")</x:f>
        <x:v>72</x:v>
      </x:c>
      <x:c r="R649" s="29">
        <x:f>WORKDAY(기본입력!$H$2,Q649-1,공휴일)</x:f>
        <x:v>46030</x:v>
      </x:c>
    </x:row>
    <x:row r="650" spans="1:18">
      <x:c r="A650" s="145" t="str">
        <x:f t="shared" si="64"/>
        <x:v>20260108</x:v>
      </x:c>
      <x:c r="B650" s="8" t="s">
        <x:v>5</x:v>
      </x:c>
      <x:c r="C650" s="8">
        <x:v>1740</x:v>
      </x:c>
      <x:c r="D650" s="7" t="s">
        <x:v>1</x:v>
      </x:c>
      <x:c r="E650" s="8">
        <x:v>1640</x:v>
      </x:c>
      <x:c r="F650" s="8" t="s">
        <x:v>40</x:v>
      </x:c>
      <x:c r="G650" s="15" t="str">
        <x:f>IF(OR(N650="",N650&gt;기본입력!$C$34),"",VLOOKUP(O650,기본입력!$A$9:$F$33,5))</x:f>
        <x:v>양현수_53778</x:v>
      </x:c>
      <x:c r="H650" s="15" t="str">
        <x:f>IF(OR(N650="",N650&gt;기본입력!$C$34),"",기본입력!$C$6)</x:f>
        <x:v>1교육실(실습겸용강의실)_243089</x:v>
      </x:c>
      <x:c r="I650" s="15" t="str">
        <x:f>IF(OR(O650="",N650&gt;기본입력!$C$34),"",VLOOKUP(O650,기본입력!$A$9:$F$33,6,FALSE))</x:f>
        <x:v>빅데이터 시스템 구축__7</x:v>
      </x:c>
      <x:c r="J650" s="38" t="str">
        <x:f t="shared" si="60"/>
        <x:v>빅데이터 시스템 구축</x:v>
      </x:c>
      <x:c r="K650" s="38" t="str">
        <x:f t="shared" si="61"/>
        <x:v>1교육실(실습겸용강의실)</x:v>
      </x:c>
      <x:c r="L650" s="38" t="str">
        <x:f t="shared" si="62"/>
        <x:v>양현수</x:v>
      </x:c>
      <x:c r="M650" s="63"/>
      <x:c r="N650" s="30">
        <x:f>IF(F650="2","",COUNTIF($F$3:$F650,"=1"))</x:f>
        <x:v>576</x:v>
      </x:c>
      <x:c r="O650" s="30">
        <x:f t="shared" si="63"/>
        <x:v>8</x:v>
      </x:c>
      <x:c r="P650" s="30">
        <x:f t="shared" si="65"/>
        <x:v>2</x:v>
      </x:c>
      <x:c r="Q650" s="30">
        <x:f>COUNTIF($P$3:P650,"=3")</x:f>
        <x:v>72</x:v>
      </x:c>
      <x:c r="R650" s="29">
        <x:f>WORKDAY(기본입력!$H$2,Q650-1,공휴일)</x:f>
        <x:v>46030</x:v>
      </x:c>
    </x:row>
    <x:row r="651" spans="1:18">
      <x:c r="A651" s="144" t="str">
        <x:f t="shared" si="64"/>
        <x:v>20260109</x:v>
      </x:c>
      <x:c r="B651" s="6" t="s">
        <x:v>5</x:v>
      </x:c>
      <x:c r="C651" s="6">
        <x:v>1740</x:v>
      </x:c>
      <x:c r="D651" s="5" t="s">
        <x:v>1</x:v>
      </x:c>
      <x:c r="E651" s="6" t="s">
        <x:v>5</x:v>
      </x:c>
      <x:c r="F651" s="6" t="s">
        <x:v>40</x:v>
      </x:c>
      <x:c r="G651" s="14" t="str">
        <x:f>IF(OR(N651="",N651&gt;기본입력!$C$34),"",VLOOKUP(O651,기본입력!$A$9:$F$33,5))</x:f>
        <x:v>양현수_53778</x:v>
      </x:c>
      <x:c r="H651" s="14" t="str">
        <x:f>IF(OR(N651="",N651&gt;기본입력!$C$34),"",기본입력!$C$6)</x:f>
        <x:v>1교육실(실습겸용강의실)_243089</x:v>
      </x:c>
      <x:c r="I651" s="14" t="str">
        <x:f>IF(OR(O651="",N651&gt;기본입력!$C$34),"",VLOOKUP(O651,기본입력!$A$9:$F$33,6,FALSE))</x:f>
        <x:v>빅데이터 시스템 구축__7</x:v>
      </x:c>
      <x:c r="J651" s="38" t="str">
        <x:f t="shared" si="60"/>
        <x:v>빅데이터 시스템 구축</x:v>
      </x:c>
      <x:c r="K651" s="38" t="str">
        <x:f t="shared" si="61"/>
        <x:v>1교육실(실습겸용강의실)</x:v>
      </x:c>
      <x:c r="L651" s="38" t="str">
        <x:f t="shared" si="62"/>
        <x:v>양현수</x:v>
      </x:c>
      <x:c r="M651" s="63"/>
      <x:c r="N651" s="30">
        <x:f>IF(F651="2","",COUNTIF($F$3:$F651,"=1"))</x:f>
        <x:v>577</x:v>
      </x:c>
      <x:c r="O651" s="30">
        <x:f t="shared" si="63"/>
        <x:v>8</x:v>
      </x:c>
      <x:c r="P651" s="30">
        <x:f t="shared" si="65"/>
        <x:v>3</x:v>
      </x:c>
      <x:c r="Q651" s="30">
        <x:f>COUNTIF($P$3:P651,"=3")</x:f>
        <x:v>73</x:v>
      </x:c>
      <x:c r="R651" s="29">
        <x:f>WORKDAY(기본입력!$H$2,Q651-1,공휴일)</x:f>
        <x:v>46031</x:v>
      </x:c>
    </x:row>
    <x:row r="652" spans="1:18">
      <x:c r="A652" s="144" t="str">
        <x:f t="shared" si="64"/>
        <x:v>20260109</x:v>
      </x:c>
      <x:c r="B652" s="6" t="s">
        <x:v>5</x:v>
      </x:c>
      <x:c r="C652" s="6">
        <x:v>1740</x:v>
      </x:c>
      <x:c r="D652" s="5" t="s">
        <x:v>1</x:v>
      </x:c>
      <x:c r="E652" s="6" t="s">
        <x:v>117</x:v>
      </x:c>
      <x:c r="F652" s="6" t="s">
        <x:v>40</x:v>
      </x:c>
      <x:c r="G652" s="14" t="str">
        <x:f>IF(OR(N652="",N652&gt;기본입력!$C$34),"",VLOOKUP(O652,기본입력!$A$9:$F$33,5))</x:f>
        <x:v>양현수_53778</x:v>
      </x:c>
      <x:c r="H652" s="14" t="str">
        <x:f>IF(OR(N652="",N652&gt;기본입력!$C$34),"",기본입력!$C$6)</x:f>
        <x:v>1교육실(실습겸용강의실)_243089</x:v>
      </x:c>
      <x:c r="I652" s="14" t="str">
        <x:f>IF(OR(O652="",N652&gt;기본입력!$C$34),"",VLOOKUP(O652,기본입력!$A$9:$F$33,6,FALSE))</x:f>
        <x:v>빅데이터 시스템 구축__7</x:v>
      </x:c>
      <x:c r="J652" s="38" t="str">
        <x:f t="shared" si="60"/>
        <x:v>빅데이터 시스템 구축</x:v>
      </x:c>
      <x:c r="K652" s="38" t="str">
        <x:f t="shared" si="61"/>
        <x:v>1교육실(실습겸용강의실)</x:v>
      </x:c>
      <x:c r="L652" s="38" t="str">
        <x:f t="shared" si="62"/>
        <x:v>양현수</x:v>
      </x:c>
      <x:c r="M652" s="63"/>
      <x:c r="N652" s="30">
        <x:f>IF(F652="2","",COUNTIF($F$3:$F652,"=1"))</x:f>
        <x:v>578</x:v>
      </x:c>
      <x:c r="O652" s="30">
        <x:f t="shared" si="63"/>
        <x:v>8</x:v>
      </x:c>
      <x:c r="P652" s="30">
        <x:f t="shared" si="65"/>
        <x:v>4</x:v>
      </x:c>
      <x:c r="Q652" s="30">
        <x:f>COUNTIF($P$3:P652,"=3")</x:f>
        <x:v>73</x:v>
      </x:c>
      <x:c r="R652" s="29">
        <x:f>WORKDAY(기본입력!$H$2,Q652-1,공휴일)</x:f>
        <x:v>46031</x:v>
      </x:c>
    </x:row>
    <x:row r="653" spans="1:18">
      <x:c r="A653" s="144" t="str">
        <x:f t="shared" si="64"/>
        <x:v>20260109</x:v>
      </x:c>
      <x:c r="B653" s="6" t="s">
        <x:v>5</x:v>
      </x:c>
      <x:c r="C653" s="6">
        <x:v>1740</x:v>
      </x:c>
      <x:c r="D653" s="5" t="s">
        <x:v>1</x:v>
      </x:c>
      <x:c r="E653" s="6" t="s">
        <x:v>87</x:v>
      </x:c>
      <x:c r="F653" s="6" t="s">
        <x:v>40</x:v>
      </x:c>
      <x:c r="G653" s="14" t="str">
        <x:f>IF(OR(N653="",N653&gt;기본입력!$C$34),"",VLOOKUP(O653,기본입력!$A$9:$F$33,5))</x:f>
        <x:v>양현수_53778</x:v>
      </x:c>
      <x:c r="H653" s="14" t="str">
        <x:f>IF(OR(N653="",N653&gt;기본입력!$C$34),"",기본입력!$C$6)</x:f>
        <x:v>1교육실(실습겸용강의실)_243089</x:v>
      </x:c>
      <x:c r="I653" s="14" t="str">
        <x:f>IF(OR(O653="",N653&gt;기본입력!$C$34),"",VLOOKUP(O653,기본입력!$A$9:$F$33,6,FALSE))</x:f>
        <x:v>빅데이터 시스템 구축__7</x:v>
      </x:c>
      <x:c r="J653" s="38" t="str">
        <x:f t="shared" si="60"/>
        <x:v>빅데이터 시스템 구축</x:v>
      </x:c>
      <x:c r="K653" s="38" t="str">
        <x:f t="shared" si="61"/>
        <x:v>1교육실(실습겸용강의실)</x:v>
      </x:c>
      <x:c r="L653" s="38" t="str">
        <x:f t="shared" si="62"/>
        <x:v>양현수</x:v>
      </x:c>
      <x:c r="M653" s="63"/>
      <x:c r="N653" s="30">
        <x:f>IF(F653="2","",COUNTIF($F$3:$F653,"=1"))</x:f>
        <x:v>579</x:v>
      </x:c>
      <x:c r="O653" s="30">
        <x:f t="shared" si="63"/>
        <x:v>8</x:v>
      </x:c>
      <x:c r="P653" s="30">
        <x:f t="shared" si="65"/>
        <x:v>5</x:v>
      </x:c>
      <x:c r="Q653" s="30">
        <x:f>COUNTIF($P$3:P653,"=3")</x:f>
        <x:v>73</x:v>
      </x:c>
      <x:c r="R653" s="29">
        <x:f>WORKDAY(기본입력!$H$2,Q653-1,공휴일)</x:f>
        <x:v>46031</x:v>
      </x:c>
    </x:row>
    <x:row r="654" spans="1:18">
      <x:c r="A654" s="144" t="str">
        <x:f t="shared" si="64"/>
        <x:v>20260109</x:v>
      </x:c>
      <x:c r="B654" s="6" t="s">
        <x:v>5</x:v>
      </x:c>
      <x:c r="C654" s="6">
        <x:v>1740</x:v>
      </x:c>
      <x:c r="D654" s="5" t="s">
        <x:v>1</x:v>
      </x:c>
      <x:c r="E654" s="6" t="s">
        <x:v>88</x:v>
      </x:c>
      <x:c r="F654" s="6" t="s">
        <x:v>40</x:v>
      </x:c>
      <x:c r="G654" s="14" t="str">
        <x:f>IF(OR(N654="",N654&gt;기본입력!$C$34),"",VLOOKUP(O654,기본입력!$A$9:$F$33,5))</x:f>
        <x:v>양현수_53778</x:v>
      </x:c>
      <x:c r="H654" s="14" t="str">
        <x:f>IF(OR(N654="",N654&gt;기본입력!$C$34),"",기본입력!$C$6)</x:f>
        <x:v>1교육실(실습겸용강의실)_243089</x:v>
      </x:c>
      <x:c r="I654" s="14" t="str">
        <x:f>IF(OR(O654="",N654&gt;기본입력!$C$34),"",VLOOKUP(O654,기본입력!$A$9:$F$33,6,FALSE))</x:f>
        <x:v>빅데이터 시스템 구축__7</x:v>
      </x:c>
      <x:c r="J654" s="38" t="str">
        <x:f t="shared" si="60"/>
        <x:v>빅데이터 시스템 구축</x:v>
      </x:c>
      <x:c r="K654" s="38" t="str">
        <x:f t="shared" si="61"/>
        <x:v>1교육실(실습겸용강의실)</x:v>
      </x:c>
      <x:c r="L654" s="38" t="str">
        <x:f t="shared" si="62"/>
        <x:v>양현수</x:v>
      </x:c>
      <x:c r="M654" s="63"/>
      <x:c r="N654" s="30">
        <x:f>IF(F654="2","",COUNTIF($F$3:$F654,"=1"))</x:f>
        <x:v>580</x:v>
      </x:c>
      <x:c r="O654" s="30">
        <x:f t="shared" si="63"/>
        <x:v>8</x:v>
      </x:c>
      <x:c r="P654" s="30">
        <x:f t="shared" si="65"/>
        <x:v>6</x:v>
      </x:c>
      <x:c r="Q654" s="30">
        <x:f>COUNTIF($P$3:P654,"=3")</x:f>
        <x:v>73</x:v>
      </x:c>
      <x:c r="R654" s="29">
        <x:f>WORKDAY(기본입력!$H$2,Q654-1,공휴일)</x:f>
        <x:v>46031</x:v>
      </x:c>
    </x:row>
    <x:row r="655" spans="1:18">
      <x:c r="A655" s="144" t="str">
        <x:f t="shared" si="64"/>
        <x:v>20260109</x:v>
      </x:c>
      <x:c r="B655" s="6" t="s">
        <x:v>5</x:v>
      </x:c>
      <x:c r="C655" s="6">
        <x:v>1740</x:v>
      </x:c>
      <x:c r="D655" s="5" t="s">
        <x:v>1</x:v>
      </x:c>
      <x:c r="E655" s="6" t="s">
        <x:v>0</x:v>
      </x:c>
      <x:c r="F655" s="6" t="s">
        <x:v>41</x:v>
      </x:c>
      <x:c r="G655" s="14" t="str">
        <x:f>IF(OR(N655="",N655&gt;기본입력!$C$34),"",VLOOKUP(O655,기본입력!$A$9:$F$33,5))</x:f>
        <x:v/>
      </x:c>
      <x:c r="H655" s="14" t="str">
        <x:f>IF(OR(N655="",N655&gt;기본입력!$C$34),"",기본입력!$C$6)</x:f>
        <x:v/>
      </x:c>
      <x:c r="I655" s="14" t="str">
        <x:f>IF(OR(O655="",N655&gt;기본입력!$C$34),"",VLOOKUP(O655,기본입력!$A$9:$F$33,6,FALSE))</x:f>
        <x:v/>
      </x:c>
      <x:c r="J655" s="38" t="str">
        <x:f t="shared" si="60"/>
        <x:v/>
      </x:c>
      <x:c r="K655" s="38" t="str">
        <x:f t="shared" si="61"/>
        <x:v/>
      </x:c>
      <x:c r="L655" s="38" t="str">
        <x:f t="shared" si="62"/>
        <x:v/>
      </x:c>
      <x:c r="M655" s="63"/>
      <x:c r="N655" s="30" t="str">
        <x:f>IF(F655="2","",COUNTIF($F$3:$F655,"=1"))</x:f>
        <x:v/>
      </x:c>
      <x:c r="O655" s="30" t="str">
        <x:f t="shared" si="63"/>
        <x:v/>
      </x:c>
      <x:c r="P655" s="30">
        <x:f t="shared" si="65"/>
        <x:v>7</x:v>
      </x:c>
      <x:c r="Q655" s="30">
        <x:f>COUNTIF($P$3:P655,"=3")</x:f>
        <x:v>73</x:v>
      </x:c>
      <x:c r="R655" s="29">
        <x:f>WORKDAY(기본입력!$H$2,Q655-1,공휴일)</x:f>
        <x:v>46031</x:v>
      </x:c>
    </x:row>
    <x:row r="656" spans="1:18">
      <x:c r="A656" s="144" t="str">
        <x:f t="shared" si="64"/>
        <x:v>20260109</x:v>
      </x:c>
      <x:c r="B656" s="6" t="s">
        <x:v>5</x:v>
      </x:c>
      <x:c r="C656" s="6">
        <x:v>1740</x:v>
      </x:c>
      <x:c r="D656" s="5" t="s">
        <x:v>1</x:v>
      </x:c>
      <x:c r="E656" s="6">
        <x:v>1340</x:v>
      </x:c>
      <x:c r="F656" s="6" t="s">
        <x:v>40</x:v>
      </x:c>
      <x:c r="G656" s="14" t="str">
        <x:f>IF(OR(N656="",N656&gt;기본입력!$C$34),"",VLOOKUP(O656,기본입력!$A$9:$F$33,5))</x:f>
        <x:v>양현수_53778</x:v>
      </x:c>
      <x:c r="H656" s="14" t="str">
        <x:f>IF(OR(N656="",N656&gt;기본입력!$C$34),"",기본입력!$C$6)</x:f>
        <x:v>1교육실(실습겸용강의실)_243089</x:v>
      </x:c>
      <x:c r="I656" s="14" t="str">
        <x:f>IF(OR(O656="",N656&gt;기본입력!$C$34),"",VLOOKUP(O656,기본입력!$A$9:$F$33,6,FALSE))</x:f>
        <x:v>빅데이터 시스템 구축__7</x:v>
      </x:c>
      <x:c r="J656" s="38" t="str">
        <x:f t="shared" si="60"/>
        <x:v>빅데이터 시스템 구축</x:v>
      </x:c>
      <x:c r="K656" s="38" t="str">
        <x:f t="shared" si="61"/>
        <x:v>1교육실(실습겸용강의실)</x:v>
      </x:c>
      <x:c r="L656" s="38" t="str">
        <x:f t="shared" si="62"/>
        <x:v>양현수</x:v>
      </x:c>
      <x:c r="M656" s="63"/>
      <x:c r="N656" s="30">
        <x:f>IF(F656="2","",COUNTIF($F$3:$F656,"=1"))</x:f>
        <x:v>581</x:v>
      </x:c>
      <x:c r="O656" s="30">
        <x:f t="shared" si="63"/>
        <x:v>8</x:v>
      </x:c>
      <x:c r="P656" s="30">
        <x:f t="shared" si="65"/>
        <x:v>8</x:v>
      </x:c>
      <x:c r="Q656" s="30">
        <x:f>COUNTIF($P$3:P656,"=3")</x:f>
        <x:v>73</x:v>
      </x:c>
      <x:c r="R656" s="29">
        <x:f>WORKDAY(기본입력!$H$2,Q656-1,공휴일)</x:f>
        <x:v>46031</x:v>
      </x:c>
    </x:row>
    <x:row r="657" spans="1:18">
      <x:c r="A657" s="144" t="str">
        <x:f t="shared" si="64"/>
        <x:v>20260109</x:v>
      </x:c>
      <x:c r="B657" s="6" t="s">
        <x:v>5</x:v>
      </x:c>
      <x:c r="C657" s="6">
        <x:v>1740</x:v>
      </x:c>
      <x:c r="D657" s="5" t="s">
        <x:v>1</x:v>
      </x:c>
      <x:c r="E657" s="6">
        <x:v>1440</x:v>
      </x:c>
      <x:c r="F657" s="6" t="s">
        <x:v>40</x:v>
      </x:c>
      <x:c r="G657" s="14" t="str">
        <x:f>IF(OR(N657="",N657&gt;기본입력!$C$34),"",VLOOKUP(O657,기본입력!$A$9:$F$33,5))</x:f>
        <x:v>양현수_53778</x:v>
      </x:c>
      <x:c r="H657" s="14" t="str">
        <x:f>IF(OR(N657="",N657&gt;기본입력!$C$34),"",기본입력!$C$6)</x:f>
        <x:v>1교육실(실습겸용강의실)_243089</x:v>
      </x:c>
      <x:c r="I657" s="14" t="str">
        <x:f>IF(OR(O657="",N657&gt;기본입력!$C$34),"",VLOOKUP(O657,기본입력!$A$9:$F$33,6,FALSE))</x:f>
        <x:v>빅데이터 시스템 구축__7</x:v>
      </x:c>
      <x:c r="J657" s="38" t="str">
        <x:f t="shared" si="60"/>
        <x:v>빅데이터 시스템 구축</x:v>
      </x:c>
      <x:c r="K657" s="38" t="str">
        <x:f t="shared" si="61"/>
        <x:v>1교육실(실습겸용강의실)</x:v>
      </x:c>
      <x:c r="L657" s="38" t="str">
        <x:f t="shared" si="62"/>
        <x:v>양현수</x:v>
      </x:c>
      <x:c r="M657" s="63"/>
      <x:c r="N657" s="30">
        <x:f>IF(F657="2","",COUNTIF($F$3:$F657,"=1"))</x:f>
        <x:v>582</x:v>
      </x:c>
      <x:c r="O657" s="30">
        <x:f t="shared" si="63"/>
        <x:v>8</x:v>
      </x:c>
      <x:c r="P657" s="30">
        <x:f t="shared" si="65"/>
        <x:v>0</x:v>
      </x:c>
      <x:c r="Q657" s="30">
        <x:f>COUNTIF($P$3:P657,"=3")</x:f>
        <x:v>73</x:v>
      </x:c>
      <x:c r="R657" s="29">
        <x:f>WORKDAY(기본입력!$H$2,Q657-1,공휴일)</x:f>
        <x:v>46031</x:v>
      </x:c>
    </x:row>
    <x:row r="658" spans="1:18">
      <x:c r="A658" s="144" t="str">
        <x:f t="shared" si="64"/>
        <x:v>20260109</x:v>
      </x:c>
      <x:c r="B658" s="6" t="s">
        <x:v>5</x:v>
      </x:c>
      <x:c r="C658" s="6">
        <x:v>1740</x:v>
      </x:c>
      <x:c r="D658" s="5" t="s">
        <x:v>1</x:v>
      </x:c>
      <x:c r="E658" s="6">
        <x:v>1540</x:v>
      </x:c>
      <x:c r="F658" s="6" t="s">
        <x:v>40</x:v>
      </x:c>
      <x:c r="G658" s="14" t="str">
        <x:f>IF(OR(N658="",N658&gt;기본입력!$C$34),"",VLOOKUP(O658,기본입력!$A$9:$F$33,5))</x:f>
        <x:v>양현수_53778</x:v>
      </x:c>
      <x:c r="H658" s="14" t="str">
        <x:f>IF(OR(N658="",N658&gt;기본입력!$C$34),"",기본입력!$C$6)</x:f>
        <x:v>1교육실(실습겸용강의실)_243089</x:v>
      </x:c>
      <x:c r="I658" s="14" t="str">
        <x:f>IF(OR(O658="",N658&gt;기본입력!$C$34),"",VLOOKUP(O658,기본입력!$A$9:$F$33,6,FALSE))</x:f>
        <x:v>빅데이터 시스템 구축__7</x:v>
      </x:c>
      <x:c r="J658" s="38" t="str">
        <x:f t="shared" si="60"/>
        <x:v>빅데이터 시스템 구축</x:v>
      </x:c>
      <x:c r="K658" s="38" t="str">
        <x:f t="shared" si="61"/>
        <x:v>1교육실(실습겸용강의실)</x:v>
      </x:c>
      <x:c r="L658" s="38" t="str">
        <x:f t="shared" si="62"/>
        <x:v>양현수</x:v>
      </x:c>
      <x:c r="M658" s="63"/>
      <x:c r="N658" s="30">
        <x:f>IF(F658="2","",COUNTIF($F$3:$F658,"=1"))</x:f>
        <x:v>583</x:v>
      </x:c>
      <x:c r="O658" s="30">
        <x:f t="shared" si="63"/>
        <x:v>8</x:v>
      </x:c>
      <x:c r="P658" s="30">
        <x:f t="shared" si="65"/>
        <x:v>1</x:v>
      </x:c>
      <x:c r="Q658" s="30">
        <x:f>COUNTIF($P$3:P658,"=3")</x:f>
        <x:v>73</x:v>
      </x:c>
      <x:c r="R658" s="29">
        <x:f>WORKDAY(기본입력!$H$2,Q658-1,공휴일)</x:f>
        <x:v>46031</x:v>
      </x:c>
    </x:row>
    <x:row r="659" spans="1:18">
      <x:c r="A659" s="144" t="str">
        <x:f t="shared" si="64"/>
        <x:v>20260109</x:v>
      </x:c>
      <x:c r="B659" s="6" t="s">
        <x:v>5</x:v>
      </x:c>
      <x:c r="C659" s="6">
        <x:v>1740</x:v>
      </x:c>
      <x:c r="D659" s="5" t="s">
        <x:v>1</x:v>
      </x:c>
      <x:c r="E659" s="6">
        <x:v>1640</x:v>
      </x:c>
      <x:c r="F659" s="6" t="s">
        <x:v>40</x:v>
      </x:c>
      <x:c r="G659" s="14" t="str">
        <x:f>IF(OR(N659="",N659&gt;기본입력!$C$34),"",VLOOKUP(O659,기본입력!$A$9:$F$33,5))</x:f>
        <x:v>양현수_53778</x:v>
      </x:c>
      <x:c r="H659" s="14" t="str">
        <x:f>IF(OR(N659="",N659&gt;기본입력!$C$34),"",기본입력!$C$6)</x:f>
        <x:v>1교육실(실습겸용강의실)_243089</x:v>
      </x:c>
      <x:c r="I659" s="14" t="str">
        <x:f>IF(OR(O659="",N659&gt;기본입력!$C$34),"",VLOOKUP(O659,기본입력!$A$9:$F$33,6,FALSE))</x:f>
        <x:v>빅데이터 시스템 구축__7</x:v>
      </x:c>
      <x:c r="J659" s="38" t="str">
        <x:f t="shared" si="60"/>
        <x:v>빅데이터 시스템 구축</x:v>
      </x:c>
      <x:c r="K659" s="38" t="str">
        <x:f t="shared" si="61"/>
        <x:v>1교육실(실습겸용강의실)</x:v>
      </x:c>
      <x:c r="L659" s="38" t="str">
        <x:f t="shared" si="62"/>
        <x:v>양현수</x:v>
      </x:c>
      <x:c r="M659" s="63"/>
      <x:c r="N659" s="30">
        <x:f>IF(F659="2","",COUNTIF($F$3:$F659,"=1"))</x:f>
        <x:v>584</x:v>
      </x:c>
      <x:c r="O659" s="30">
        <x:f t="shared" si="63"/>
        <x:v>8</x:v>
      </x:c>
      <x:c r="P659" s="30">
        <x:f t="shared" si="65"/>
        <x:v>2</x:v>
      </x:c>
      <x:c r="Q659" s="30">
        <x:f>COUNTIF($P$3:P659,"=3")</x:f>
        <x:v>73</x:v>
      </x:c>
      <x:c r="R659" s="29">
        <x:f>WORKDAY(기본입력!$H$2,Q659-1,공휴일)</x:f>
        <x:v>46031</x:v>
      </x:c>
    </x:row>
    <x:row r="660" spans="1:18">
      <x:c r="A660" s="145" t="str">
        <x:f t="shared" si="64"/>
        <x:v>20260112</x:v>
      </x:c>
      <x:c r="B660" s="8" t="s">
        <x:v>5</x:v>
      </x:c>
      <x:c r="C660" s="8">
        <x:v>1740</x:v>
      </x:c>
      <x:c r="D660" s="7" t="s">
        <x:v>1</x:v>
      </x:c>
      <x:c r="E660" s="8" t="s">
        <x:v>5</x:v>
      </x:c>
      <x:c r="F660" s="8" t="s">
        <x:v>40</x:v>
      </x:c>
      <x:c r="G660" s="15" t="str">
        <x:f>IF(OR(N660="",N660&gt;기본입력!$C$34),"",VLOOKUP(O660,기본입력!$A$9:$F$33,5))</x:f>
        <x:v>양현수_53778</x:v>
      </x:c>
      <x:c r="H660" s="15" t="str">
        <x:f>IF(OR(N660="",N660&gt;기본입력!$C$34),"",기본입력!$C$6)</x:f>
        <x:v>1교육실(실습겸용강의실)_243089</x:v>
      </x:c>
      <x:c r="I660" s="15" t="str">
        <x:f>IF(OR(O660="",N660&gt;기본입력!$C$34),"",VLOOKUP(O660,기본입력!$A$9:$F$33,6,FALSE))</x:f>
        <x:v>빅데이터 시스템 구축__7</x:v>
      </x:c>
      <x:c r="J660" s="38" t="str">
        <x:f t="shared" si="60"/>
        <x:v>빅데이터 시스템 구축</x:v>
      </x:c>
      <x:c r="K660" s="38" t="str">
        <x:f t="shared" si="61"/>
        <x:v>1교육실(실습겸용강의실)</x:v>
      </x:c>
      <x:c r="L660" s="38" t="str">
        <x:f t="shared" si="62"/>
        <x:v>양현수</x:v>
      </x:c>
      <x:c r="M660" s="63"/>
      <x:c r="N660" s="30">
        <x:f>IF(F660="2","",COUNTIF($F$3:$F660,"=1"))</x:f>
        <x:v>585</x:v>
      </x:c>
      <x:c r="O660" s="30">
        <x:f t="shared" si="63"/>
        <x:v>8</x:v>
      </x:c>
      <x:c r="P660" s="30">
        <x:f t="shared" si="65"/>
        <x:v>3</x:v>
      </x:c>
      <x:c r="Q660" s="30">
        <x:f>COUNTIF($P$3:P660,"=3")</x:f>
        <x:v>74</x:v>
      </x:c>
      <x:c r="R660" s="29">
        <x:f>WORKDAY(기본입력!$H$2,Q660-1,공휴일)</x:f>
        <x:v>46034</x:v>
      </x:c>
    </x:row>
    <x:row r="661" spans="1:18">
      <x:c r="A661" s="145" t="str">
        <x:f t="shared" si="64"/>
        <x:v>20260112</x:v>
      </x:c>
      <x:c r="B661" s="8" t="s">
        <x:v>5</x:v>
      </x:c>
      <x:c r="C661" s="8">
        <x:v>1740</x:v>
      </x:c>
      <x:c r="D661" s="7" t="s">
        <x:v>1</x:v>
      </x:c>
      <x:c r="E661" s="8" t="s">
        <x:v>117</x:v>
      </x:c>
      <x:c r="F661" s="8" t="s">
        <x:v>40</x:v>
      </x:c>
      <x:c r="G661" s="15" t="str">
        <x:f>IF(OR(N661="",N661&gt;기본입력!$C$34),"",VLOOKUP(O661,기본입력!$A$9:$F$33,5))</x:f>
        <x:v>양현수_53778</x:v>
      </x:c>
      <x:c r="H661" s="15" t="str">
        <x:f>IF(OR(N661="",N661&gt;기본입력!$C$34),"",기본입력!$C$6)</x:f>
        <x:v>1교육실(실습겸용강의실)_243089</x:v>
      </x:c>
      <x:c r="I661" s="15" t="str">
        <x:f>IF(OR(O661="",N661&gt;기본입력!$C$34),"",VLOOKUP(O661,기본입력!$A$9:$F$33,6,FALSE))</x:f>
        <x:v>빅데이터 시스템 구축__7</x:v>
      </x:c>
      <x:c r="J661" s="38" t="str">
        <x:f t="shared" si="60"/>
        <x:v>빅데이터 시스템 구축</x:v>
      </x:c>
      <x:c r="K661" s="38" t="str">
        <x:f t="shared" si="61"/>
        <x:v>1교육실(실습겸용강의실)</x:v>
      </x:c>
      <x:c r="L661" s="38" t="str">
        <x:f t="shared" si="62"/>
        <x:v>양현수</x:v>
      </x:c>
      <x:c r="M661" s="63"/>
      <x:c r="N661" s="30">
        <x:f>IF(F661="2","",COUNTIF($F$3:$F661,"=1"))</x:f>
        <x:v>586</x:v>
      </x:c>
      <x:c r="O661" s="30">
        <x:f t="shared" si="63"/>
        <x:v>8</x:v>
      </x:c>
      <x:c r="P661" s="30">
        <x:f t="shared" si="65"/>
        <x:v>4</x:v>
      </x:c>
      <x:c r="Q661" s="30">
        <x:f>COUNTIF($P$3:P661,"=3")</x:f>
        <x:v>74</x:v>
      </x:c>
      <x:c r="R661" s="29">
        <x:f>WORKDAY(기본입력!$H$2,Q661-1,공휴일)</x:f>
        <x:v>46034</x:v>
      </x:c>
    </x:row>
    <x:row r="662" spans="1:18">
      <x:c r="A662" s="145" t="str">
        <x:f t="shared" si="64"/>
        <x:v>20260112</x:v>
      </x:c>
      <x:c r="B662" s="8" t="s">
        <x:v>5</x:v>
      </x:c>
      <x:c r="C662" s="8">
        <x:v>1740</x:v>
      </x:c>
      <x:c r="D662" s="7" t="s">
        <x:v>1</x:v>
      </x:c>
      <x:c r="E662" s="8" t="s">
        <x:v>87</x:v>
      </x:c>
      <x:c r="F662" s="8" t="s">
        <x:v>40</x:v>
      </x:c>
      <x:c r="G662" s="15" t="str">
        <x:f>IF(OR(N662="",N662&gt;기본입력!$C$34),"",VLOOKUP(O662,기본입력!$A$9:$F$33,5))</x:f>
        <x:v>양현수_53778</x:v>
      </x:c>
      <x:c r="H662" s="15" t="str">
        <x:f>IF(OR(N662="",N662&gt;기본입력!$C$34),"",기본입력!$C$6)</x:f>
        <x:v>1교육실(실습겸용강의실)_243089</x:v>
      </x:c>
      <x:c r="I662" s="15" t="str">
        <x:f>IF(OR(O662="",N662&gt;기본입력!$C$34),"",VLOOKUP(O662,기본입력!$A$9:$F$33,6,FALSE))</x:f>
        <x:v>빅데이터 시스템 구축__7</x:v>
      </x:c>
      <x:c r="J662" s="38" t="str">
        <x:f t="shared" si="60"/>
        <x:v>빅데이터 시스템 구축</x:v>
      </x:c>
      <x:c r="K662" s="38" t="str">
        <x:f t="shared" si="61"/>
        <x:v>1교육실(실습겸용강의실)</x:v>
      </x:c>
      <x:c r="L662" s="38" t="str">
        <x:f t="shared" si="62"/>
        <x:v>양현수</x:v>
      </x:c>
      <x:c r="M662" s="63"/>
      <x:c r="N662" s="30">
        <x:f>IF(F662="2","",COUNTIF($F$3:$F662,"=1"))</x:f>
        <x:v>587</x:v>
      </x:c>
      <x:c r="O662" s="30">
        <x:f t="shared" si="63"/>
        <x:v>8</x:v>
      </x:c>
      <x:c r="P662" s="30">
        <x:f t="shared" si="65"/>
        <x:v>5</x:v>
      </x:c>
      <x:c r="Q662" s="30">
        <x:f>COUNTIF($P$3:P662,"=3")</x:f>
        <x:v>74</x:v>
      </x:c>
      <x:c r="R662" s="29">
        <x:f>WORKDAY(기본입력!$H$2,Q662-1,공휴일)</x:f>
        <x:v>46034</x:v>
      </x:c>
    </x:row>
    <x:row r="663" spans="1:18">
      <x:c r="A663" s="145" t="str">
        <x:f t="shared" si="64"/>
        <x:v>20260112</x:v>
      </x:c>
      <x:c r="B663" s="8" t="s">
        <x:v>5</x:v>
      </x:c>
      <x:c r="C663" s="8">
        <x:v>1740</x:v>
      </x:c>
      <x:c r="D663" s="7" t="s">
        <x:v>1</x:v>
      </x:c>
      <x:c r="E663" s="8" t="s">
        <x:v>88</x:v>
      </x:c>
      <x:c r="F663" s="8" t="s">
        <x:v>40</x:v>
      </x:c>
      <x:c r="G663" s="15" t="str">
        <x:f>IF(OR(N663="",N663&gt;기본입력!$C$34),"",VLOOKUP(O663,기본입력!$A$9:$F$33,5))</x:f>
        <x:v>양현수_53778</x:v>
      </x:c>
      <x:c r="H663" s="15" t="str">
        <x:f>IF(OR(N663="",N663&gt;기본입력!$C$34),"",기본입력!$C$6)</x:f>
        <x:v>1교육실(실습겸용강의실)_243089</x:v>
      </x:c>
      <x:c r="I663" s="15" t="str">
        <x:f>IF(OR(O663="",N663&gt;기본입력!$C$34),"",VLOOKUP(O663,기본입력!$A$9:$F$33,6,FALSE))</x:f>
        <x:v>빅데이터 시스템 구축__7</x:v>
      </x:c>
      <x:c r="J663" s="38" t="str">
        <x:f t="shared" si="60"/>
        <x:v>빅데이터 시스템 구축</x:v>
      </x:c>
      <x:c r="K663" s="38" t="str">
        <x:f t="shared" si="61"/>
        <x:v>1교육실(실습겸용강의실)</x:v>
      </x:c>
      <x:c r="L663" s="38" t="str">
        <x:f t="shared" si="62"/>
        <x:v>양현수</x:v>
      </x:c>
      <x:c r="M663" s="63"/>
      <x:c r="N663" s="30">
        <x:f>IF(F663="2","",COUNTIF($F$3:$F663,"=1"))</x:f>
        <x:v>588</x:v>
      </x:c>
      <x:c r="O663" s="30">
        <x:f t="shared" si="63"/>
        <x:v>8</x:v>
      </x:c>
      <x:c r="P663" s="30">
        <x:f t="shared" si="65"/>
        <x:v>6</x:v>
      </x:c>
      <x:c r="Q663" s="30">
        <x:f>COUNTIF($P$3:P663,"=3")</x:f>
        <x:v>74</x:v>
      </x:c>
      <x:c r="R663" s="29">
        <x:f>WORKDAY(기본입력!$H$2,Q663-1,공휴일)</x:f>
        <x:v>46034</x:v>
      </x:c>
    </x:row>
    <x:row r="664" spans="1:18">
      <x:c r="A664" s="145" t="str">
        <x:f t="shared" si="64"/>
        <x:v>20260112</x:v>
      </x:c>
      <x:c r="B664" s="8" t="s">
        <x:v>5</x:v>
      </x:c>
      <x:c r="C664" s="8">
        <x:v>1740</x:v>
      </x:c>
      <x:c r="D664" s="7" t="s">
        <x:v>1</x:v>
      </x:c>
      <x:c r="E664" s="8" t="s">
        <x:v>0</x:v>
      </x:c>
      <x:c r="F664" s="8" t="s">
        <x:v>41</x:v>
      </x:c>
      <x:c r="G664" s="15" t="str">
        <x:f>IF(OR(N664="",N664&gt;기본입력!$C$34),"",VLOOKUP(O664,기본입력!$A$9:$F$33,5))</x:f>
        <x:v/>
      </x:c>
      <x:c r="H664" s="15" t="str">
        <x:f>IF(OR(N664="",N664&gt;기본입력!$C$34),"",기본입력!$C$6)</x:f>
        <x:v/>
      </x:c>
      <x:c r="I664" s="15" t="str">
        <x:f>IF(OR(O664="",N664&gt;기본입력!$C$34),"",VLOOKUP(O664,기본입력!$A$9:$F$33,6,FALSE))</x:f>
        <x:v/>
      </x:c>
      <x:c r="J664" s="38" t="str">
        <x:f t="shared" si="60"/>
        <x:v/>
      </x:c>
      <x:c r="K664" s="38" t="str">
        <x:f t="shared" si="61"/>
        <x:v/>
      </x:c>
      <x:c r="L664" s="38" t="str">
        <x:f t="shared" si="62"/>
        <x:v/>
      </x:c>
      <x:c r="M664" s="63"/>
      <x:c r="N664" s="30" t="str">
        <x:f>IF(F664="2","",COUNTIF($F$3:$F664,"=1"))</x:f>
        <x:v/>
      </x:c>
      <x:c r="O664" s="30" t="str">
        <x:f t="shared" si="63"/>
        <x:v/>
      </x:c>
      <x:c r="P664" s="30">
        <x:f t="shared" si="65"/>
        <x:v>7</x:v>
      </x:c>
      <x:c r="Q664" s="30">
        <x:f>COUNTIF($P$3:P664,"=3")</x:f>
        <x:v>74</x:v>
      </x:c>
      <x:c r="R664" s="29">
        <x:f>WORKDAY(기본입력!$H$2,Q664-1,공휴일)</x:f>
        <x:v>46034</x:v>
      </x:c>
    </x:row>
    <x:row r="665" spans="1:18">
      <x:c r="A665" s="145" t="str">
        <x:f t="shared" si="64"/>
        <x:v>20260112</x:v>
      </x:c>
      <x:c r="B665" s="8" t="s">
        <x:v>5</x:v>
      </x:c>
      <x:c r="C665" s="8">
        <x:v>1740</x:v>
      </x:c>
      <x:c r="D665" s="7" t="s">
        <x:v>1</x:v>
      </x:c>
      <x:c r="E665" s="8">
        <x:v>1340</x:v>
      </x:c>
      <x:c r="F665" s="8" t="s">
        <x:v>40</x:v>
      </x:c>
      <x:c r="G665" s="15" t="str">
        <x:f>IF(OR(N665="",N665&gt;기본입력!$C$34),"",VLOOKUP(O665,기본입력!$A$9:$F$33,5))</x:f>
        <x:v>양현수_53778</x:v>
      </x:c>
      <x:c r="H665" s="15" t="str">
        <x:f>IF(OR(N665="",N665&gt;기본입력!$C$34),"",기본입력!$C$6)</x:f>
        <x:v>1교육실(실습겸용강의실)_243089</x:v>
      </x:c>
      <x:c r="I665" s="15" t="str">
        <x:f>IF(OR(O665="",N665&gt;기본입력!$C$34),"",VLOOKUP(O665,기본입력!$A$9:$F$33,6,FALSE))</x:f>
        <x:v>빅데이터 시스템 구축__7</x:v>
      </x:c>
      <x:c r="J665" s="38" t="str">
        <x:f t="shared" si="60"/>
        <x:v>빅데이터 시스템 구축</x:v>
      </x:c>
      <x:c r="K665" s="38" t="str">
        <x:f t="shared" si="61"/>
        <x:v>1교육실(실습겸용강의실)</x:v>
      </x:c>
      <x:c r="L665" s="38" t="str">
        <x:f t="shared" si="62"/>
        <x:v>양현수</x:v>
      </x:c>
      <x:c r="M665" s="63"/>
      <x:c r="N665" s="30">
        <x:f>IF(F665="2","",COUNTIF($F$3:$F665,"=1"))</x:f>
        <x:v>589</x:v>
      </x:c>
      <x:c r="O665" s="30">
        <x:f t="shared" si="63"/>
        <x:v>8</x:v>
      </x:c>
      <x:c r="P665" s="30">
        <x:f t="shared" si="65"/>
        <x:v>8</x:v>
      </x:c>
      <x:c r="Q665" s="30">
        <x:f>COUNTIF($P$3:P665,"=3")</x:f>
        <x:v>74</x:v>
      </x:c>
      <x:c r="R665" s="29">
        <x:f>WORKDAY(기본입력!$H$2,Q665-1,공휴일)</x:f>
        <x:v>46034</x:v>
      </x:c>
    </x:row>
    <x:row r="666" spans="1:18">
      <x:c r="A666" s="145" t="str">
        <x:f t="shared" si="64"/>
        <x:v>20260112</x:v>
      </x:c>
      <x:c r="B666" s="8" t="s">
        <x:v>5</x:v>
      </x:c>
      <x:c r="C666" s="8">
        <x:v>1740</x:v>
      </x:c>
      <x:c r="D666" s="7" t="s">
        <x:v>1</x:v>
      </x:c>
      <x:c r="E666" s="8">
        <x:v>1440</x:v>
      </x:c>
      <x:c r="F666" s="8" t="s">
        <x:v>40</x:v>
      </x:c>
      <x:c r="G666" s="15" t="str">
        <x:f>IF(OR(N666="",N666&gt;기본입력!$C$34),"",VLOOKUP(O666,기본입력!$A$9:$F$33,5))</x:f>
        <x:v>양현수_53778</x:v>
      </x:c>
      <x:c r="H666" s="15" t="str">
        <x:f>IF(OR(N666="",N666&gt;기본입력!$C$34),"",기본입력!$C$6)</x:f>
        <x:v>1교육실(실습겸용강의실)_243089</x:v>
      </x:c>
      <x:c r="I666" s="15" t="str">
        <x:f>IF(OR(O666="",N666&gt;기본입력!$C$34),"",VLOOKUP(O666,기본입력!$A$9:$F$33,6,FALSE))</x:f>
        <x:v>빅데이터 시스템 구축__7</x:v>
      </x:c>
      <x:c r="J666" s="38" t="str">
        <x:f t="shared" si="60"/>
        <x:v>빅데이터 시스템 구축</x:v>
      </x:c>
      <x:c r="K666" s="38" t="str">
        <x:f t="shared" si="61"/>
        <x:v>1교육실(실습겸용강의실)</x:v>
      </x:c>
      <x:c r="L666" s="38" t="str">
        <x:f t="shared" si="62"/>
        <x:v>양현수</x:v>
      </x:c>
      <x:c r="M666" s="63"/>
      <x:c r="N666" s="30">
        <x:f>IF(F666="2","",COUNTIF($F$3:$F666,"=1"))</x:f>
        <x:v>590</x:v>
      </x:c>
      <x:c r="O666" s="30">
        <x:f t="shared" si="63"/>
        <x:v>8</x:v>
      </x:c>
      <x:c r="P666" s="30">
        <x:f t="shared" si="65"/>
        <x:v>0</x:v>
      </x:c>
      <x:c r="Q666" s="30">
        <x:f>COUNTIF($P$3:P666,"=3")</x:f>
        <x:v>74</x:v>
      </x:c>
      <x:c r="R666" s="29">
        <x:f>WORKDAY(기본입력!$H$2,Q666-1,공휴일)</x:f>
        <x:v>46034</x:v>
      </x:c>
    </x:row>
    <x:row r="667" spans="1:18">
      <x:c r="A667" s="145" t="str">
        <x:f t="shared" si="64"/>
        <x:v>20260112</x:v>
      </x:c>
      <x:c r="B667" s="8" t="s">
        <x:v>5</x:v>
      </x:c>
      <x:c r="C667" s="8">
        <x:v>1740</x:v>
      </x:c>
      <x:c r="D667" s="7" t="s">
        <x:v>1</x:v>
      </x:c>
      <x:c r="E667" s="8">
        <x:v>1540</x:v>
      </x:c>
      <x:c r="F667" s="8" t="s">
        <x:v>40</x:v>
      </x:c>
      <x:c r="G667" s="15" t="str">
        <x:f>IF(OR(N667="",N667&gt;기본입력!$C$34),"",VLOOKUP(O667,기본입력!$A$9:$F$33,5))</x:f>
        <x:v>양현수_53778</x:v>
      </x:c>
      <x:c r="H667" s="15" t="str">
        <x:f>IF(OR(N667="",N667&gt;기본입력!$C$34),"",기본입력!$C$6)</x:f>
        <x:v>1교육실(실습겸용강의실)_243089</x:v>
      </x:c>
      <x:c r="I667" s="15" t="str">
        <x:f>IF(OR(O667="",N667&gt;기본입력!$C$34),"",VLOOKUP(O667,기본입력!$A$9:$F$33,6,FALSE))</x:f>
        <x:v>빅데이터 시스템 구축__7</x:v>
      </x:c>
      <x:c r="J667" s="38" t="str">
        <x:f t="shared" si="60"/>
        <x:v>빅데이터 시스템 구축</x:v>
      </x:c>
      <x:c r="K667" s="38" t="str">
        <x:f t="shared" si="61"/>
        <x:v>1교육실(실습겸용강의실)</x:v>
      </x:c>
      <x:c r="L667" s="38" t="str">
        <x:f t="shared" si="62"/>
        <x:v>양현수</x:v>
      </x:c>
      <x:c r="M667" s="63"/>
      <x:c r="N667" s="30">
        <x:f>IF(F667="2","",COUNTIF($F$3:$F667,"=1"))</x:f>
        <x:v>591</x:v>
      </x:c>
      <x:c r="O667" s="30">
        <x:f t="shared" si="63"/>
        <x:v>8</x:v>
      </x:c>
      <x:c r="P667" s="30">
        <x:f t="shared" si="65"/>
        <x:v>1</x:v>
      </x:c>
      <x:c r="Q667" s="30">
        <x:f>COUNTIF($P$3:P667,"=3")</x:f>
        <x:v>74</x:v>
      </x:c>
      <x:c r="R667" s="29">
        <x:f>WORKDAY(기본입력!$H$2,Q667-1,공휴일)</x:f>
        <x:v>46034</x:v>
      </x:c>
    </x:row>
    <x:row r="668" spans="1:18">
      <x:c r="A668" s="145" t="str">
        <x:f t="shared" si="64"/>
        <x:v>20260112</x:v>
      </x:c>
      <x:c r="B668" s="8" t="s">
        <x:v>5</x:v>
      </x:c>
      <x:c r="C668" s="8">
        <x:v>1740</x:v>
      </x:c>
      <x:c r="D668" s="7" t="s">
        <x:v>1</x:v>
      </x:c>
      <x:c r="E668" s="8">
        <x:v>1640</x:v>
      </x:c>
      <x:c r="F668" s="8" t="s">
        <x:v>40</x:v>
      </x:c>
      <x:c r="G668" s="15" t="str">
        <x:f>IF(OR(N668="",N668&gt;기본입력!$C$34),"",VLOOKUP(O668,기본입력!$A$9:$F$33,5))</x:f>
        <x:v>양현수_53778</x:v>
      </x:c>
      <x:c r="H668" s="15" t="str">
        <x:f>IF(OR(N668="",N668&gt;기본입력!$C$34),"",기본입력!$C$6)</x:f>
        <x:v>1교육실(실습겸용강의실)_243089</x:v>
      </x:c>
      <x:c r="I668" s="15" t="str">
        <x:f>IF(OR(O668="",N668&gt;기본입력!$C$34),"",VLOOKUP(O668,기본입력!$A$9:$F$33,6,FALSE))</x:f>
        <x:v>빅데이터 시스템 구축__7</x:v>
      </x:c>
      <x:c r="J668" s="38" t="str">
        <x:f t="shared" si="60"/>
        <x:v>빅데이터 시스템 구축</x:v>
      </x:c>
      <x:c r="K668" s="38" t="str">
        <x:f t="shared" si="61"/>
        <x:v>1교육실(실습겸용강의실)</x:v>
      </x:c>
      <x:c r="L668" s="38" t="str">
        <x:f t="shared" si="62"/>
        <x:v>양현수</x:v>
      </x:c>
      <x:c r="M668" s="63"/>
      <x:c r="N668" s="30">
        <x:f>IF(F668="2","",COUNTIF($F$3:$F668,"=1"))</x:f>
        <x:v>592</x:v>
      </x:c>
      <x:c r="O668" s="30">
        <x:f t="shared" si="63"/>
        <x:v>8</x:v>
      </x:c>
      <x:c r="P668" s="30">
        <x:f t="shared" si="65"/>
        <x:v>2</x:v>
      </x:c>
      <x:c r="Q668" s="30">
        <x:f>COUNTIF($P$3:P668,"=3")</x:f>
        <x:v>74</x:v>
      </x:c>
      <x:c r="R668" s="29">
        <x:f>WORKDAY(기본입력!$H$2,Q668-1,공휴일)</x:f>
        <x:v>46034</x:v>
      </x:c>
    </x:row>
    <x:row r="669" spans="1:18">
      <x:c r="A669" s="144" t="str">
        <x:f t="shared" si="64"/>
        <x:v>20260113</x:v>
      </x:c>
      <x:c r="B669" s="6" t="s">
        <x:v>5</x:v>
      </x:c>
      <x:c r="C669" s="6">
        <x:v>1740</x:v>
      </x:c>
      <x:c r="D669" s="5" t="s">
        <x:v>1</x:v>
      </x:c>
      <x:c r="E669" s="6" t="s">
        <x:v>5</x:v>
      </x:c>
      <x:c r="F669" s="6" t="s">
        <x:v>40</x:v>
      </x:c>
      <x:c r="G669" s="14" t="str">
        <x:f>IF(OR(N669="",N669&gt;기본입력!$C$34),"",VLOOKUP(O669,기본입력!$A$9:$F$33,5))</x:f>
        <x:v>양현수_53778</x:v>
      </x:c>
      <x:c r="H669" s="14" t="str">
        <x:f>IF(OR(N669="",N669&gt;기본입력!$C$34),"",기본입력!$C$6)</x:f>
        <x:v>1교육실(실습겸용강의실)_243089</x:v>
      </x:c>
      <x:c r="I669" s="14" t="str">
        <x:f>IF(OR(O669="",N669&gt;기본입력!$C$34),"",VLOOKUP(O669,기본입력!$A$9:$F$33,6,FALSE))</x:f>
        <x:v>빅데이터 시스템 구축__7</x:v>
      </x:c>
      <x:c r="J669" s="38" t="str">
        <x:f t="shared" si="60"/>
        <x:v>빅데이터 시스템 구축</x:v>
      </x:c>
      <x:c r="K669" s="38" t="str">
        <x:f t="shared" si="61"/>
        <x:v>1교육실(실습겸용강의실)</x:v>
      </x:c>
      <x:c r="L669" s="38" t="str">
        <x:f t="shared" si="62"/>
        <x:v>양현수</x:v>
      </x:c>
      <x:c r="M669" s="63"/>
      <x:c r="N669" s="30">
        <x:f>IF(F669="2","",COUNTIF($F$3:$F669,"=1"))</x:f>
        <x:v>593</x:v>
      </x:c>
      <x:c r="O669" s="30">
        <x:f t="shared" si="63"/>
        <x:v>8</x:v>
      </x:c>
      <x:c r="P669" s="30">
        <x:f t="shared" si="65"/>
        <x:v>3</x:v>
      </x:c>
      <x:c r="Q669" s="30">
        <x:f>COUNTIF($P$3:P669,"=3")</x:f>
        <x:v>75</x:v>
      </x:c>
      <x:c r="R669" s="29">
        <x:f>WORKDAY(기본입력!$H$2,Q669-1,공휴일)</x:f>
        <x:v>46035</x:v>
      </x:c>
    </x:row>
    <x:row r="670" spans="1:18">
      <x:c r="A670" s="144" t="str">
        <x:f t="shared" si="64"/>
        <x:v>20260113</x:v>
      </x:c>
      <x:c r="B670" s="6" t="s">
        <x:v>5</x:v>
      </x:c>
      <x:c r="C670" s="6">
        <x:v>1740</x:v>
      </x:c>
      <x:c r="D670" s="5" t="s">
        <x:v>1</x:v>
      </x:c>
      <x:c r="E670" s="6" t="s">
        <x:v>117</x:v>
      </x:c>
      <x:c r="F670" s="6" t="s">
        <x:v>40</x:v>
      </x:c>
      <x:c r="G670" s="14" t="str">
        <x:f>IF(OR(N670="",N670&gt;기본입력!$C$34),"",VLOOKUP(O670,기본입력!$A$9:$F$33,5))</x:f>
        <x:v>양현수_53778</x:v>
      </x:c>
      <x:c r="H670" s="14" t="str">
        <x:f>IF(OR(N670="",N670&gt;기본입력!$C$34),"",기본입력!$C$6)</x:f>
        <x:v>1교육실(실습겸용강의실)_243089</x:v>
      </x:c>
      <x:c r="I670" s="14" t="str">
        <x:f>IF(OR(O670="",N670&gt;기본입력!$C$34),"",VLOOKUP(O670,기본입력!$A$9:$F$33,6,FALSE))</x:f>
        <x:v>빅데이터 시스템 구축__7</x:v>
      </x:c>
      <x:c r="J670" s="38" t="str">
        <x:f t="shared" si="60"/>
        <x:v>빅데이터 시스템 구축</x:v>
      </x:c>
      <x:c r="K670" s="38" t="str">
        <x:f t="shared" si="61"/>
        <x:v>1교육실(실습겸용강의실)</x:v>
      </x:c>
      <x:c r="L670" s="38" t="str">
        <x:f t="shared" si="62"/>
        <x:v>양현수</x:v>
      </x:c>
      <x:c r="M670" s="63"/>
      <x:c r="N670" s="30">
        <x:f>IF(F670="2","",COUNTIF($F$3:$F670,"=1"))</x:f>
        <x:v>594</x:v>
      </x:c>
      <x:c r="O670" s="30">
        <x:f t="shared" si="63"/>
        <x:v>8</x:v>
      </x:c>
      <x:c r="P670" s="30">
        <x:f t="shared" si="65"/>
        <x:v>4</x:v>
      </x:c>
      <x:c r="Q670" s="30">
        <x:f>COUNTIF($P$3:P670,"=3")</x:f>
        <x:v>75</x:v>
      </x:c>
      <x:c r="R670" s="29">
        <x:f>WORKDAY(기본입력!$H$2,Q670-1,공휴일)</x:f>
        <x:v>46035</x:v>
      </x:c>
    </x:row>
    <x:row r="671" spans="1:18">
      <x:c r="A671" s="144" t="str">
        <x:f t="shared" si="64"/>
        <x:v>20260113</x:v>
      </x:c>
      <x:c r="B671" s="6" t="s">
        <x:v>5</x:v>
      </x:c>
      <x:c r="C671" s="6">
        <x:v>1740</x:v>
      </x:c>
      <x:c r="D671" s="5" t="s">
        <x:v>1</x:v>
      </x:c>
      <x:c r="E671" s="6" t="s">
        <x:v>87</x:v>
      </x:c>
      <x:c r="F671" s="6" t="s">
        <x:v>40</x:v>
      </x:c>
      <x:c r="G671" s="14" t="str">
        <x:f>IF(OR(N671="",N671&gt;기본입력!$C$34),"",VLOOKUP(O671,기본입력!$A$9:$F$33,5))</x:f>
        <x:v>양현수_53778</x:v>
      </x:c>
      <x:c r="H671" s="14" t="str">
        <x:f>IF(OR(N671="",N671&gt;기본입력!$C$34),"",기본입력!$C$6)</x:f>
        <x:v>1교육실(실습겸용강의실)_243089</x:v>
      </x:c>
      <x:c r="I671" s="14" t="str">
        <x:f>IF(OR(O671="",N671&gt;기본입력!$C$34),"",VLOOKUP(O671,기본입력!$A$9:$F$33,6,FALSE))</x:f>
        <x:v>빅데이터 시스템 구축__7</x:v>
      </x:c>
      <x:c r="J671" s="38" t="str">
        <x:f t="shared" si="60"/>
        <x:v>빅데이터 시스템 구축</x:v>
      </x:c>
      <x:c r="K671" s="38" t="str">
        <x:f t="shared" si="61"/>
        <x:v>1교육실(실습겸용강의실)</x:v>
      </x:c>
      <x:c r="L671" s="38" t="str">
        <x:f t="shared" si="62"/>
        <x:v>양현수</x:v>
      </x:c>
      <x:c r="M671" s="63"/>
      <x:c r="N671" s="30">
        <x:f>IF(F671="2","",COUNTIF($F$3:$F671,"=1"))</x:f>
        <x:v>595</x:v>
      </x:c>
      <x:c r="O671" s="30">
        <x:f t="shared" si="63"/>
        <x:v>8</x:v>
      </x:c>
      <x:c r="P671" s="30">
        <x:f t="shared" si="65"/>
        <x:v>5</x:v>
      </x:c>
      <x:c r="Q671" s="30">
        <x:f>COUNTIF($P$3:P671,"=3")</x:f>
        <x:v>75</x:v>
      </x:c>
      <x:c r="R671" s="29">
        <x:f>WORKDAY(기본입력!$H$2,Q671-1,공휴일)</x:f>
        <x:v>46035</x:v>
      </x:c>
    </x:row>
    <x:row r="672" spans="1:18">
      <x:c r="A672" s="144" t="str">
        <x:f t="shared" si="64"/>
        <x:v>20260113</x:v>
      </x:c>
      <x:c r="B672" s="6" t="s">
        <x:v>5</x:v>
      </x:c>
      <x:c r="C672" s="6">
        <x:v>1740</x:v>
      </x:c>
      <x:c r="D672" s="5" t="s">
        <x:v>1</x:v>
      </x:c>
      <x:c r="E672" s="6" t="s">
        <x:v>88</x:v>
      </x:c>
      <x:c r="F672" s="6" t="s">
        <x:v>40</x:v>
      </x:c>
      <x:c r="G672" s="14" t="str">
        <x:f>IF(OR(N672="",N672&gt;기본입력!$C$34),"",VLOOKUP(O672,기본입력!$A$9:$F$33,5))</x:f>
        <x:v>양현수_53778</x:v>
      </x:c>
      <x:c r="H672" s="14" t="str">
        <x:f>IF(OR(N672="",N672&gt;기본입력!$C$34),"",기본입력!$C$6)</x:f>
        <x:v>1교육실(실습겸용강의실)_243089</x:v>
      </x:c>
      <x:c r="I672" s="14" t="str">
        <x:f>IF(OR(O672="",N672&gt;기본입력!$C$34),"",VLOOKUP(O672,기본입력!$A$9:$F$33,6,FALSE))</x:f>
        <x:v>빅데이터 시스템 구축__7</x:v>
      </x:c>
      <x:c r="J672" s="38" t="str">
        <x:f t="shared" si="60"/>
        <x:v>빅데이터 시스템 구축</x:v>
      </x:c>
      <x:c r="K672" s="38" t="str">
        <x:f t="shared" si="61"/>
        <x:v>1교육실(실습겸용강의실)</x:v>
      </x:c>
      <x:c r="L672" s="38" t="str">
        <x:f t="shared" si="62"/>
        <x:v>양현수</x:v>
      </x:c>
      <x:c r="M672" s="63"/>
      <x:c r="N672" s="30">
        <x:f>IF(F672="2","",COUNTIF($F$3:$F672,"=1"))</x:f>
        <x:v>596</x:v>
      </x:c>
      <x:c r="O672" s="30">
        <x:f t="shared" si="63"/>
        <x:v>8</x:v>
      </x:c>
      <x:c r="P672" s="30">
        <x:f t="shared" si="65"/>
        <x:v>6</x:v>
      </x:c>
      <x:c r="Q672" s="30">
        <x:f>COUNTIF($P$3:P672,"=3")</x:f>
        <x:v>75</x:v>
      </x:c>
      <x:c r="R672" s="29">
        <x:f>WORKDAY(기본입력!$H$2,Q672-1,공휴일)</x:f>
        <x:v>46035</x:v>
      </x:c>
    </x:row>
    <x:row r="673" spans="1:18">
      <x:c r="A673" s="144" t="str">
        <x:f t="shared" si="64"/>
        <x:v>20260113</x:v>
      </x:c>
      <x:c r="B673" s="6" t="s">
        <x:v>5</x:v>
      </x:c>
      <x:c r="C673" s="6">
        <x:v>1740</x:v>
      </x:c>
      <x:c r="D673" s="5" t="s">
        <x:v>1</x:v>
      </x:c>
      <x:c r="E673" s="6" t="s">
        <x:v>0</x:v>
      </x:c>
      <x:c r="F673" s="6" t="s">
        <x:v>41</x:v>
      </x:c>
      <x:c r="G673" s="14" t="str">
        <x:f>IF(OR(N673="",N673&gt;기본입력!$C$34),"",VLOOKUP(O673,기본입력!$A$9:$F$33,5))</x:f>
        <x:v/>
      </x:c>
      <x:c r="H673" s="14" t="str">
        <x:f>IF(OR(N673="",N673&gt;기본입력!$C$34),"",기본입력!$C$6)</x:f>
        <x:v/>
      </x:c>
      <x:c r="I673" s="14" t="str">
        <x:f>IF(OR(O673="",N673&gt;기본입력!$C$34),"",VLOOKUP(O673,기본입력!$A$9:$F$33,6,FALSE))</x:f>
        <x:v/>
      </x:c>
      <x:c r="J673" s="38" t="str">
        <x:f t="shared" si="60"/>
        <x:v/>
      </x:c>
      <x:c r="K673" s="38" t="str">
        <x:f t="shared" si="61"/>
        <x:v/>
      </x:c>
      <x:c r="L673" s="38" t="str">
        <x:f t="shared" si="62"/>
        <x:v/>
      </x:c>
      <x:c r="M673" s="63"/>
      <x:c r="N673" s="30" t="str">
        <x:f>IF(F673="2","",COUNTIF($F$3:$F673,"=1"))</x:f>
        <x:v/>
      </x:c>
      <x:c r="O673" s="30" t="str">
        <x:f t="shared" si="63"/>
        <x:v/>
      </x:c>
      <x:c r="P673" s="30">
        <x:f t="shared" si="65"/>
        <x:v>7</x:v>
      </x:c>
      <x:c r="Q673" s="30">
        <x:f>COUNTIF($P$3:P673,"=3")</x:f>
        <x:v>75</x:v>
      </x:c>
      <x:c r="R673" s="29">
        <x:f>WORKDAY(기본입력!$H$2,Q673-1,공휴일)</x:f>
        <x:v>46035</x:v>
      </x:c>
    </x:row>
    <x:row r="674" spans="1:18">
      <x:c r="A674" s="144" t="str">
        <x:f t="shared" si="64"/>
        <x:v>20260113</x:v>
      </x:c>
      <x:c r="B674" s="6" t="s">
        <x:v>5</x:v>
      </x:c>
      <x:c r="C674" s="6">
        <x:v>1740</x:v>
      </x:c>
      <x:c r="D674" s="5" t="s">
        <x:v>1</x:v>
      </x:c>
      <x:c r="E674" s="6">
        <x:v>1340</x:v>
      </x:c>
      <x:c r="F674" s="6" t="s">
        <x:v>40</x:v>
      </x:c>
      <x:c r="G674" s="14" t="str">
        <x:f>IF(OR(N674="",N674&gt;기본입력!$C$34),"",VLOOKUP(O674,기본입력!$A$9:$F$33,5))</x:f>
        <x:v>양현수_53778</x:v>
      </x:c>
      <x:c r="H674" s="14" t="str">
        <x:f>IF(OR(N674="",N674&gt;기본입력!$C$34),"",기본입력!$C$6)</x:f>
        <x:v>1교육실(실습겸용강의실)_243089</x:v>
      </x:c>
      <x:c r="I674" s="14" t="str">
        <x:f>IF(OR(O674="",N674&gt;기본입력!$C$34),"",VLOOKUP(O674,기본입력!$A$9:$F$33,6,FALSE))</x:f>
        <x:v>빅데이터 시스템 구축__7</x:v>
      </x:c>
      <x:c r="J674" s="38" t="str">
        <x:f t="shared" si="60"/>
        <x:v>빅데이터 시스템 구축</x:v>
      </x:c>
      <x:c r="K674" s="38" t="str">
        <x:f t="shared" si="61"/>
        <x:v>1교육실(실습겸용강의실)</x:v>
      </x:c>
      <x:c r="L674" s="38" t="str">
        <x:f t="shared" si="62"/>
        <x:v>양현수</x:v>
      </x:c>
      <x:c r="M674" s="63"/>
      <x:c r="N674" s="30">
        <x:f>IF(F674="2","",COUNTIF($F$3:$F674,"=1"))</x:f>
        <x:v>597</x:v>
      </x:c>
      <x:c r="O674" s="30">
        <x:f t="shared" si="63"/>
        <x:v>8</x:v>
      </x:c>
      <x:c r="P674" s="30">
        <x:f t="shared" si="65"/>
        <x:v>8</x:v>
      </x:c>
      <x:c r="Q674" s="30">
        <x:f>COUNTIF($P$3:P674,"=3")</x:f>
        <x:v>75</x:v>
      </x:c>
      <x:c r="R674" s="29">
        <x:f>WORKDAY(기본입력!$H$2,Q674-1,공휴일)</x:f>
        <x:v>46035</x:v>
      </x:c>
    </x:row>
    <x:row r="675" spans="1:18">
      <x:c r="A675" s="144" t="str">
        <x:f t="shared" si="64"/>
        <x:v>20260113</x:v>
      </x:c>
      <x:c r="B675" s="6" t="s">
        <x:v>5</x:v>
      </x:c>
      <x:c r="C675" s="6">
        <x:v>1740</x:v>
      </x:c>
      <x:c r="D675" s="5" t="s">
        <x:v>1</x:v>
      </x:c>
      <x:c r="E675" s="6">
        <x:v>1440</x:v>
      </x:c>
      <x:c r="F675" s="6" t="s">
        <x:v>40</x:v>
      </x:c>
      <x:c r="G675" s="14" t="str">
        <x:f>IF(OR(N675="",N675&gt;기본입력!$C$34),"",VLOOKUP(O675,기본입력!$A$9:$F$33,5))</x:f>
        <x:v>양현수_53778</x:v>
      </x:c>
      <x:c r="H675" s="14" t="str">
        <x:f>IF(OR(N675="",N675&gt;기본입력!$C$34),"",기본입력!$C$6)</x:f>
        <x:v>1교육실(실습겸용강의실)_243089</x:v>
      </x:c>
      <x:c r="I675" s="14" t="str">
        <x:f>IF(OR(O675="",N675&gt;기본입력!$C$34),"",VLOOKUP(O675,기본입력!$A$9:$F$33,6,FALSE))</x:f>
        <x:v>빅데이터 시스템 구축__7</x:v>
      </x:c>
      <x:c r="J675" s="38" t="str">
        <x:f t="shared" si="60"/>
        <x:v>빅데이터 시스템 구축</x:v>
      </x:c>
      <x:c r="K675" s="38" t="str">
        <x:f t="shared" si="61"/>
        <x:v>1교육실(실습겸용강의실)</x:v>
      </x:c>
      <x:c r="L675" s="38" t="str">
        <x:f t="shared" si="62"/>
        <x:v>양현수</x:v>
      </x:c>
      <x:c r="M675" s="63"/>
      <x:c r="N675" s="30">
        <x:f>IF(F675="2","",COUNTIF($F$3:$F675,"=1"))</x:f>
        <x:v>598</x:v>
      </x:c>
      <x:c r="O675" s="30">
        <x:f t="shared" si="63"/>
        <x:v>8</x:v>
      </x:c>
      <x:c r="P675" s="30">
        <x:f t="shared" si="65"/>
        <x:v>0</x:v>
      </x:c>
      <x:c r="Q675" s="30">
        <x:f>COUNTIF($P$3:P675,"=3")</x:f>
        <x:v>75</x:v>
      </x:c>
      <x:c r="R675" s="29">
        <x:f>WORKDAY(기본입력!$H$2,Q675-1,공휴일)</x:f>
        <x:v>46035</x:v>
      </x:c>
    </x:row>
    <x:row r="676" spans="1:18">
      <x:c r="A676" s="144" t="str">
        <x:f t="shared" si="64"/>
        <x:v>20260113</x:v>
      </x:c>
      <x:c r="B676" s="6" t="s">
        <x:v>5</x:v>
      </x:c>
      <x:c r="C676" s="6">
        <x:v>1740</x:v>
      </x:c>
      <x:c r="D676" s="5" t="s">
        <x:v>1</x:v>
      </x:c>
      <x:c r="E676" s="6">
        <x:v>1540</x:v>
      </x:c>
      <x:c r="F676" s="6" t="s">
        <x:v>40</x:v>
      </x:c>
      <x:c r="G676" s="14" t="str">
        <x:f>IF(OR(N676="",N676&gt;기본입력!$C$34),"",VLOOKUP(O676,기본입력!$A$9:$F$33,5))</x:f>
        <x:v>양현수_53778</x:v>
      </x:c>
      <x:c r="H676" s="14" t="str">
        <x:f>IF(OR(N676="",N676&gt;기본입력!$C$34),"",기본입력!$C$6)</x:f>
        <x:v>1교육실(실습겸용강의실)_243089</x:v>
      </x:c>
      <x:c r="I676" s="14" t="str">
        <x:f>IF(OR(O676="",N676&gt;기본입력!$C$34),"",VLOOKUP(O676,기본입력!$A$9:$F$33,6,FALSE))</x:f>
        <x:v>빅데이터 시스템 구축__7</x:v>
      </x:c>
      <x:c r="J676" s="38" t="str">
        <x:f t="shared" si="60"/>
        <x:v>빅데이터 시스템 구축</x:v>
      </x:c>
      <x:c r="K676" s="38" t="str">
        <x:f t="shared" si="61"/>
        <x:v>1교육실(실습겸용강의실)</x:v>
      </x:c>
      <x:c r="L676" s="38" t="str">
        <x:f t="shared" si="62"/>
        <x:v>양현수</x:v>
      </x:c>
      <x:c r="M676" s="63"/>
      <x:c r="N676" s="30">
        <x:f>IF(F676="2","",COUNTIF($F$3:$F676,"=1"))</x:f>
        <x:v>599</x:v>
      </x:c>
      <x:c r="O676" s="30">
        <x:f t="shared" si="63"/>
        <x:v>8</x:v>
      </x:c>
      <x:c r="P676" s="30">
        <x:f t="shared" si="65"/>
        <x:v>1</x:v>
      </x:c>
      <x:c r="Q676" s="30">
        <x:f>COUNTIF($P$3:P676,"=3")</x:f>
        <x:v>75</x:v>
      </x:c>
      <x:c r="R676" s="29">
        <x:f>WORKDAY(기본입력!$H$2,Q676-1,공휴일)</x:f>
        <x:v>46035</x:v>
      </x:c>
    </x:row>
    <x:row r="677" spans="1:18">
      <x:c r="A677" s="144" t="str">
        <x:f t="shared" si="64"/>
        <x:v>20260113</x:v>
      </x:c>
      <x:c r="B677" s="6" t="s">
        <x:v>5</x:v>
      </x:c>
      <x:c r="C677" s="6">
        <x:v>1740</x:v>
      </x:c>
      <x:c r="D677" s="5" t="s">
        <x:v>1</x:v>
      </x:c>
      <x:c r="E677" s="6">
        <x:v>1640</x:v>
      </x:c>
      <x:c r="F677" s="6" t="s">
        <x:v>40</x:v>
      </x:c>
      <x:c r="G677" s="14" t="str">
        <x:f>IF(OR(N677="",N677&gt;기본입력!$C$34),"",VLOOKUP(O677,기본입력!$A$9:$F$33,5))</x:f>
        <x:v>양현수_53778</x:v>
      </x:c>
      <x:c r="H677" s="14" t="str">
        <x:f>IF(OR(N677="",N677&gt;기본입력!$C$34),"",기본입력!$C$6)</x:f>
        <x:v>1교육실(실습겸용강의실)_243089</x:v>
      </x:c>
      <x:c r="I677" s="14" t="str">
        <x:f>IF(OR(O677="",N677&gt;기본입력!$C$34),"",VLOOKUP(O677,기본입력!$A$9:$F$33,6,FALSE))</x:f>
        <x:v>빅데이터 시스템 구축__7</x:v>
      </x:c>
      <x:c r="J677" s="38" t="str">
        <x:f t="shared" si="60"/>
        <x:v>빅데이터 시스템 구축</x:v>
      </x:c>
      <x:c r="K677" s="38" t="str">
        <x:f t="shared" si="61"/>
        <x:v>1교육실(실습겸용강의실)</x:v>
      </x:c>
      <x:c r="L677" s="38" t="str">
        <x:f t="shared" si="62"/>
        <x:v>양현수</x:v>
      </x:c>
      <x:c r="M677" s="63"/>
      <x:c r="N677" s="30">
        <x:f>IF(F677="2","",COUNTIF($F$3:$F677,"=1"))</x:f>
        <x:v>600</x:v>
      </x:c>
      <x:c r="O677" s="30">
        <x:f t="shared" si="63"/>
        <x:v>8</x:v>
      </x:c>
      <x:c r="P677" s="30">
        <x:f t="shared" si="65"/>
        <x:v>2</x:v>
      </x:c>
      <x:c r="Q677" s="30">
        <x:f>COUNTIF($P$3:P677,"=3")</x:f>
        <x:v>75</x:v>
      </x:c>
      <x:c r="R677" s="29">
        <x:f>WORKDAY(기본입력!$H$2,Q677-1,공휴일)</x:f>
        <x:v>46035</x:v>
      </x:c>
    </x:row>
    <x:row r="678" spans="1:18">
      <x:c r="A678" s="145" t="str">
        <x:f t="shared" si="64"/>
        <x:v>20260114</x:v>
      </x:c>
      <x:c r="B678" s="8" t="s">
        <x:v>5</x:v>
      </x:c>
      <x:c r="C678" s="8">
        <x:v>1740</x:v>
      </x:c>
      <x:c r="D678" s="7" t="s">
        <x:v>1</x:v>
      </x:c>
      <x:c r="E678" s="8" t="s">
        <x:v>5</x:v>
      </x:c>
      <x:c r="F678" s="8" t="s">
        <x:v>40</x:v>
      </x:c>
      <x:c r="G678" s="15" t="str">
        <x:f>IF(OR(N678="",N678&gt;기본입력!$C$34),"",VLOOKUP(O678,기본입력!$A$9:$F$33,5))</x:f>
        <x:v>양현수_53778</x:v>
      </x:c>
      <x:c r="H678" s="15" t="str">
        <x:f>IF(OR(N678="",N678&gt;기본입력!$C$34),"",기본입력!$C$6)</x:f>
        <x:v>1교육실(실습겸용강의실)_243089</x:v>
      </x:c>
      <x:c r="I678" s="15" t="str">
        <x:f>IF(OR(O678="",N678&gt;기본입력!$C$34),"",VLOOKUP(O678,기본입력!$A$9:$F$33,6,FALSE))</x:f>
        <x:v>빅데이터 시스템 구축__7</x:v>
      </x:c>
      <x:c r="J678" s="38" t="str">
        <x:f t="shared" si="60"/>
        <x:v>빅데이터 시스템 구축</x:v>
      </x:c>
      <x:c r="K678" s="38" t="str">
        <x:f t="shared" si="61"/>
        <x:v>1교육실(실습겸용강의실)</x:v>
      </x:c>
      <x:c r="L678" s="38" t="str">
        <x:f t="shared" si="62"/>
        <x:v>양현수</x:v>
      </x:c>
      <x:c r="M678" s="63"/>
      <x:c r="N678" s="30">
        <x:f>IF(F678="2","",COUNTIF($F$3:$F678,"=1"))</x:f>
        <x:v>601</x:v>
      </x:c>
      <x:c r="O678" s="30">
        <x:f t="shared" si="63"/>
        <x:v>8</x:v>
      </x:c>
      <x:c r="P678" s="30">
        <x:f t="shared" si="65"/>
        <x:v>3</x:v>
      </x:c>
      <x:c r="Q678" s="30">
        <x:f>COUNTIF($P$3:P678,"=3")</x:f>
        <x:v>76</x:v>
      </x:c>
      <x:c r="R678" s="29">
        <x:f>WORKDAY(기본입력!$H$2,Q678-1,공휴일)</x:f>
        <x:v>46036</x:v>
      </x:c>
    </x:row>
    <x:row r="679" spans="1:18">
      <x:c r="A679" s="145" t="str">
        <x:f t="shared" si="64"/>
        <x:v>20260114</x:v>
      </x:c>
      <x:c r="B679" s="8" t="s">
        <x:v>5</x:v>
      </x:c>
      <x:c r="C679" s="8">
        <x:v>1740</x:v>
      </x:c>
      <x:c r="D679" s="7" t="s">
        <x:v>1</x:v>
      </x:c>
      <x:c r="E679" s="8" t="s">
        <x:v>117</x:v>
      </x:c>
      <x:c r="F679" s="8" t="s">
        <x:v>40</x:v>
      </x:c>
      <x:c r="G679" s="15" t="str">
        <x:f>IF(OR(N679="",N679&gt;기본입력!$C$34),"",VLOOKUP(O679,기본입력!$A$9:$F$33,5))</x:f>
        <x:v>양현수_53778</x:v>
      </x:c>
      <x:c r="H679" s="15" t="str">
        <x:f>IF(OR(N679="",N679&gt;기본입력!$C$34),"",기본입력!$C$6)</x:f>
        <x:v>1교육실(실습겸용강의실)_243089</x:v>
      </x:c>
      <x:c r="I679" s="15" t="str">
        <x:f>IF(OR(O679="",N679&gt;기본입력!$C$34),"",VLOOKUP(O679,기본입력!$A$9:$F$33,6,FALSE))</x:f>
        <x:v>빅데이터 시스템 구축__7</x:v>
      </x:c>
      <x:c r="J679" s="38" t="str">
        <x:f t="shared" si="60"/>
        <x:v>빅데이터 시스템 구축</x:v>
      </x:c>
      <x:c r="K679" s="38" t="str">
        <x:f t="shared" si="61"/>
        <x:v>1교육실(실습겸용강의실)</x:v>
      </x:c>
      <x:c r="L679" s="38" t="str">
        <x:f t="shared" si="62"/>
        <x:v>양현수</x:v>
      </x:c>
      <x:c r="M679" s="63"/>
      <x:c r="N679" s="30">
        <x:f>IF(F679="2","",COUNTIF($F$3:$F679,"=1"))</x:f>
        <x:v>602</x:v>
      </x:c>
      <x:c r="O679" s="30">
        <x:f t="shared" si="63"/>
        <x:v>8</x:v>
      </x:c>
      <x:c r="P679" s="30">
        <x:f t="shared" si="65"/>
        <x:v>4</x:v>
      </x:c>
      <x:c r="Q679" s="30">
        <x:f>COUNTIF($P$3:P679,"=3")</x:f>
        <x:v>76</x:v>
      </x:c>
      <x:c r="R679" s="29">
        <x:f>WORKDAY(기본입력!$H$2,Q679-1,공휴일)</x:f>
        <x:v>46036</x:v>
      </x:c>
    </x:row>
    <x:row r="680" spans="1:18">
      <x:c r="A680" s="145" t="str">
        <x:f t="shared" si="64"/>
        <x:v>20260114</x:v>
      </x:c>
      <x:c r="B680" s="8" t="s">
        <x:v>5</x:v>
      </x:c>
      <x:c r="C680" s="8">
        <x:v>1740</x:v>
      </x:c>
      <x:c r="D680" s="7" t="s">
        <x:v>1</x:v>
      </x:c>
      <x:c r="E680" s="8" t="s">
        <x:v>87</x:v>
      </x:c>
      <x:c r="F680" s="8" t="s">
        <x:v>40</x:v>
      </x:c>
      <x:c r="G680" s="15" t="str">
        <x:f>IF(OR(N680="",N680&gt;기본입력!$C$34),"",VLOOKUP(O680,기본입력!$A$9:$F$33,5))</x:f>
        <x:v>양현수_53778</x:v>
      </x:c>
      <x:c r="H680" s="15" t="str">
        <x:f>IF(OR(N680="",N680&gt;기본입력!$C$34),"",기본입력!$C$6)</x:f>
        <x:v>1교육실(실습겸용강의실)_243089</x:v>
      </x:c>
      <x:c r="I680" s="15" t="str">
        <x:f>IF(OR(O680="",N680&gt;기본입력!$C$34),"",VLOOKUP(O680,기본입력!$A$9:$F$33,6,FALSE))</x:f>
        <x:v>빅데이터 시스템 구축__7</x:v>
      </x:c>
      <x:c r="J680" s="38" t="str">
        <x:f t="shared" si="60"/>
        <x:v>빅데이터 시스템 구축</x:v>
      </x:c>
      <x:c r="K680" s="38" t="str">
        <x:f t="shared" si="61"/>
        <x:v>1교육실(실습겸용강의실)</x:v>
      </x:c>
      <x:c r="L680" s="38" t="str">
        <x:f t="shared" si="62"/>
        <x:v>양현수</x:v>
      </x:c>
      <x:c r="M680" s="63"/>
      <x:c r="N680" s="30">
        <x:f>IF(F680="2","",COUNTIF($F$3:$F680,"=1"))</x:f>
        <x:v>603</x:v>
      </x:c>
      <x:c r="O680" s="30">
        <x:f t="shared" si="63"/>
        <x:v>8</x:v>
      </x:c>
      <x:c r="P680" s="30">
        <x:f t="shared" si="65"/>
        <x:v>5</x:v>
      </x:c>
      <x:c r="Q680" s="30">
        <x:f>COUNTIF($P$3:P680,"=3")</x:f>
        <x:v>76</x:v>
      </x:c>
      <x:c r="R680" s="29">
        <x:f>WORKDAY(기본입력!$H$2,Q680-1,공휴일)</x:f>
        <x:v>46036</x:v>
      </x:c>
    </x:row>
    <x:row r="681" spans="1:18">
      <x:c r="A681" s="145" t="str">
        <x:f t="shared" si="64"/>
        <x:v>20260114</x:v>
      </x:c>
      <x:c r="B681" s="8" t="s">
        <x:v>5</x:v>
      </x:c>
      <x:c r="C681" s="8">
        <x:v>1740</x:v>
      </x:c>
      <x:c r="D681" s="7" t="s">
        <x:v>1</x:v>
      </x:c>
      <x:c r="E681" s="8" t="s">
        <x:v>88</x:v>
      </x:c>
      <x:c r="F681" s="8" t="s">
        <x:v>40</x:v>
      </x:c>
      <x:c r="G681" s="15" t="str">
        <x:f>IF(OR(N681="",N681&gt;기본입력!$C$34),"",VLOOKUP(O681,기본입력!$A$9:$F$33,5))</x:f>
        <x:v>양현수_53778</x:v>
      </x:c>
      <x:c r="H681" s="15" t="str">
        <x:f>IF(OR(N681="",N681&gt;기본입력!$C$34),"",기본입력!$C$6)</x:f>
        <x:v>1교육실(실습겸용강의실)_243089</x:v>
      </x:c>
      <x:c r="I681" s="15" t="str">
        <x:f>IF(OR(O681="",N681&gt;기본입력!$C$34),"",VLOOKUP(O681,기본입력!$A$9:$F$33,6,FALSE))</x:f>
        <x:v>빅데이터 시스템 구축__7</x:v>
      </x:c>
      <x:c r="J681" s="38" t="str">
        <x:f t="shared" si="60"/>
        <x:v>빅데이터 시스템 구축</x:v>
      </x:c>
      <x:c r="K681" s="38" t="str">
        <x:f t="shared" si="61"/>
        <x:v>1교육실(실습겸용강의실)</x:v>
      </x:c>
      <x:c r="L681" s="38" t="str">
        <x:f t="shared" si="62"/>
        <x:v>양현수</x:v>
      </x:c>
      <x:c r="M681" s="63"/>
      <x:c r="N681" s="30">
        <x:f>IF(F681="2","",COUNTIF($F$3:$F681,"=1"))</x:f>
        <x:v>604</x:v>
      </x:c>
      <x:c r="O681" s="30">
        <x:f t="shared" si="63"/>
        <x:v>8</x:v>
      </x:c>
      <x:c r="P681" s="30">
        <x:f t="shared" si="65"/>
        <x:v>6</x:v>
      </x:c>
      <x:c r="Q681" s="30">
        <x:f>COUNTIF($P$3:P681,"=3")</x:f>
        <x:v>76</x:v>
      </x:c>
      <x:c r="R681" s="29">
        <x:f>WORKDAY(기본입력!$H$2,Q681-1,공휴일)</x:f>
        <x:v>46036</x:v>
      </x:c>
    </x:row>
    <x:row r="682" spans="1:18">
      <x:c r="A682" s="145" t="str">
        <x:f t="shared" si="64"/>
        <x:v>20260114</x:v>
      </x:c>
      <x:c r="B682" s="8" t="s">
        <x:v>5</x:v>
      </x:c>
      <x:c r="C682" s="8">
        <x:v>1740</x:v>
      </x:c>
      <x:c r="D682" s="7" t="s">
        <x:v>1</x:v>
      </x:c>
      <x:c r="E682" s="8" t="s">
        <x:v>0</x:v>
      </x:c>
      <x:c r="F682" s="8" t="s">
        <x:v>41</x:v>
      </x:c>
      <x:c r="G682" s="15" t="str">
        <x:f>IF(OR(N682="",N682&gt;기본입력!$C$34),"",VLOOKUP(O682,기본입력!$A$9:$F$33,5))</x:f>
        <x:v/>
      </x:c>
      <x:c r="H682" s="15" t="str">
        <x:f>IF(OR(N682="",N682&gt;기본입력!$C$34),"",기본입력!$C$6)</x:f>
        <x:v/>
      </x:c>
      <x:c r="I682" s="15" t="str">
        <x:f>IF(OR(O682="",N682&gt;기본입력!$C$34),"",VLOOKUP(O682,기본입력!$A$9:$F$33,6,FALSE))</x:f>
        <x:v/>
      </x:c>
      <x:c r="J682" s="38" t="str">
        <x:f t="shared" si="60"/>
        <x:v/>
      </x:c>
      <x:c r="K682" s="38" t="str">
        <x:f t="shared" si="61"/>
        <x:v/>
      </x:c>
      <x:c r="L682" s="38" t="str">
        <x:f t="shared" si="62"/>
        <x:v/>
      </x:c>
      <x:c r="M682" s="63"/>
      <x:c r="N682" s="30" t="str">
        <x:f>IF(F682="2","",COUNTIF($F$3:$F682,"=1"))</x:f>
        <x:v/>
      </x:c>
      <x:c r="O682" s="30" t="str">
        <x:f t="shared" si="63"/>
        <x:v/>
      </x:c>
      <x:c r="P682" s="30">
        <x:f t="shared" si="65"/>
        <x:v>7</x:v>
      </x:c>
      <x:c r="Q682" s="30">
        <x:f>COUNTIF($P$3:P682,"=3")</x:f>
        <x:v>76</x:v>
      </x:c>
      <x:c r="R682" s="29">
        <x:f>WORKDAY(기본입력!$H$2,Q682-1,공휴일)</x:f>
        <x:v>46036</x:v>
      </x:c>
    </x:row>
    <x:row r="683" spans="1:18">
      <x:c r="A683" s="145" t="str">
        <x:f t="shared" si="64"/>
        <x:v>20260114</x:v>
      </x:c>
      <x:c r="B683" s="8" t="s">
        <x:v>5</x:v>
      </x:c>
      <x:c r="C683" s="8">
        <x:v>1740</x:v>
      </x:c>
      <x:c r="D683" s="7" t="s">
        <x:v>1</x:v>
      </x:c>
      <x:c r="E683" s="8">
        <x:v>1340</x:v>
      </x:c>
      <x:c r="F683" s="8" t="s">
        <x:v>40</x:v>
      </x:c>
      <x:c r="G683" s="15" t="str">
        <x:f>IF(OR(N683="",N683&gt;기본입력!$C$34),"",VLOOKUP(O683,기본입력!$A$9:$F$33,5))</x:f>
        <x:v>양현수_53778</x:v>
      </x:c>
      <x:c r="H683" s="15" t="str">
        <x:f>IF(OR(N683="",N683&gt;기본입력!$C$34),"",기본입력!$C$6)</x:f>
        <x:v>1교육실(실습겸용강의실)_243089</x:v>
      </x:c>
      <x:c r="I683" s="15" t="str">
        <x:f>IF(OR(O683="",N683&gt;기본입력!$C$34),"",VLOOKUP(O683,기본입력!$A$9:$F$33,6,FALSE))</x:f>
        <x:v>빅데이터 시스템 구축__7</x:v>
      </x:c>
      <x:c r="J683" s="38" t="str">
        <x:f t="shared" si="60"/>
        <x:v>빅데이터 시스템 구축</x:v>
      </x:c>
      <x:c r="K683" s="38" t="str">
        <x:f t="shared" si="61"/>
        <x:v>1교육실(실습겸용강의실)</x:v>
      </x:c>
      <x:c r="L683" s="38" t="str">
        <x:f t="shared" si="62"/>
        <x:v>양현수</x:v>
      </x:c>
      <x:c r="M683" s="63"/>
      <x:c r="N683" s="30">
        <x:f>IF(F683="2","",COUNTIF($F$3:$F683,"=1"))</x:f>
        <x:v>605</x:v>
      </x:c>
      <x:c r="O683" s="30">
        <x:f t="shared" si="63"/>
        <x:v>8</x:v>
      </x:c>
      <x:c r="P683" s="30">
        <x:f t="shared" si="65"/>
        <x:v>8</x:v>
      </x:c>
      <x:c r="Q683" s="30">
        <x:f>COUNTIF($P$3:P683,"=3")</x:f>
        <x:v>76</x:v>
      </x:c>
      <x:c r="R683" s="29">
        <x:f>WORKDAY(기본입력!$H$2,Q683-1,공휴일)</x:f>
        <x:v>46036</x:v>
      </x:c>
    </x:row>
    <x:row r="684" spans="1:18">
      <x:c r="A684" s="145" t="str">
        <x:f t="shared" si="64"/>
        <x:v>20260114</x:v>
      </x:c>
      <x:c r="B684" s="8" t="s">
        <x:v>5</x:v>
      </x:c>
      <x:c r="C684" s="8">
        <x:v>1740</x:v>
      </x:c>
      <x:c r="D684" s="7" t="s">
        <x:v>1</x:v>
      </x:c>
      <x:c r="E684" s="8">
        <x:v>1440</x:v>
      </x:c>
      <x:c r="F684" s="8" t="s">
        <x:v>40</x:v>
      </x:c>
      <x:c r="G684" s="15" t="str">
        <x:f>IF(OR(N684="",N684&gt;기본입력!$C$34),"",VLOOKUP(O684,기본입력!$A$9:$F$33,5))</x:f>
        <x:v>양현수_53778</x:v>
      </x:c>
      <x:c r="H684" s="15" t="str">
        <x:f>IF(OR(N684="",N684&gt;기본입력!$C$34),"",기본입력!$C$6)</x:f>
        <x:v>1교육실(실습겸용강의실)_243089</x:v>
      </x:c>
      <x:c r="I684" s="15" t="str">
        <x:f>IF(OR(O684="",N684&gt;기본입력!$C$34),"",VLOOKUP(O684,기본입력!$A$9:$F$33,6,FALSE))</x:f>
        <x:v>빅데이터 시스템 구축__7</x:v>
      </x:c>
      <x:c r="J684" s="38" t="str">
        <x:f t="shared" si="60"/>
        <x:v>빅데이터 시스템 구축</x:v>
      </x:c>
      <x:c r="K684" s="38" t="str">
        <x:f t="shared" si="61"/>
        <x:v>1교육실(실습겸용강의실)</x:v>
      </x:c>
      <x:c r="L684" s="38" t="str">
        <x:f t="shared" si="62"/>
        <x:v>양현수</x:v>
      </x:c>
      <x:c r="M684" s="63"/>
      <x:c r="N684" s="30">
        <x:f>IF(F684="2","",COUNTIF($F$3:$F684,"=1"))</x:f>
        <x:v>606</x:v>
      </x:c>
      <x:c r="O684" s="30">
        <x:f t="shared" si="63"/>
        <x:v>8</x:v>
      </x:c>
      <x:c r="P684" s="30">
        <x:f t="shared" si="65"/>
        <x:v>0</x:v>
      </x:c>
      <x:c r="Q684" s="30">
        <x:f>COUNTIF($P$3:P684,"=3")</x:f>
        <x:v>76</x:v>
      </x:c>
      <x:c r="R684" s="29">
        <x:f>WORKDAY(기본입력!$H$2,Q684-1,공휴일)</x:f>
        <x:v>46036</x:v>
      </x:c>
    </x:row>
    <x:row r="685" spans="1:18">
      <x:c r="A685" s="145" t="str">
        <x:f t="shared" si="64"/>
        <x:v>20260114</x:v>
      </x:c>
      <x:c r="B685" s="8" t="s">
        <x:v>5</x:v>
      </x:c>
      <x:c r="C685" s="8">
        <x:v>1740</x:v>
      </x:c>
      <x:c r="D685" s="7" t="s">
        <x:v>1</x:v>
      </x:c>
      <x:c r="E685" s="8">
        <x:v>1540</x:v>
      </x:c>
      <x:c r="F685" s="8" t="s">
        <x:v>40</x:v>
      </x:c>
      <x:c r="G685" s="15" t="str">
        <x:f>IF(OR(N685="",N685&gt;기본입력!$C$34),"",VLOOKUP(O685,기본입력!$A$9:$F$33,5))</x:f>
        <x:v>양현수_53778</x:v>
      </x:c>
      <x:c r="H685" s="15" t="str">
        <x:f>IF(OR(N685="",N685&gt;기본입력!$C$34),"",기본입력!$C$6)</x:f>
        <x:v>1교육실(실습겸용강의실)_243089</x:v>
      </x:c>
      <x:c r="I685" s="15" t="str">
        <x:f>IF(OR(O685="",N685&gt;기본입력!$C$34),"",VLOOKUP(O685,기본입력!$A$9:$F$33,6,FALSE))</x:f>
        <x:v>빅데이터 시스템 구축__7</x:v>
      </x:c>
      <x:c r="J685" s="38" t="str">
        <x:f t="shared" si="60"/>
        <x:v>빅데이터 시스템 구축</x:v>
      </x:c>
      <x:c r="K685" s="38" t="str">
        <x:f t="shared" si="61"/>
        <x:v>1교육실(실습겸용강의실)</x:v>
      </x:c>
      <x:c r="L685" s="38" t="str">
        <x:f t="shared" si="62"/>
        <x:v>양현수</x:v>
      </x:c>
      <x:c r="M685" s="63"/>
      <x:c r="N685" s="30">
        <x:f>IF(F685="2","",COUNTIF($F$3:$F685,"=1"))</x:f>
        <x:v>607</x:v>
      </x:c>
      <x:c r="O685" s="30">
        <x:f t="shared" si="63"/>
        <x:v>8</x:v>
      </x:c>
      <x:c r="P685" s="30">
        <x:f t="shared" si="65"/>
        <x:v>1</x:v>
      </x:c>
      <x:c r="Q685" s="30">
        <x:f>COUNTIF($P$3:P685,"=3")</x:f>
        <x:v>76</x:v>
      </x:c>
      <x:c r="R685" s="29">
        <x:f>WORKDAY(기본입력!$H$2,Q685-1,공휴일)</x:f>
        <x:v>46036</x:v>
      </x:c>
    </x:row>
    <x:row r="686" spans="1:18">
      <x:c r="A686" s="145" t="str">
        <x:f t="shared" si="64"/>
        <x:v>20260114</x:v>
      </x:c>
      <x:c r="B686" s="8" t="s">
        <x:v>5</x:v>
      </x:c>
      <x:c r="C686" s="8">
        <x:v>1740</x:v>
      </x:c>
      <x:c r="D686" s="7" t="s">
        <x:v>1</x:v>
      </x:c>
      <x:c r="E686" s="8">
        <x:v>1640</x:v>
      </x:c>
      <x:c r="F686" s="8" t="s">
        <x:v>40</x:v>
      </x:c>
      <x:c r="G686" s="15" t="str">
        <x:f>IF(OR(N686="",N686&gt;기본입력!$C$34),"",VLOOKUP(O686,기본입력!$A$9:$F$33,5))</x:f>
        <x:v>양현수_53778</x:v>
      </x:c>
      <x:c r="H686" s="15" t="str">
        <x:f>IF(OR(N686="",N686&gt;기본입력!$C$34),"",기본입력!$C$6)</x:f>
        <x:v>1교육실(실습겸용강의실)_243089</x:v>
      </x:c>
      <x:c r="I686" s="15" t="str">
        <x:f>IF(OR(O686="",N686&gt;기본입력!$C$34),"",VLOOKUP(O686,기본입력!$A$9:$F$33,6,FALSE))</x:f>
        <x:v>빅데이터 시스템 구축__7</x:v>
      </x:c>
      <x:c r="J686" s="38" t="str">
        <x:f t="shared" si="60"/>
        <x:v>빅데이터 시스템 구축</x:v>
      </x:c>
      <x:c r="K686" s="38" t="str">
        <x:f t="shared" si="61"/>
        <x:v>1교육실(실습겸용강의실)</x:v>
      </x:c>
      <x:c r="L686" s="38" t="str">
        <x:f t="shared" si="62"/>
        <x:v>양현수</x:v>
      </x:c>
      <x:c r="M686" s="63"/>
      <x:c r="N686" s="30">
        <x:f>IF(F686="2","",COUNTIF($F$3:$F686,"=1"))</x:f>
        <x:v>608</x:v>
      </x:c>
      <x:c r="O686" s="30">
        <x:f t="shared" si="63"/>
        <x:v>8</x:v>
      </x:c>
      <x:c r="P686" s="30">
        <x:f t="shared" si="65"/>
        <x:v>2</x:v>
      </x:c>
      <x:c r="Q686" s="30">
        <x:f>COUNTIF($P$3:P686,"=3")</x:f>
        <x:v>76</x:v>
      </x:c>
      <x:c r="R686" s="29">
        <x:f>WORKDAY(기본입력!$H$2,Q686-1,공휴일)</x:f>
        <x:v>46036</x:v>
      </x:c>
    </x:row>
    <x:row r="687" spans="1:18">
      <x:c r="A687" s="144" t="str">
        <x:f t="shared" si="64"/>
        <x:v>20260115</x:v>
      </x:c>
      <x:c r="B687" s="6" t="s">
        <x:v>5</x:v>
      </x:c>
      <x:c r="C687" s="6">
        <x:v>1740</x:v>
      </x:c>
      <x:c r="D687" s="5" t="s">
        <x:v>1</x:v>
      </x:c>
      <x:c r="E687" s="6" t="s">
        <x:v>5</x:v>
      </x:c>
      <x:c r="F687" s="6" t="s">
        <x:v>40</x:v>
      </x:c>
      <x:c r="G687" s="14" t="str">
        <x:f>IF(OR(N687="",N687&gt;기본입력!$C$34),"",VLOOKUP(O687,기본입력!$A$9:$F$33,5))</x:f>
        <x:v>양현수_53778</x:v>
      </x:c>
      <x:c r="H687" s="14" t="str">
        <x:f>IF(OR(N687="",N687&gt;기본입력!$C$34),"",기본입력!$C$6)</x:f>
        <x:v>1교육실(실습겸용강의실)_243089</x:v>
      </x:c>
      <x:c r="I687" s="14" t="str">
        <x:f>IF(OR(O687="",N687&gt;기본입력!$C$34),"",VLOOKUP(O687,기본입력!$A$9:$F$33,6,FALSE))</x:f>
        <x:v>빅데이터 시스템 구축__7</x:v>
      </x:c>
      <x:c r="J687" s="38" t="str">
        <x:f t="shared" si="60"/>
        <x:v>빅데이터 시스템 구축</x:v>
      </x:c>
      <x:c r="K687" s="38" t="str">
        <x:f t="shared" si="61"/>
        <x:v>1교육실(실습겸용강의실)</x:v>
      </x:c>
      <x:c r="L687" s="38" t="str">
        <x:f t="shared" si="62"/>
        <x:v>양현수</x:v>
      </x:c>
      <x:c r="M687" s="63"/>
      <x:c r="N687" s="30">
        <x:f>IF(F687="2","",COUNTIF($F$3:$F687,"=1"))</x:f>
        <x:v>609</x:v>
      </x:c>
      <x:c r="O687" s="30">
        <x:f t="shared" si="63"/>
        <x:v>8</x:v>
      </x:c>
      <x:c r="P687" s="30">
        <x:f t="shared" si="65"/>
        <x:v>3</x:v>
      </x:c>
      <x:c r="Q687" s="30">
        <x:f>COUNTIF($P$3:P687,"=3")</x:f>
        <x:v>77</x:v>
      </x:c>
      <x:c r="R687" s="29">
        <x:f>WORKDAY(기본입력!$H$2,Q687-1,공휴일)</x:f>
        <x:v>46037</x:v>
      </x:c>
    </x:row>
    <x:row r="688" spans="1:18">
      <x:c r="A688" s="144" t="str">
        <x:f t="shared" si="64"/>
        <x:v>20260115</x:v>
      </x:c>
      <x:c r="B688" s="6" t="s">
        <x:v>5</x:v>
      </x:c>
      <x:c r="C688" s="6">
        <x:v>1740</x:v>
      </x:c>
      <x:c r="D688" s="5" t="s">
        <x:v>1</x:v>
      </x:c>
      <x:c r="E688" s="6" t="s">
        <x:v>117</x:v>
      </x:c>
      <x:c r="F688" s="6" t="s">
        <x:v>40</x:v>
      </x:c>
      <x:c r="G688" s="14" t="str">
        <x:f>IF(OR(N688="",N688&gt;기본입력!$C$34),"",VLOOKUP(O688,기본입력!$A$9:$F$33,5))</x:f>
        <x:v>양현수_53778</x:v>
      </x:c>
      <x:c r="H688" s="14" t="str">
        <x:f>IF(OR(N688="",N688&gt;기본입력!$C$34),"",기본입력!$C$6)</x:f>
        <x:v>1교육실(실습겸용강의실)_243089</x:v>
      </x:c>
      <x:c r="I688" s="14" t="str">
        <x:f>IF(OR(O688="",N688&gt;기본입력!$C$34),"",VLOOKUP(O688,기본입력!$A$9:$F$33,6,FALSE))</x:f>
        <x:v>빅데이터 시스템 구축__7</x:v>
      </x:c>
      <x:c r="J688" s="38" t="str">
        <x:f t="shared" si="60"/>
        <x:v>빅데이터 시스템 구축</x:v>
      </x:c>
      <x:c r="K688" s="38" t="str">
        <x:f t="shared" si="61"/>
        <x:v>1교육실(실습겸용강의실)</x:v>
      </x:c>
      <x:c r="L688" s="38" t="str">
        <x:f t="shared" si="62"/>
        <x:v>양현수</x:v>
      </x:c>
      <x:c r="M688" s="63"/>
      <x:c r="N688" s="30">
        <x:f>IF(F688="2","",COUNTIF($F$3:$F688,"=1"))</x:f>
        <x:v>610</x:v>
      </x:c>
      <x:c r="O688" s="30">
        <x:f t="shared" si="63"/>
        <x:v>8</x:v>
      </x:c>
      <x:c r="P688" s="30">
        <x:f t="shared" si="65"/>
        <x:v>4</x:v>
      </x:c>
      <x:c r="Q688" s="30">
        <x:f>COUNTIF($P$3:P688,"=3")</x:f>
        <x:v>77</x:v>
      </x:c>
      <x:c r="R688" s="29">
        <x:f>WORKDAY(기본입력!$H$2,Q688-1,공휴일)</x:f>
        <x:v>46037</x:v>
      </x:c>
    </x:row>
    <x:row r="689" spans="1:18">
      <x:c r="A689" s="144" t="str">
        <x:f t="shared" si="64"/>
        <x:v>20260115</x:v>
      </x:c>
      <x:c r="B689" s="6" t="s">
        <x:v>5</x:v>
      </x:c>
      <x:c r="C689" s="6">
        <x:v>1740</x:v>
      </x:c>
      <x:c r="D689" s="5" t="s">
        <x:v>1</x:v>
      </x:c>
      <x:c r="E689" s="6" t="s">
        <x:v>87</x:v>
      </x:c>
      <x:c r="F689" s="6" t="s">
        <x:v>40</x:v>
      </x:c>
      <x:c r="G689" s="14" t="str">
        <x:f>IF(OR(N689="",N689&gt;기본입력!$C$34),"",VLOOKUP(O689,기본입력!$A$9:$F$33,5))</x:f>
        <x:v>양현수_53778</x:v>
      </x:c>
      <x:c r="H689" s="14" t="str">
        <x:f>IF(OR(N689="",N689&gt;기본입력!$C$34),"",기본입력!$C$6)</x:f>
        <x:v>1교육실(실습겸용강의실)_243089</x:v>
      </x:c>
      <x:c r="I689" s="14" t="str">
        <x:f>IF(OR(O689="",N689&gt;기본입력!$C$34),"",VLOOKUP(O689,기본입력!$A$9:$F$33,6,FALSE))</x:f>
        <x:v>빅데이터 시스템 구축__7</x:v>
      </x:c>
      <x:c r="J689" s="38" t="str">
        <x:f t="shared" si="60"/>
        <x:v>빅데이터 시스템 구축</x:v>
      </x:c>
      <x:c r="K689" s="38" t="str">
        <x:f t="shared" si="61"/>
        <x:v>1교육실(실습겸용강의실)</x:v>
      </x:c>
      <x:c r="L689" s="38" t="str">
        <x:f t="shared" si="62"/>
        <x:v>양현수</x:v>
      </x:c>
      <x:c r="M689" s="63"/>
      <x:c r="N689" s="30">
        <x:f>IF(F689="2","",COUNTIF($F$3:$F689,"=1"))</x:f>
        <x:v>611</x:v>
      </x:c>
      <x:c r="O689" s="30">
        <x:f t="shared" si="63"/>
        <x:v>8</x:v>
      </x:c>
      <x:c r="P689" s="30">
        <x:f t="shared" si="65"/>
        <x:v>5</x:v>
      </x:c>
      <x:c r="Q689" s="30">
        <x:f>COUNTIF($P$3:P689,"=3")</x:f>
        <x:v>77</x:v>
      </x:c>
      <x:c r="R689" s="29">
        <x:f>WORKDAY(기본입력!$H$2,Q689-1,공휴일)</x:f>
        <x:v>46037</x:v>
      </x:c>
    </x:row>
    <x:row r="690" spans="1:18">
      <x:c r="A690" s="144" t="str">
        <x:f t="shared" si="64"/>
        <x:v>20260115</x:v>
      </x:c>
      <x:c r="B690" s="6" t="s">
        <x:v>5</x:v>
      </x:c>
      <x:c r="C690" s="6">
        <x:v>1740</x:v>
      </x:c>
      <x:c r="D690" s="5" t="s">
        <x:v>1</x:v>
      </x:c>
      <x:c r="E690" s="6" t="s">
        <x:v>88</x:v>
      </x:c>
      <x:c r="F690" s="6" t="s">
        <x:v>40</x:v>
      </x:c>
      <x:c r="G690" s="14" t="str">
        <x:f>IF(OR(N690="",N690&gt;기본입력!$C$34),"",VLOOKUP(O690,기본입력!$A$9:$F$33,5))</x:f>
        <x:v>양현수_53778</x:v>
      </x:c>
      <x:c r="H690" s="14" t="str">
        <x:f>IF(OR(N690="",N690&gt;기본입력!$C$34),"",기본입력!$C$6)</x:f>
        <x:v>1교육실(실습겸용강의실)_243089</x:v>
      </x:c>
      <x:c r="I690" s="14" t="str">
        <x:f>IF(OR(O690="",N690&gt;기본입력!$C$34),"",VLOOKUP(O690,기본입력!$A$9:$F$33,6,FALSE))</x:f>
        <x:v>빅데이터 시스템 구축__7</x:v>
      </x:c>
      <x:c r="J690" s="38" t="str">
        <x:f t="shared" ref="J690:J753" si="66">IF(F690="2","",LEFT(I690,FIND("_",I690,2)-1))</x:f>
        <x:v>빅데이터 시스템 구축</x:v>
      </x:c>
      <x:c r="K690" s="38" t="str">
        <x:f t="shared" ref="K690:K753" si="67">IF(F690="2","",LEFT(H690,FIND("_",H690,2)-1))</x:f>
        <x:v>1교육실(실습겸용강의실)</x:v>
      </x:c>
      <x:c r="L690" s="38" t="str">
        <x:f t="shared" ref="L690:L753" si="68">IF(F690="2","",LEFT(G690,FIND("_",G690,2)-1))</x:f>
        <x:v>양현수</x:v>
      </x:c>
      <x:c r="M690" s="63"/>
      <x:c r="N690" s="30">
        <x:f>IF(F690="2","",COUNTIF($F$3:$F690,"=1"))</x:f>
        <x:v>612</x:v>
      </x:c>
      <x:c r="O690" s="30">
        <x:f t="shared" si="63"/>
        <x:v>8</x:v>
      </x:c>
      <x:c r="P690" s="30">
        <x:f t="shared" si="65"/>
        <x:v>6</x:v>
      </x:c>
      <x:c r="Q690" s="30">
        <x:f>COUNTIF($P$3:P690,"=3")</x:f>
        <x:v>77</x:v>
      </x:c>
      <x:c r="R690" s="29">
        <x:f>WORKDAY(기본입력!$H$2,Q690-1,공휴일)</x:f>
        <x:v>46037</x:v>
      </x:c>
    </x:row>
    <x:row r="691" spans="1:18">
      <x:c r="A691" s="144" t="str">
        <x:f t="shared" si="64"/>
        <x:v>20260115</x:v>
      </x:c>
      <x:c r="B691" s="6" t="s">
        <x:v>5</x:v>
      </x:c>
      <x:c r="C691" s="6">
        <x:v>1740</x:v>
      </x:c>
      <x:c r="D691" s="5" t="s">
        <x:v>1</x:v>
      </x:c>
      <x:c r="E691" s="6" t="s">
        <x:v>0</x:v>
      </x:c>
      <x:c r="F691" s="6" t="s">
        <x:v>41</x:v>
      </x:c>
      <x:c r="G691" s="14" t="str">
        <x:f>IF(OR(N691="",N691&gt;기본입력!$C$34),"",VLOOKUP(O691,기본입력!$A$9:$F$33,5))</x:f>
        <x:v/>
      </x:c>
      <x:c r="H691" s="14" t="str">
        <x:f>IF(OR(N691="",N691&gt;기본입력!$C$34),"",기본입력!$C$6)</x:f>
        <x:v/>
      </x:c>
      <x:c r="I691" s="14" t="str">
        <x:f>IF(OR(O691="",N691&gt;기본입력!$C$34),"",VLOOKUP(O691,기본입력!$A$9:$F$33,6,FALSE))</x:f>
        <x:v/>
      </x:c>
      <x:c r="J691" s="38" t="str">
        <x:f t="shared" si="66"/>
        <x:v/>
      </x:c>
      <x:c r="K691" s="38" t="str">
        <x:f t="shared" si="67"/>
        <x:v/>
      </x:c>
      <x:c r="L691" s="38" t="str">
        <x:f t="shared" si="68"/>
        <x:v/>
      </x:c>
      <x:c r="M691" s="63"/>
      <x:c r="N691" s="30" t="str">
        <x:f>IF(F691="2","",COUNTIF($F$3:$F691,"=1"))</x:f>
        <x:v/>
      </x:c>
      <x:c r="O691" s="30" t="str">
        <x:f t="shared" si="63"/>
        <x:v/>
      </x:c>
      <x:c r="P691" s="30">
        <x:f t="shared" si="65"/>
        <x:v>7</x:v>
      </x:c>
      <x:c r="Q691" s="30">
        <x:f>COUNTIF($P$3:P691,"=3")</x:f>
        <x:v>77</x:v>
      </x:c>
      <x:c r="R691" s="29">
        <x:f>WORKDAY(기본입력!$H$2,Q691-1,공휴일)</x:f>
        <x:v>46037</x:v>
      </x:c>
    </x:row>
    <x:row r="692" spans="1:18">
      <x:c r="A692" s="144" t="str">
        <x:f t="shared" si="64"/>
        <x:v>20260115</x:v>
      </x:c>
      <x:c r="B692" s="6" t="s">
        <x:v>5</x:v>
      </x:c>
      <x:c r="C692" s="6">
        <x:v>1740</x:v>
      </x:c>
      <x:c r="D692" s="5" t="s">
        <x:v>1</x:v>
      </x:c>
      <x:c r="E692" s="6">
        <x:v>1340</x:v>
      </x:c>
      <x:c r="F692" s="6" t="s">
        <x:v>40</x:v>
      </x:c>
      <x:c r="G692" s="14" t="str">
        <x:f>IF(OR(N692="",N692&gt;기본입력!$C$34),"",VLOOKUP(O692,기본입력!$A$9:$F$33,5))</x:f>
        <x:v>양현수_53778</x:v>
      </x:c>
      <x:c r="H692" s="14" t="str">
        <x:f>IF(OR(N692="",N692&gt;기본입력!$C$34),"",기본입력!$C$6)</x:f>
        <x:v>1교육실(실습겸용강의실)_243089</x:v>
      </x:c>
      <x:c r="I692" s="14" t="str">
        <x:f>IF(OR(O692="",N692&gt;기본입력!$C$34),"",VLOOKUP(O692,기본입력!$A$9:$F$33,6,FALSE))</x:f>
        <x:v>빅데이터 시스템 구축__7</x:v>
      </x:c>
      <x:c r="J692" s="38" t="str">
        <x:f t="shared" si="66"/>
        <x:v>빅데이터 시스템 구축</x:v>
      </x:c>
      <x:c r="K692" s="38" t="str">
        <x:f t="shared" si="67"/>
        <x:v>1교육실(실습겸용강의실)</x:v>
      </x:c>
      <x:c r="L692" s="38" t="str">
        <x:f t="shared" si="68"/>
        <x:v>양현수</x:v>
      </x:c>
      <x:c r="M692" s="63"/>
      <x:c r="N692" s="30">
        <x:f>IF(F692="2","",COUNTIF($F$3:$F692,"=1"))</x:f>
        <x:v>613</x:v>
      </x:c>
      <x:c r="O692" s="30">
        <x:f t="shared" si="63"/>
        <x:v>8</x:v>
      </x:c>
      <x:c r="P692" s="30">
        <x:f t="shared" si="65"/>
        <x:v>8</x:v>
      </x:c>
      <x:c r="Q692" s="30">
        <x:f>COUNTIF($P$3:P692,"=3")</x:f>
        <x:v>77</x:v>
      </x:c>
      <x:c r="R692" s="29">
        <x:f>WORKDAY(기본입력!$H$2,Q692-1,공휴일)</x:f>
        <x:v>46037</x:v>
      </x:c>
    </x:row>
    <x:row r="693" spans="1:18">
      <x:c r="A693" s="144" t="str">
        <x:f t="shared" si="64"/>
        <x:v>20260115</x:v>
      </x:c>
      <x:c r="B693" s="6" t="s">
        <x:v>5</x:v>
      </x:c>
      <x:c r="C693" s="6">
        <x:v>1740</x:v>
      </x:c>
      <x:c r="D693" s="5" t="s">
        <x:v>1</x:v>
      </x:c>
      <x:c r="E693" s="6">
        <x:v>1440</x:v>
      </x:c>
      <x:c r="F693" s="6" t="s">
        <x:v>40</x:v>
      </x:c>
      <x:c r="G693" s="14" t="str">
        <x:f>IF(OR(N693="",N693&gt;기본입력!$C$34),"",VLOOKUP(O693,기본입력!$A$9:$F$33,5))</x:f>
        <x:v>양현수_53778</x:v>
      </x:c>
      <x:c r="H693" s="14" t="str">
        <x:f>IF(OR(N693="",N693&gt;기본입력!$C$34),"",기본입력!$C$6)</x:f>
        <x:v>1교육실(실습겸용강의실)_243089</x:v>
      </x:c>
      <x:c r="I693" s="14" t="str">
        <x:f>IF(OR(O693="",N693&gt;기본입력!$C$34),"",VLOOKUP(O693,기본입력!$A$9:$F$33,6,FALSE))</x:f>
        <x:v>빅데이터 시스템 구축__7</x:v>
      </x:c>
      <x:c r="J693" s="38" t="str">
        <x:f t="shared" si="66"/>
        <x:v>빅데이터 시스템 구축</x:v>
      </x:c>
      <x:c r="K693" s="38" t="str">
        <x:f t="shared" si="67"/>
        <x:v>1교육실(실습겸용강의실)</x:v>
      </x:c>
      <x:c r="L693" s="38" t="str">
        <x:f t="shared" si="68"/>
        <x:v>양현수</x:v>
      </x:c>
      <x:c r="M693" s="63"/>
      <x:c r="N693" s="30">
        <x:f>IF(F693="2","",COUNTIF($F$3:$F693,"=1"))</x:f>
        <x:v>614</x:v>
      </x:c>
      <x:c r="O693" s="30">
        <x:f t="shared" si="63"/>
        <x:v>8</x:v>
      </x:c>
      <x:c r="P693" s="30">
        <x:f t="shared" si="65"/>
        <x:v>0</x:v>
      </x:c>
      <x:c r="Q693" s="30">
        <x:f>COUNTIF($P$3:P693,"=3")</x:f>
        <x:v>77</x:v>
      </x:c>
      <x:c r="R693" s="29">
        <x:f>WORKDAY(기본입력!$H$2,Q693-1,공휴일)</x:f>
        <x:v>46037</x:v>
      </x:c>
    </x:row>
    <x:row r="694" spans="1:18">
      <x:c r="A694" s="144" t="str">
        <x:f t="shared" si="64"/>
        <x:v>20260115</x:v>
      </x:c>
      <x:c r="B694" s="6" t="s">
        <x:v>5</x:v>
      </x:c>
      <x:c r="C694" s="6">
        <x:v>1740</x:v>
      </x:c>
      <x:c r="D694" s="5" t="s">
        <x:v>1</x:v>
      </x:c>
      <x:c r="E694" s="6">
        <x:v>1540</x:v>
      </x:c>
      <x:c r="F694" s="6" t="s">
        <x:v>40</x:v>
      </x:c>
      <x:c r="G694" s="14" t="str">
        <x:f>IF(OR(N694="",N694&gt;기본입력!$C$34),"",VLOOKUP(O694,기본입력!$A$9:$F$33,5))</x:f>
        <x:v>양현수_53778</x:v>
      </x:c>
      <x:c r="H694" s="14" t="str">
        <x:f>IF(OR(N694="",N694&gt;기본입력!$C$34),"",기본입력!$C$6)</x:f>
        <x:v>1교육실(실습겸용강의실)_243089</x:v>
      </x:c>
      <x:c r="I694" s="14" t="str">
        <x:f>IF(OR(O694="",N694&gt;기본입력!$C$34),"",VLOOKUP(O694,기본입력!$A$9:$F$33,6,FALSE))</x:f>
        <x:v>빅데이터 시스템 구축__7</x:v>
      </x:c>
      <x:c r="J694" s="38" t="str">
        <x:f t="shared" si="66"/>
        <x:v>빅데이터 시스템 구축</x:v>
      </x:c>
      <x:c r="K694" s="38" t="str">
        <x:f t="shared" si="67"/>
        <x:v>1교육실(실습겸용강의실)</x:v>
      </x:c>
      <x:c r="L694" s="38" t="str">
        <x:f t="shared" si="68"/>
        <x:v>양현수</x:v>
      </x:c>
      <x:c r="M694" s="63"/>
      <x:c r="N694" s="30">
        <x:f>IF(F694="2","",COUNTIF($F$3:$F694,"=1"))</x:f>
        <x:v>615</x:v>
      </x:c>
      <x:c r="O694" s="30">
        <x:f t="shared" si="63"/>
        <x:v>8</x:v>
      </x:c>
      <x:c r="P694" s="30">
        <x:f t="shared" si="65"/>
        <x:v>1</x:v>
      </x:c>
      <x:c r="Q694" s="30">
        <x:f>COUNTIF($P$3:P694,"=3")</x:f>
        <x:v>77</x:v>
      </x:c>
      <x:c r="R694" s="29">
        <x:f>WORKDAY(기본입력!$H$2,Q694-1,공휴일)</x:f>
        <x:v>46037</x:v>
      </x:c>
    </x:row>
    <x:row r="695" spans="1:18">
      <x:c r="A695" s="144" t="str">
        <x:f t="shared" si="64"/>
        <x:v>20260115</x:v>
      </x:c>
      <x:c r="B695" s="6" t="s">
        <x:v>5</x:v>
      </x:c>
      <x:c r="C695" s="6">
        <x:v>1740</x:v>
      </x:c>
      <x:c r="D695" s="5" t="s">
        <x:v>1</x:v>
      </x:c>
      <x:c r="E695" s="6">
        <x:v>1640</x:v>
      </x:c>
      <x:c r="F695" s="6" t="s">
        <x:v>40</x:v>
      </x:c>
      <x:c r="G695" s="14" t="str">
        <x:f>IF(OR(N695="",N695&gt;기본입력!$C$34),"",VLOOKUP(O695,기본입력!$A$9:$F$33,5))</x:f>
        <x:v>양현수_53778</x:v>
      </x:c>
      <x:c r="H695" s="14" t="str">
        <x:f>IF(OR(N695="",N695&gt;기본입력!$C$34),"",기본입력!$C$6)</x:f>
        <x:v>1교육실(실습겸용강의실)_243089</x:v>
      </x:c>
      <x:c r="I695" s="14" t="str">
        <x:f>IF(OR(O695="",N695&gt;기본입력!$C$34),"",VLOOKUP(O695,기본입력!$A$9:$F$33,6,FALSE))</x:f>
        <x:v>빅데이터 시스템 구축__7</x:v>
      </x:c>
      <x:c r="J695" s="38" t="str">
        <x:f t="shared" si="66"/>
        <x:v>빅데이터 시스템 구축</x:v>
      </x:c>
      <x:c r="K695" s="38" t="str">
        <x:f t="shared" si="67"/>
        <x:v>1교육실(실습겸용강의실)</x:v>
      </x:c>
      <x:c r="L695" s="38" t="str">
        <x:f t="shared" si="68"/>
        <x:v>양현수</x:v>
      </x:c>
      <x:c r="M695" s="63"/>
      <x:c r="N695" s="30">
        <x:f>IF(F695="2","",COUNTIF($F$3:$F695,"=1"))</x:f>
        <x:v>616</x:v>
      </x:c>
      <x:c r="O695" s="30">
        <x:f t="shared" si="63"/>
        <x:v>8</x:v>
      </x:c>
      <x:c r="P695" s="30">
        <x:f t="shared" si="65"/>
        <x:v>2</x:v>
      </x:c>
      <x:c r="Q695" s="30">
        <x:f>COUNTIF($P$3:P695,"=3")</x:f>
        <x:v>77</x:v>
      </x:c>
      <x:c r="R695" s="29">
        <x:f>WORKDAY(기본입력!$H$2,Q695-1,공휴일)</x:f>
        <x:v>46037</x:v>
      </x:c>
    </x:row>
    <x:row r="696" spans="1:18">
      <x:c r="A696" s="145" t="str">
        <x:f t="shared" si="64"/>
        <x:v>20260116</x:v>
      </x:c>
      <x:c r="B696" s="8" t="s">
        <x:v>5</x:v>
      </x:c>
      <x:c r="C696" s="8">
        <x:v>1740</x:v>
      </x:c>
      <x:c r="D696" s="7" t="s">
        <x:v>1</x:v>
      </x:c>
      <x:c r="E696" s="8" t="s">
        <x:v>5</x:v>
      </x:c>
      <x:c r="F696" s="8" t="s">
        <x:v>40</x:v>
      </x:c>
      <x:c r="G696" s="15" t="str">
        <x:f>IF(OR(N696="",N696&gt;기본입력!$C$34),"",VLOOKUP(O696,기본입력!$A$9:$F$33,5))</x:f>
        <x:v>양현수_53778</x:v>
      </x:c>
      <x:c r="H696" s="15" t="str">
        <x:f>IF(OR(N696="",N696&gt;기본입력!$C$34),"",기본입력!$C$6)</x:f>
        <x:v>1교육실(실습겸용강의실)_243089</x:v>
      </x:c>
      <x:c r="I696" s="15" t="str">
        <x:f>IF(OR(O696="",N696&gt;기본입력!$C$34),"",VLOOKUP(O696,기본입력!$A$9:$F$33,6,FALSE))</x:f>
        <x:v>빅데이터 시스템 구축__7</x:v>
      </x:c>
      <x:c r="J696" s="38" t="str">
        <x:f t="shared" si="66"/>
        <x:v>빅데이터 시스템 구축</x:v>
      </x:c>
      <x:c r="K696" s="38" t="str">
        <x:f t="shared" si="67"/>
        <x:v>1교육실(실습겸용강의실)</x:v>
      </x:c>
      <x:c r="L696" s="38" t="str">
        <x:f t="shared" si="68"/>
        <x:v>양현수</x:v>
      </x:c>
      <x:c r="M696" s="63"/>
      <x:c r="N696" s="30">
        <x:f>IF(F696="2","",COUNTIF($F$3:$F696,"=1"))</x:f>
        <x:v>617</x:v>
      </x:c>
      <x:c r="O696" s="30">
        <x:f t="shared" si="63"/>
        <x:v>8</x:v>
      </x:c>
      <x:c r="P696" s="30">
        <x:f t="shared" si="65"/>
        <x:v>3</x:v>
      </x:c>
      <x:c r="Q696" s="30">
        <x:f>COUNTIF($P$3:P696,"=3")</x:f>
        <x:v>78</x:v>
      </x:c>
      <x:c r="R696" s="29">
        <x:f>WORKDAY(기본입력!$H$2,Q696-1,공휴일)</x:f>
        <x:v>46038</x:v>
      </x:c>
    </x:row>
    <x:row r="697" spans="1:18">
      <x:c r="A697" s="145" t="str">
        <x:f t="shared" si="64"/>
        <x:v>20260116</x:v>
      </x:c>
      <x:c r="B697" s="8" t="s">
        <x:v>5</x:v>
      </x:c>
      <x:c r="C697" s="8">
        <x:v>1740</x:v>
      </x:c>
      <x:c r="D697" s="7" t="s">
        <x:v>1</x:v>
      </x:c>
      <x:c r="E697" s="8" t="s">
        <x:v>117</x:v>
      </x:c>
      <x:c r="F697" s="8" t="s">
        <x:v>40</x:v>
      </x:c>
      <x:c r="G697" s="15" t="str">
        <x:f>IF(OR(N697="",N697&gt;기본입력!$C$34),"",VLOOKUP(O697,기본입력!$A$9:$F$33,5))</x:f>
        <x:v>양현수_53778</x:v>
      </x:c>
      <x:c r="H697" s="15" t="str">
        <x:f>IF(OR(N697="",N697&gt;기본입력!$C$34),"",기본입력!$C$6)</x:f>
        <x:v>1교육실(실습겸용강의실)_243089</x:v>
      </x:c>
      <x:c r="I697" s="15" t="str">
        <x:f>IF(OR(O697="",N697&gt;기본입력!$C$34),"",VLOOKUP(O697,기본입력!$A$9:$F$33,6,FALSE))</x:f>
        <x:v>빅데이터 시스템 구축__7</x:v>
      </x:c>
      <x:c r="J697" s="38" t="str">
        <x:f t="shared" si="66"/>
        <x:v>빅데이터 시스템 구축</x:v>
      </x:c>
      <x:c r="K697" s="38" t="str">
        <x:f t="shared" si="67"/>
        <x:v>1교육실(실습겸용강의실)</x:v>
      </x:c>
      <x:c r="L697" s="38" t="str">
        <x:f t="shared" si="68"/>
        <x:v>양현수</x:v>
      </x:c>
      <x:c r="M697" s="63"/>
      <x:c r="N697" s="30">
        <x:f>IF(F697="2","",COUNTIF($F$3:$F697,"=1"))</x:f>
        <x:v>618</x:v>
      </x:c>
      <x:c r="O697" s="30">
        <x:f t="shared" si="63"/>
        <x:v>8</x:v>
      </x:c>
      <x:c r="P697" s="30">
        <x:f t="shared" si="65"/>
        <x:v>4</x:v>
      </x:c>
      <x:c r="Q697" s="30">
        <x:f>COUNTIF($P$3:P697,"=3")</x:f>
        <x:v>78</x:v>
      </x:c>
      <x:c r="R697" s="29">
        <x:f>WORKDAY(기본입력!$H$2,Q697-1,공휴일)</x:f>
        <x:v>46038</x:v>
      </x:c>
    </x:row>
    <x:row r="698" spans="1:18">
      <x:c r="A698" s="145" t="str">
        <x:f t="shared" si="64"/>
        <x:v>20260116</x:v>
      </x:c>
      <x:c r="B698" s="8" t="s">
        <x:v>5</x:v>
      </x:c>
      <x:c r="C698" s="8">
        <x:v>1740</x:v>
      </x:c>
      <x:c r="D698" s="7" t="s">
        <x:v>1</x:v>
      </x:c>
      <x:c r="E698" s="8" t="s">
        <x:v>87</x:v>
      </x:c>
      <x:c r="F698" s="8" t="s">
        <x:v>40</x:v>
      </x:c>
      <x:c r="G698" s="15" t="str">
        <x:f>IF(OR(N698="",N698&gt;기본입력!$C$34),"",VLOOKUP(O698,기본입력!$A$9:$F$33,5))</x:f>
        <x:v>양현수_53778</x:v>
      </x:c>
      <x:c r="H698" s="15" t="str">
        <x:f>IF(OR(N698="",N698&gt;기본입력!$C$34),"",기본입력!$C$6)</x:f>
        <x:v>1교육실(실습겸용강의실)_243089</x:v>
      </x:c>
      <x:c r="I698" s="15" t="str">
        <x:f>IF(OR(O698="",N698&gt;기본입력!$C$34),"",VLOOKUP(O698,기본입력!$A$9:$F$33,6,FALSE))</x:f>
        <x:v>빅데이터 시스템 구축__7</x:v>
      </x:c>
      <x:c r="J698" s="38" t="str">
        <x:f t="shared" si="66"/>
        <x:v>빅데이터 시스템 구축</x:v>
      </x:c>
      <x:c r="K698" s="38" t="str">
        <x:f t="shared" si="67"/>
        <x:v>1교육실(실습겸용강의실)</x:v>
      </x:c>
      <x:c r="L698" s="38" t="str">
        <x:f t="shared" si="68"/>
        <x:v>양현수</x:v>
      </x:c>
      <x:c r="M698" s="63"/>
      <x:c r="N698" s="30">
        <x:f>IF(F698="2","",COUNTIF($F$3:$F698,"=1"))</x:f>
        <x:v>619</x:v>
      </x:c>
      <x:c r="O698" s="30">
        <x:f t="shared" si="63"/>
        <x:v>8</x:v>
      </x:c>
      <x:c r="P698" s="30">
        <x:f t="shared" si="65"/>
        <x:v>5</x:v>
      </x:c>
      <x:c r="Q698" s="30">
        <x:f>COUNTIF($P$3:P698,"=3")</x:f>
        <x:v>78</x:v>
      </x:c>
      <x:c r="R698" s="29">
        <x:f>WORKDAY(기본입력!$H$2,Q698-1,공휴일)</x:f>
        <x:v>46038</x:v>
      </x:c>
    </x:row>
    <x:row r="699" spans="1:18">
      <x:c r="A699" s="145" t="str">
        <x:f t="shared" si="64"/>
        <x:v>20260116</x:v>
      </x:c>
      <x:c r="B699" s="8" t="s">
        <x:v>5</x:v>
      </x:c>
      <x:c r="C699" s="8">
        <x:v>1740</x:v>
      </x:c>
      <x:c r="D699" s="7" t="s">
        <x:v>1</x:v>
      </x:c>
      <x:c r="E699" s="8" t="s">
        <x:v>88</x:v>
      </x:c>
      <x:c r="F699" s="8" t="s">
        <x:v>40</x:v>
      </x:c>
      <x:c r="G699" s="15" t="str">
        <x:f>IF(OR(N699="",N699&gt;기본입력!$C$34),"",VLOOKUP(O699,기본입력!$A$9:$F$33,5))</x:f>
        <x:v>양현수_53778</x:v>
      </x:c>
      <x:c r="H699" s="15" t="str">
        <x:f>IF(OR(N699="",N699&gt;기본입력!$C$34),"",기본입력!$C$6)</x:f>
        <x:v>1교육실(실습겸용강의실)_243089</x:v>
      </x:c>
      <x:c r="I699" s="15" t="str">
        <x:f>IF(OR(O699="",N699&gt;기본입력!$C$34),"",VLOOKUP(O699,기본입력!$A$9:$F$33,6,FALSE))</x:f>
        <x:v>빅데이터 시스템 구축__7</x:v>
      </x:c>
      <x:c r="J699" s="38" t="str">
        <x:f t="shared" si="66"/>
        <x:v>빅데이터 시스템 구축</x:v>
      </x:c>
      <x:c r="K699" s="38" t="str">
        <x:f t="shared" si="67"/>
        <x:v>1교육실(실습겸용강의실)</x:v>
      </x:c>
      <x:c r="L699" s="38" t="str">
        <x:f t="shared" si="68"/>
        <x:v>양현수</x:v>
      </x:c>
      <x:c r="M699" s="63"/>
      <x:c r="N699" s="30">
        <x:f>IF(F699="2","",COUNTIF($F$3:$F699,"=1"))</x:f>
        <x:v>620</x:v>
      </x:c>
      <x:c r="O699" s="30">
        <x:f t="shared" si="63"/>
        <x:v>8</x:v>
      </x:c>
      <x:c r="P699" s="30">
        <x:f t="shared" si="65"/>
        <x:v>6</x:v>
      </x:c>
      <x:c r="Q699" s="30">
        <x:f>COUNTIF($P$3:P699,"=3")</x:f>
        <x:v>78</x:v>
      </x:c>
      <x:c r="R699" s="29">
        <x:f>WORKDAY(기본입력!$H$2,Q699-1,공휴일)</x:f>
        <x:v>46038</x:v>
      </x:c>
    </x:row>
    <x:row r="700" spans="1:18">
      <x:c r="A700" s="145" t="str">
        <x:f t="shared" si="64"/>
        <x:v>20260116</x:v>
      </x:c>
      <x:c r="B700" s="8" t="s">
        <x:v>5</x:v>
      </x:c>
      <x:c r="C700" s="8">
        <x:v>1740</x:v>
      </x:c>
      <x:c r="D700" s="7" t="s">
        <x:v>1</x:v>
      </x:c>
      <x:c r="E700" s="8" t="s">
        <x:v>0</x:v>
      </x:c>
      <x:c r="F700" s="8" t="s">
        <x:v>41</x:v>
      </x:c>
      <x:c r="G700" s="15" t="str">
        <x:f>IF(OR(N700="",N700&gt;기본입력!$C$34),"",VLOOKUP(O700,기본입력!$A$9:$F$33,5))</x:f>
        <x:v/>
      </x:c>
      <x:c r="H700" s="15" t="str">
        <x:f>IF(OR(N700="",N700&gt;기본입력!$C$34),"",기본입력!$C$6)</x:f>
        <x:v/>
      </x:c>
      <x:c r="I700" s="15" t="str">
        <x:f>IF(OR(O700="",N700&gt;기본입력!$C$34),"",VLOOKUP(O700,기본입력!$A$9:$F$33,6,FALSE))</x:f>
        <x:v/>
      </x:c>
      <x:c r="J700" s="38" t="str">
        <x:f t="shared" si="66"/>
        <x:v/>
      </x:c>
      <x:c r="K700" s="38" t="str">
        <x:f t="shared" si="67"/>
        <x:v/>
      </x:c>
      <x:c r="L700" s="38" t="str">
        <x:f t="shared" si="68"/>
        <x:v/>
      </x:c>
      <x:c r="M700" s="63"/>
      <x:c r="N700" s="30" t="str">
        <x:f>IF(F700="2","",COUNTIF($F$3:$F700,"=1"))</x:f>
        <x:v/>
      </x:c>
      <x:c r="O700" s="30" t="str">
        <x:f t="shared" si="63"/>
        <x:v/>
      </x:c>
      <x:c r="P700" s="30">
        <x:f t="shared" si="65"/>
        <x:v>7</x:v>
      </x:c>
      <x:c r="Q700" s="30">
        <x:f>COUNTIF($P$3:P700,"=3")</x:f>
        <x:v>78</x:v>
      </x:c>
      <x:c r="R700" s="29">
        <x:f>WORKDAY(기본입력!$H$2,Q700-1,공휴일)</x:f>
        <x:v>46038</x:v>
      </x:c>
    </x:row>
    <x:row r="701" spans="1:18">
      <x:c r="A701" s="145" t="str">
        <x:f t="shared" si="64"/>
        <x:v>20260116</x:v>
      </x:c>
      <x:c r="B701" s="8" t="s">
        <x:v>5</x:v>
      </x:c>
      <x:c r="C701" s="8">
        <x:v>1740</x:v>
      </x:c>
      <x:c r="D701" s="7" t="s">
        <x:v>1</x:v>
      </x:c>
      <x:c r="E701" s="8">
        <x:v>1340</x:v>
      </x:c>
      <x:c r="F701" s="8" t="s">
        <x:v>40</x:v>
      </x:c>
      <x:c r="G701" s="15" t="str">
        <x:f>IF(OR(N701="",N701&gt;기본입력!$C$34),"",VLOOKUP(O701,기본입력!$A$9:$F$33,5))</x:f>
        <x:v>양현수_53778</x:v>
      </x:c>
      <x:c r="H701" s="15" t="str">
        <x:f>IF(OR(N701="",N701&gt;기본입력!$C$34),"",기본입력!$C$6)</x:f>
        <x:v>1교육실(실습겸용강의실)_243089</x:v>
      </x:c>
      <x:c r="I701" s="15" t="str">
        <x:f>IF(OR(O701="",N701&gt;기본입력!$C$34),"",VLOOKUP(O701,기본입력!$A$9:$F$33,6,FALSE))</x:f>
        <x:v>빅데이터 시스템 구축__7</x:v>
      </x:c>
      <x:c r="J701" s="38" t="str">
        <x:f t="shared" si="66"/>
        <x:v>빅데이터 시스템 구축</x:v>
      </x:c>
      <x:c r="K701" s="38" t="str">
        <x:f t="shared" si="67"/>
        <x:v>1교육실(실습겸용강의실)</x:v>
      </x:c>
      <x:c r="L701" s="38" t="str">
        <x:f t="shared" si="68"/>
        <x:v>양현수</x:v>
      </x:c>
      <x:c r="M701" s="63"/>
      <x:c r="N701" s="30">
        <x:f>IF(F701="2","",COUNTIF($F$3:$F701,"=1"))</x:f>
        <x:v>621</x:v>
      </x:c>
      <x:c r="O701" s="30">
        <x:f t="shared" si="63"/>
        <x:v>8</x:v>
      </x:c>
      <x:c r="P701" s="30">
        <x:f t="shared" si="65"/>
        <x:v>8</x:v>
      </x:c>
      <x:c r="Q701" s="30">
        <x:f>COUNTIF($P$3:P701,"=3")</x:f>
        <x:v>78</x:v>
      </x:c>
      <x:c r="R701" s="29">
        <x:f>WORKDAY(기본입력!$H$2,Q701-1,공휴일)</x:f>
        <x:v>46038</x:v>
      </x:c>
    </x:row>
    <x:row r="702" spans="1:18">
      <x:c r="A702" s="145" t="str">
        <x:f t="shared" si="64"/>
        <x:v>20260116</x:v>
      </x:c>
      <x:c r="B702" s="8" t="s">
        <x:v>5</x:v>
      </x:c>
      <x:c r="C702" s="8">
        <x:v>1740</x:v>
      </x:c>
      <x:c r="D702" s="7" t="s">
        <x:v>1</x:v>
      </x:c>
      <x:c r="E702" s="8">
        <x:v>1440</x:v>
      </x:c>
      <x:c r="F702" s="8" t="s">
        <x:v>40</x:v>
      </x:c>
      <x:c r="G702" s="15" t="str">
        <x:f>IF(OR(N702="",N702&gt;기본입력!$C$34),"",VLOOKUP(O702,기본입력!$A$9:$F$33,5))</x:f>
        <x:v>양현수_53778</x:v>
      </x:c>
      <x:c r="H702" s="15" t="str">
        <x:f>IF(OR(N702="",N702&gt;기본입력!$C$34),"",기본입력!$C$6)</x:f>
        <x:v>1교육실(실습겸용강의실)_243089</x:v>
      </x:c>
      <x:c r="I702" s="15" t="str">
        <x:f>IF(OR(O702="",N702&gt;기본입력!$C$34),"",VLOOKUP(O702,기본입력!$A$9:$F$33,6,FALSE))</x:f>
        <x:v>빅데이터 시스템 구축__7</x:v>
      </x:c>
      <x:c r="J702" s="38" t="str">
        <x:f t="shared" si="66"/>
        <x:v>빅데이터 시스템 구축</x:v>
      </x:c>
      <x:c r="K702" s="38" t="str">
        <x:f t="shared" si="67"/>
        <x:v>1교육실(실습겸용강의실)</x:v>
      </x:c>
      <x:c r="L702" s="38" t="str">
        <x:f t="shared" si="68"/>
        <x:v>양현수</x:v>
      </x:c>
      <x:c r="M702" s="63"/>
      <x:c r="N702" s="30">
        <x:f>IF(F702="2","",COUNTIF($F$3:$F702,"=1"))</x:f>
        <x:v>622</x:v>
      </x:c>
      <x:c r="O702" s="30">
        <x:f t="shared" si="63"/>
        <x:v>8</x:v>
      </x:c>
      <x:c r="P702" s="30">
        <x:f t="shared" si="65"/>
        <x:v>0</x:v>
      </x:c>
      <x:c r="Q702" s="30">
        <x:f>COUNTIF($P$3:P702,"=3")</x:f>
        <x:v>78</x:v>
      </x:c>
      <x:c r="R702" s="29">
        <x:f>WORKDAY(기본입력!$H$2,Q702-1,공휴일)</x:f>
        <x:v>46038</x:v>
      </x:c>
    </x:row>
    <x:row r="703" spans="1:18">
      <x:c r="A703" s="145" t="str">
        <x:f t="shared" si="64"/>
        <x:v>20260116</x:v>
      </x:c>
      <x:c r="B703" s="8" t="s">
        <x:v>5</x:v>
      </x:c>
      <x:c r="C703" s="8">
        <x:v>1740</x:v>
      </x:c>
      <x:c r="D703" s="7" t="s">
        <x:v>1</x:v>
      </x:c>
      <x:c r="E703" s="8">
        <x:v>1540</x:v>
      </x:c>
      <x:c r="F703" s="8" t="s">
        <x:v>40</x:v>
      </x:c>
      <x:c r="G703" s="15" t="str">
        <x:f>IF(OR(N703="",N703&gt;기본입력!$C$34),"",VLOOKUP(O703,기본입력!$A$9:$F$33,5))</x:f>
        <x:v>양현수_53778</x:v>
      </x:c>
      <x:c r="H703" s="15" t="str">
        <x:f>IF(OR(N703="",N703&gt;기본입력!$C$34),"",기본입력!$C$6)</x:f>
        <x:v>1교육실(실습겸용강의실)_243089</x:v>
      </x:c>
      <x:c r="I703" s="15" t="str">
        <x:f>IF(OR(O703="",N703&gt;기본입력!$C$34),"",VLOOKUP(O703,기본입력!$A$9:$F$33,6,FALSE))</x:f>
        <x:v>빅데이터 시스템 구축__7</x:v>
      </x:c>
      <x:c r="J703" s="38" t="str">
        <x:f t="shared" si="66"/>
        <x:v>빅데이터 시스템 구축</x:v>
      </x:c>
      <x:c r="K703" s="38" t="str">
        <x:f t="shared" si="67"/>
        <x:v>1교육실(실습겸용강의실)</x:v>
      </x:c>
      <x:c r="L703" s="38" t="str">
        <x:f t="shared" si="68"/>
        <x:v>양현수</x:v>
      </x:c>
      <x:c r="M703" s="63"/>
      <x:c r="N703" s="30">
        <x:f>IF(F703="2","",COUNTIF($F$3:$F703,"=1"))</x:f>
        <x:v>623</x:v>
      </x:c>
      <x:c r="O703" s="30">
        <x:f t="shared" si="63"/>
        <x:v>8</x:v>
      </x:c>
      <x:c r="P703" s="30">
        <x:f t="shared" si="65"/>
        <x:v>1</x:v>
      </x:c>
      <x:c r="Q703" s="30">
        <x:f>COUNTIF($P$3:P703,"=3")</x:f>
        <x:v>78</x:v>
      </x:c>
      <x:c r="R703" s="29">
        <x:f>WORKDAY(기본입력!$H$2,Q703-1,공휴일)</x:f>
        <x:v>46038</x:v>
      </x:c>
    </x:row>
    <x:row r="704" spans="1:18">
      <x:c r="A704" s="145" t="str">
        <x:f t="shared" si="64"/>
        <x:v>20260116</x:v>
      </x:c>
      <x:c r="B704" s="8" t="s">
        <x:v>5</x:v>
      </x:c>
      <x:c r="C704" s="8">
        <x:v>1740</x:v>
      </x:c>
      <x:c r="D704" s="7" t="s">
        <x:v>1</x:v>
      </x:c>
      <x:c r="E704" s="8">
        <x:v>1640</x:v>
      </x:c>
      <x:c r="F704" s="8" t="s">
        <x:v>40</x:v>
      </x:c>
      <x:c r="G704" s="15" t="str">
        <x:f>IF(OR(N704="",N704&gt;기본입력!$C$34),"",VLOOKUP(O704,기본입력!$A$9:$F$33,5))</x:f>
        <x:v>양현수_53778</x:v>
      </x:c>
      <x:c r="H704" s="15" t="str">
        <x:f>IF(OR(N704="",N704&gt;기본입력!$C$34),"",기본입력!$C$6)</x:f>
        <x:v>1교육실(실습겸용강의실)_243089</x:v>
      </x:c>
      <x:c r="I704" s="15" t="str">
        <x:f>IF(OR(O704="",N704&gt;기본입력!$C$34),"",VLOOKUP(O704,기본입력!$A$9:$F$33,6,FALSE))</x:f>
        <x:v>빅데이터 시스템 구축__7</x:v>
      </x:c>
      <x:c r="J704" s="38" t="str">
        <x:f t="shared" si="66"/>
        <x:v>빅데이터 시스템 구축</x:v>
      </x:c>
      <x:c r="K704" s="38" t="str">
        <x:f t="shared" si="67"/>
        <x:v>1교육실(실습겸용강의실)</x:v>
      </x:c>
      <x:c r="L704" s="38" t="str">
        <x:f t="shared" si="68"/>
        <x:v>양현수</x:v>
      </x:c>
      <x:c r="M704" s="63"/>
      <x:c r="N704" s="30">
        <x:f>IF(F704="2","",COUNTIF($F$3:$F704,"=1"))</x:f>
        <x:v>624</x:v>
      </x:c>
      <x:c r="O704" s="30">
        <x:f t="shared" si="63"/>
        <x:v>8</x:v>
      </x:c>
      <x:c r="P704" s="30">
        <x:f t="shared" si="65"/>
        <x:v>2</x:v>
      </x:c>
      <x:c r="Q704" s="30">
        <x:f>COUNTIF($P$3:P704,"=3")</x:f>
        <x:v>78</x:v>
      </x:c>
      <x:c r="R704" s="29">
        <x:f>WORKDAY(기본입력!$H$2,Q704-1,공휴일)</x:f>
        <x:v>46038</x:v>
      </x:c>
    </x:row>
    <x:row r="705" spans="1:18">
      <x:c r="A705" s="144" t="str">
        <x:f t="shared" si="64"/>
        <x:v>20260119</x:v>
      </x:c>
      <x:c r="B705" s="6" t="s">
        <x:v>5</x:v>
      </x:c>
      <x:c r="C705" s="6">
        <x:v>1740</x:v>
      </x:c>
      <x:c r="D705" s="5" t="s">
        <x:v>1</x:v>
      </x:c>
      <x:c r="E705" s="6" t="s">
        <x:v>5</x:v>
      </x:c>
      <x:c r="F705" s="6" t="s">
        <x:v>40</x:v>
      </x:c>
      <x:c r="G705" s="14" t="str">
        <x:f>IF(OR(N705="",N705&gt;기본입력!$C$34),"",VLOOKUP(O705,기본입력!$A$9:$F$33,5))</x:f>
        <x:v>양현수_53778</x:v>
      </x:c>
      <x:c r="H705" s="14" t="str">
        <x:f>IF(OR(N705="",N705&gt;기본입력!$C$34),"",기본입력!$C$6)</x:f>
        <x:v>1교육실(실습겸용강의실)_243089</x:v>
      </x:c>
      <x:c r="I705" s="14" t="str">
        <x:f>IF(OR(O705="",N705&gt;기본입력!$C$34),"",VLOOKUP(O705,기본입력!$A$9:$F$33,6,FALSE))</x:f>
        <x:v>빅데이터 시스템 구축__7</x:v>
      </x:c>
      <x:c r="J705" s="38" t="str">
        <x:f t="shared" si="66"/>
        <x:v>빅데이터 시스템 구축</x:v>
      </x:c>
      <x:c r="K705" s="38" t="str">
        <x:f t="shared" si="67"/>
        <x:v>1교육실(실습겸용강의실)</x:v>
      </x:c>
      <x:c r="L705" s="38" t="str">
        <x:f t="shared" si="68"/>
        <x:v>양현수</x:v>
      </x:c>
      <x:c r="M705" s="63"/>
      <x:c r="N705" s="30">
        <x:f>IF(F705="2","",COUNTIF($F$3:$F705,"=1"))</x:f>
        <x:v>625</x:v>
      </x:c>
      <x:c r="O705" s="30">
        <x:f t="shared" si="63"/>
        <x:v>8</x:v>
      </x:c>
      <x:c r="P705" s="30">
        <x:f t="shared" si="65"/>
        <x:v>3</x:v>
      </x:c>
      <x:c r="Q705" s="30">
        <x:f>COUNTIF($P$3:P705,"=3")</x:f>
        <x:v>79</x:v>
      </x:c>
      <x:c r="R705" s="29">
        <x:f>WORKDAY(기본입력!$H$2,Q705-1,공휴일)</x:f>
        <x:v>46041</x:v>
      </x:c>
    </x:row>
    <x:row r="706" spans="1:18">
      <x:c r="A706" s="144" t="str">
        <x:f t="shared" si="64"/>
        <x:v>20260119</x:v>
      </x:c>
      <x:c r="B706" s="6" t="s">
        <x:v>5</x:v>
      </x:c>
      <x:c r="C706" s="6">
        <x:v>1740</x:v>
      </x:c>
      <x:c r="D706" s="5" t="s">
        <x:v>1</x:v>
      </x:c>
      <x:c r="E706" s="6" t="s">
        <x:v>117</x:v>
      </x:c>
      <x:c r="F706" s="6" t="s">
        <x:v>40</x:v>
      </x:c>
      <x:c r="G706" s="14" t="str">
        <x:f>IF(OR(N706="",N706&gt;기본입력!$C$34),"",VLOOKUP(O706,기본입력!$A$9:$F$33,5))</x:f>
        <x:v>양현수_53778</x:v>
      </x:c>
      <x:c r="H706" s="14" t="str">
        <x:f>IF(OR(N706="",N706&gt;기본입력!$C$34),"",기본입력!$C$6)</x:f>
        <x:v>1교육실(실습겸용강의실)_243089</x:v>
      </x:c>
      <x:c r="I706" s="14" t="str">
        <x:f>IF(OR(O706="",N706&gt;기본입력!$C$34),"",VLOOKUP(O706,기본입력!$A$9:$F$33,6,FALSE))</x:f>
        <x:v>빅데이터 시스템 구축__7</x:v>
      </x:c>
      <x:c r="J706" s="38" t="str">
        <x:f t="shared" si="66"/>
        <x:v>빅데이터 시스템 구축</x:v>
      </x:c>
      <x:c r="K706" s="38" t="str">
        <x:f t="shared" si="67"/>
        <x:v>1교육실(실습겸용강의실)</x:v>
      </x:c>
      <x:c r="L706" s="38" t="str">
        <x:f t="shared" si="68"/>
        <x:v>양현수</x:v>
      </x:c>
      <x:c r="M706" s="63"/>
      <x:c r="N706" s="30">
        <x:f>IF(F706="2","",COUNTIF($F$3:$F706,"=1"))</x:f>
        <x:v>626</x:v>
      </x:c>
      <x:c r="O706" s="30">
        <x:f t="shared" si="63"/>
        <x:v>8</x:v>
      </x:c>
      <x:c r="P706" s="30">
        <x:f t="shared" si="65"/>
        <x:v>4</x:v>
      </x:c>
      <x:c r="Q706" s="30">
        <x:f>COUNTIF($P$3:P706,"=3")</x:f>
        <x:v>79</x:v>
      </x:c>
      <x:c r="R706" s="29">
        <x:f>WORKDAY(기본입력!$H$2,Q706-1,공휴일)</x:f>
        <x:v>46041</x:v>
      </x:c>
    </x:row>
    <x:row r="707" spans="1:18">
      <x:c r="A707" s="144" t="str">
        <x:f t="shared" si="64"/>
        <x:v>20260119</x:v>
      </x:c>
      <x:c r="B707" s="6" t="s">
        <x:v>5</x:v>
      </x:c>
      <x:c r="C707" s="6">
        <x:v>1740</x:v>
      </x:c>
      <x:c r="D707" s="5" t="s">
        <x:v>1</x:v>
      </x:c>
      <x:c r="E707" s="6" t="s">
        <x:v>87</x:v>
      </x:c>
      <x:c r="F707" s="6" t="s">
        <x:v>40</x:v>
      </x:c>
      <x:c r="G707" s="14" t="str">
        <x:f>IF(OR(N707="",N707&gt;기본입력!$C$34),"",VLOOKUP(O707,기본입력!$A$9:$F$33,5))</x:f>
        <x:v>양현수_53778</x:v>
      </x:c>
      <x:c r="H707" s="14" t="str">
        <x:f>IF(OR(N707="",N707&gt;기본입력!$C$34),"",기본입력!$C$6)</x:f>
        <x:v>1교육실(실습겸용강의실)_243089</x:v>
      </x:c>
      <x:c r="I707" s="14" t="str">
        <x:f>IF(OR(O707="",N707&gt;기본입력!$C$34),"",VLOOKUP(O707,기본입력!$A$9:$F$33,6,FALSE))</x:f>
        <x:v>빅데이터 시스템 구축__7</x:v>
      </x:c>
      <x:c r="J707" s="38" t="str">
        <x:f t="shared" si="66"/>
        <x:v>빅데이터 시스템 구축</x:v>
      </x:c>
      <x:c r="K707" s="38" t="str">
        <x:f t="shared" si="67"/>
        <x:v>1교육실(실습겸용강의실)</x:v>
      </x:c>
      <x:c r="L707" s="38" t="str">
        <x:f t="shared" si="68"/>
        <x:v>양현수</x:v>
      </x:c>
      <x:c r="M707" s="63"/>
      <x:c r="N707" s="30">
        <x:f>IF(F707="2","",COUNTIF($F$3:$F707,"=1"))</x:f>
        <x:v>627</x:v>
      </x:c>
      <x:c r="O707" s="30">
        <x:f t="shared" ref="O707:O770" si="69">IF(F707="2","",IF(N707&lt;=누적시수1,1,IF(N707&lt;=누적시수2,2,IF(N707&lt;=누적시수3,3,IF(N707&lt;=누적시수4,4,IF(N707&lt;=누적시수5,5,IF(N707&lt;=누적시수6,6,IF(N707&lt;=누적시수7,7,IF(N707&lt;=누적시수8,8,IF(N707&lt;=누적시수9,9,IF(N707&lt;=누적시수10,10,IF(N707&lt;=누적시수11,11,IF(N707&lt;=누적시수12,12,IF(N707&lt;=누적시수13,13,IF(N707&lt;=누적시수14,14,IF(N707&lt;=누적시수15,15,IF(N707&lt;=누적시수16,16,IF(N707&lt;=누적시수17,17,IF(N707&lt;=누적시수18,18,IF(N707&lt;=누적시수19,19,IF(N707&lt;=누적시수20,20,IF(N707&lt;=누적시수21,21,IF(N707&lt;=누적시수22,22,IF(N707&lt;=누적시수23,23,IF(N707&lt;=누적시수24,24,IF(N707&lt;=누적시수25,25,0))))))))))))))))))))))))))</x:f>
        <x:v>8</x:v>
      </x:c>
      <x:c r="P707" s="30">
        <x:f t="shared" si="65"/>
        <x:v>5</x:v>
      </x:c>
      <x:c r="Q707" s="30">
        <x:f>COUNTIF($P$3:P707,"=3")</x:f>
        <x:v>79</x:v>
      </x:c>
      <x:c r="R707" s="29">
        <x:f>WORKDAY(기본입력!$H$2,Q707-1,공휴일)</x:f>
        <x:v>46041</x:v>
      </x:c>
    </x:row>
    <x:row r="708" spans="1:18">
      <x:c r="A708" s="144" t="str">
        <x:f t="shared" ref="A708:A771" si="70">TEXT(R708,"yyyymmdd")</x:f>
        <x:v>20260119</x:v>
      </x:c>
      <x:c r="B708" s="6" t="s">
        <x:v>5</x:v>
      </x:c>
      <x:c r="C708" s="6">
        <x:v>1740</x:v>
      </x:c>
      <x:c r="D708" s="5" t="s">
        <x:v>1</x:v>
      </x:c>
      <x:c r="E708" s="6" t="s">
        <x:v>88</x:v>
      </x:c>
      <x:c r="F708" s="6" t="s">
        <x:v>40</x:v>
      </x:c>
      <x:c r="G708" s="14" t="str">
        <x:f>IF(OR(N708="",N708&gt;기본입력!$C$34),"",VLOOKUP(O708,기본입력!$A$9:$F$33,5))</x:f>
        <x:v>양현수_53778</x:v>
      </x:c>
      <x:c r="H708" s="14" t="str">
        <x:f>IF(OR(N708="",N708&gt;기본입력!$C$34),"",기본입력!$C$6)</x:f>
        <x:v>1교육실(실습겸용강의실)_243089</x:v>
      </x:c>
      <x:c r="I708" s="14" t="str">
        <x:f>IF(OR(O708="",N708&gt;기본입력!$C$34),"",VLOOKUP(O708,기본입력!$A$9:$F$33,6,FALSE))</x:f>
        <x:v>빅데이터 시스템 구축__7</x:v>
      </x:c>
      <x:c r="J708" s="38" t="str">
        <x:f t="shared" si="66"/>
        <x:v>빅데이터 시스템 구축</x:v>
      </x:c>
      <x:c r="K708" s="38" t="str">
        <x:f t="shared" si="67"/>
        <x:v>1교육실(실습겸용강의실)</x:v>
      </x:c>
      <x:c r="L708" s="38" t="str">
        <x:f t="shared" si="68"/>
        <x:v>양현수</x:v>
      </x:c>
      <x:c r="M708" s="63"/>
      <x:c r="N708" s="30">
        <x:f>IF(F708="2","",COUNTIF($F$3:$F708,"=1"))</x:f>
        <x:v>628</x:v>
      </x:c>
      <x:c r="O708" s="30">
        <x:f t="shared" si="69"/>
        <x:v>8</x:v>
      </x:c>
      <x:c r="P708" s="30">
        <x:f t="shared" ref="P708:P771" si="71">MOD(ROW(),9)</x:f>
        <x:v>6</x:v>
      </x:c>
      <x:c r="Q708" s="30">
        <x:f>COUNTIF($P$3:P708,"=3")</x:f>
        <x:v>79</x:v>
      </x:c>
      <x:c r="R708" s="29">
        <x:f>WORKDAY(기본입력!$H$2,Q708-1,공휴일)</x:f>
        <x:v>46041</x:v>
      </x:c>
    </x:row>
    <x:row r="709" spans="1:18">
      <x:c r="A709" s="144" t="str">
        <x:f t="shared" si="70"/>
        <x:v>20260119</x:v>
      </x:c>
      <x:c r="B709" s="6" t="s">
        <x:v>5</x:v>
      </x:c>
      <x:c r="C709" s="6">
        <x:v>1740</x:v>
      </x:c>
      <x:c r="D709" s="5" t="s">
        <x:v>1</x:v>
      </x:c>
      <x:c r="E709" s="6" t="s">
        <x:v>0</x:v>
      </x:c>
      <x:c r="F709" s="6" t="s">
        <x:v>41</x:v>
      </x:c>
      <x:c r="G709" s="14" t="str">
        <x:f>IF(OR(N709="",N709&gt;기본입력!$C$34),"",VLOOKUP(O709,기본입력!$A$9:$F$33,5))</x:f>
        <x:v/>
      </x:c>
      <x:c r="H709" s="14" t="str">
        <x:f>IF(OR(N709="",N709&gt;기본입력!$C$34),"",기본입력!$C$6)</x:f>
        <x:v/>
      </x:c>
      <x:c r="I709" s="14" t="str">
        <x:f>IF(OR(O709="",N709&gt;기본입력!$C$34),"",VLOOKUP(O709,기본입력!$A$9:$F$33,6,FALSE))</x:f>
        <x:v/>
      </x:c>
      <x:c r="J709" s="38" t="str">
        <x:f t="shared" si="66"/>
        <x:v/>
      </x:c>
      <x:c r="K709" s="38" t="str">
        <x:f t="shared" si="67"/>
        <x:v/>
      </x:c>
      <x:c r="L709" s="38" t="str">
        <x:f t="shared" si="68"/>
        <x:v/>
      </x:c>
      <x:c r="M709" s="63"/>
      <x:c r="N709" s="30" t="str">
        <x:f>IF(F709="2","",COUNTIF($F$3:$F709,"=1"))</x:f>
        <x:v/>
      </x:c>
      <x:c r="O709" s="30" t="str">
        <x:f t="shared" si="69"/>
        <x:v/>
      </x:c>
      <x:c r="P709" s="30">
        <x:f t="shared" si="71"/>
        <x:v>7</x:v>
      </x:c>
      <x:c r="Q709" s="30">
        <x:f>COUNTIF($P$3:P709,"=3")</x:f>
        <x:v>79</x:v>
      </x:c>
      <x:c r="R709" s="29">
        <x:f>WORKDAY(기본입력!$H$2,Q709-1,공휴일)</x:f>
        <x:v>46041</x:v>
      </x:c>
    </x:row>
    <x:row r="710" spans="1:18">
      <x:c r="A710" s="144" t="str">
        <x:f t="shared" si="70"/>
        <x:v>20260119</x:v>
      </x:c>
      <x:c r="B710" s="6" t="s">
        <x:v>5</x:v>
      </x:c>
      <x:c r="C710" s="6">
        <x:v>1740</x:v>
      </x:c>
      <x:c r="D710" s="5" t="s">
        <x:v>1</x:v>
      </x:c>
      <x:c r="E710" s="6">
        <x:v>1340</x:v>
      </x:c>
      <x:c r="F710" s="6" t="s">
        <x:v>40</x:v>
      </x:c>
      <x:c r="G710" s="14" t="str">
        <x:f>IF(OR(N710="",N710&gt;기본입력!$C$34),"",VLOOKUP(O710,기본입력!$A$9:$F$33,5))</x:f>
        <x:v>양현수_53778</x:v>
      </x:c>
      <x:c r="H710" s="14" t="str">
        <x:f>IF(OR(N710="",N710&gt;기본입력!$C$34),"",기본입력!$C$6)</x:f>
        <x:v>1교육실(실습겸용강의실)_243089</x:v>
      </x:c>
      <x:c r="I710" s="14" t="str">
        <x:f>IF(OR(O710="",N710&gt;기본입력!$C$34),"",VLOOKUP(O710,기본입력!$A$9:$F$33,6,FALSE))</x:f>
        <x:v>빅데이터 시스템 구축__7</x:v>
      </x:c>
      <x:c r="J710" s="38" t="str">
        <x:f t="shared" si="66"/>
        <x:v>빅데이터 시스템 구축</x:v>
      </x:c>
      <x:c r="K710" s="38" t="str">
        <x:f t="shared" si="67"/>
        <x:v>1교육실(실습겸용강의실)</x:v>
      </x:c>
      <x:c r="L710" s="38" t="str">
        <x:f t="shared" si="68"/>
        <x:v>양현수</x:v>
      </x:c>
      <x:c r="M710" s="63"/>
      <x:c r="N710" s="30">
        <x:f>IF(F710="2","",COUNTIF($F$3:$F710,"=1"))</x:f>
        <x:v>629</x:v>
      </x:c>
      <x:c r="O710" s="30">
        <x:f t="shared" si="69"/>
        <x:v>8</x:v>
      </x:c>
      <x:c r="P710" s="30">
        <x:f t="shared" si="71"/>
        <x:v>8</x:v>
      </x:c>
      <x:c r="Q710" s="30">
        <x:f>COUNTIF($P$3:P710,"=3")</x:f>
        <x:v>79</x:v>
      </x:c>
      <x:c r="R710" s="29">
        <x:f>WORKDAY(기본입력!$H$2,Q710-1,공휴일)</x:f>
        <x:v>46041</x:v>
      </x:c>
    </x:row>
    <x:row r="711" spans="1:18">
      <x:c r="A711" s="144" t="str">
        <x:f t="shared" si="70"/>
        <x:v>20260119</x:v>
      </x:c>
      <x:c r="B711" s="6" t="s">
        <x:v>5</x:v>
      </x:c>
      <x:c r="C711" s="6">
        <x:v>1740</x:v>
      </x:c>
      <x:c r="D711" s="5" t="s">
        <x:v>1</x:v>
      </x:c>
      <x:c r="E711" s="6">
        <x:v>1440</x:v>
      </x:c>
      <x:c r="F711" s="6" t="s">
        <x:v>40</x:v>
      </x:c>
      <x:c r="G711" s="14" t="str">
        <x:f>IF(OR(N711="",N711&gt;기본입력!$C$34),"",VLOOKUP(O711,기본입력!$A$9:$F$33,5))</x:f>
        <x:v>양현수_53778</x:v>
      </x:c>
      <x:c r="H711" s="14" t="str">
        <x:f>IF(OR(N711="",N711&gt;기본입력!$C$34),"",기본입력!$C$6)</x:f>
        <x:v>1교육실(실습겸용강의실)_243089</x:v>
      </x:c>
      <x:c r="I711" s="14" t="str">
        <x:f>IF(OR(O711="",N711&gt;기본입력!$C$34),"",VLOOKUP(O711,기본입력!$A$9:$F$33,6,FALSE))</x:f>
        <x:v>빅데이터 시스템 구축__7</x:v>
      </x:c>
      <x:c r="J711" s="38" t="str">
        <x:f t="shared" si="66"/>
        <x:v>빅데이터 시스템 구축</x:v>
      </x:c>
      <x:c r="K711" s="38" t="str">
        <x:f t="shared" si="67"/>
        <x:v>1교육실(실습겸용강의실)</x:v>
      </x:c>
      <x:c r="L711" s="38" t="str">
        <x:f t="shared" si="68"/>
        <x:v>양현수</x:v>
      </x:c>
      <x:c r="M711" s="63"/>
      <x:c r="N711" s="30">
        <x:f>IF(F711="2","",COUNTIF($F$3:$F711,"=1"))</x:f>
        <x:v>630</x:v>
      </x:c>
      <x:c r="O711" s="30">
        <x:f t="shared" si="69"/>
        <x:v>8</x:v>
      </x:c>
      <x:c r="P711" s="30">
        <x:f t="shared" si="71"/>
        <x:v>0</x:v>
      </x:c>
      <x:c r="Q711" s="30">
        <x:f>COUNTIF($P$3:P711,"=3")</x:f>
        <x:v>79</x:v>
      </x:c>
      <x:c r="R711" s="29">
        <x:f>WORKDAY(기본입력!$H$2,Q711-1,공휴일)</x:f>
        <x:v>46041</x:v>
      </x:c>
    </x:row>
    <x:row r="712" spans="1:18">
      <x:c r="A712" s="144" t="str">
        <x:f t="shared" si="70"/>
        <x:v>20260119</x:v>
      </x:c>
      <x:c r="B712" s="6" t="s">
        <x:v>5</x:v>
      </x:c>
      <x:c r="C712" s="6">
        <x:v>1740</x:v>
      </x:c>
      <x:c r="D712" s="5" t="s">
        <x:v>1</x:v>
      </x:c>
      <x:c r="E712" s="6">
        <x:v>1540</x:v>
      </x:c>
      <x:c r="F712" s="6" t="s">
        <x:v>40</x:v>
      </x:c>
      <x:c r="G712" s="14" t="str">
        <x:f>IF(OR(N712="",N712&gt;기본입력!$C$34),"",VLOOKUP(O712,기본입력!$A$9:$F$33,5))</x:f>
        <x:v>양현수_53778</x:v>
      </x:c>
      <x:c r="H712" s="14" t="str">
        <x:f>IF(OR(N712="",N712&gt;기본입력!$C$34),"",기본입력!$C$6)</x:f>
        <x:v>1교육실(실습겸용강의실)_243089</x:v>
      </x:c>
      <x:c r="I712" s="14" t="str">
        <x:f>IF(OR(O712="",N712&gt;기본입력!$C$34),"",VLOOKUP(O712,기본입력!$A$9:$F$33,6,FALSE))</x:f>
        <x:v>빅데이터 시스템 구축__7</x:v>
      </x:c>
      <x:c r="J712" s="38" t="str">
        <x:f t="shared" si="66"/>
        <x:v>빅데이터 시스템 구축</x:v>
      </x:c>
      <x:c r="K712" s="38" t="str">
        <x:f t="shared" si="67"/>
        <x:v>1교육실(실습겸용강의실)</x:v>
      </x:c>
      <x:c r="L712" s="38" t="str">
        <x:f t="shared" si="68"/>
        <x:v>양현수</x:v>
      </x:c>
      <x:c r="M712" s="63"/>
      <x:c r="N712" s="30">
        <x:f>IF(F712="2","",COUNTIF($F$3:$F712,"=1"))</x:f>
        <x:v>631</x:v>
      </x:c>
      <x:c r="O712" s="30">
        <x:f t="shared" si="69"/>
        <x:v>8</x:v>
      </x:c>
      <x:c r="P712" s="30">
        <x:f t="shared" si="71"/>
        <x:v>1</x:v>
      </x:c>
      <x:c r="Q712" s="30">
        <x:f>COUNTIF($P$3:P712,"=3")</x:f>
        <x:v>79</x:v>
      </x:c>
      <x:c r="R712" s="29">
        <x:f>WORKDAY(기본입력!$H$2,Q712-1,공휴일)</x:f>
        <x:v>46041</x:v>
      </x:c>
    </x:row>
    <x:row r="713" spans="1:18">
      <x:c r="A713" s="144" t="str">
        <x:f t="shared" si="70"/>
        <x:v>20260119</x:v>
      </x:c>
      <x:c r="B713" s="6" t="s">
        <x:v>5</x:v>
      </x:c>
      <x:c r="C713" s="6">
        <x:v>1740</x:v>
      </x:c>
      <x:c r="D713" s="5" t="s">
        <x:v>1</x:v>
      </x:c>
      <x:c r="E713" s="6">
        <x:v>1640</x:v>
      </x:c>
      <x:c r="F713" s="6" t="s">
        <x:v>40</x:v>
      </x:c>
      <x:c r="G713" s="14" t="str">
        <x:f>IF(OR(N713="",N713&gt;기본입력!$C$34),"",VLOOKUP(O713,기본입력!$A$9:$F$33,5))</x:f>
        <x:v>양현수_53778</x:v>
      </x:c>
      <x:c r="H713" s="14" t="str">
        <x:f>IF(OR(N713="",N713&gt;기본입력!$C$34),"",기본입력!$C$6)</x:f>
        <x:v>1교육실(실습겸용강의실)_243089</x:v>
      </x:c>
      <x:c r="I713" s="14" t="str">
        <x:f>IF(OR(O713="",N713&gt;기본입력!$C$34),"",VLOOKUP(O713,기본입력!$A$9:$F$33,6,FALSE))</x:f>
        <x:v>빅데이터 시스템 구축__7</x:v>
      </x:c>
      <x:c r="J713" s="38" t="str">
        <x:f t="shared" si="66"/>
        <x:v>빅데이터 시스템 구축</x:v>
      </x:c>
      <x:c r="K713" s="38" t="str">
        <x:f t="shared" si="67"/>
        <x:v>1교육실(실습겸용강의실)</x:v>
      </x:c>
      <x:c r="L713" s="38" t="str">
        <x:f t="shared" si="68"/>
        <x:v>양현수</x:v>
      </x:c>
      <x:c r="M713" s="63"/>
      <x:c r="N713" s="30">
        <x:f>IF(F713="2","",COUNTIF($F$3:$F713,"=1"))</x:f>
        <x:v>632</x:v>
      </x:c>
      <x:c r="O713" s="30">
        <x:f t="shared" si="69"/>
        <x:v>8</x:v>
      </x:c>
      <x:c r="P713" s="30">
        <x:f t="shared" si="71"/>
        <x:v>2</x:v>
      </x:c>
      <x:c r="Q713" s="30">
        <x:f>COUNTIF($P$3:P713,"=3")</x:f>
        <x:v>79</x:v>
      </x:c>
      <x:c r="R713" s="29">
        <x:f>WORKDAY(기본입력!$H$2,Q713-1,공휴일)</x:f>
        <x:v>46041</x:v>
      </x:c>
    </x:row>
    <x:row r="714" spans="1:18">
      <x:c r="A714" s="145" t="str">
        <x:f t="shared" si="70"/>
        <x:v>20260120</x:v>
      </x:c>
      <x:c r="B714" s="8" t="s">
        <x:v>5</x:v>
      </x:c>
      <x:c r="C714" s="8">
        <x:v>1740</x:v>
      </x:c>
      <x:c r="D714" s="7" t="s">
        <x:v>1</x:v>
      </x:c>
      <x:c r="E714" s="8" t="s">
        <x:v>5</x:v>
      </x:c>
      <x:c r="F714" s="8" t="s">
        <x:v>40</x:v>
      </x:c>
      <x:c r="G714" s="15" t="str">
        <x:f>IF(OR(N714="",N714&gt;기본입력!$C$34),"",VLOOKUP(O714,기본입력!$A$9:$F$33,5))</x:f>
        <x:v>양현수_53778</x:v>
      </x:c>
      <x:c r="H714" s="15" t="str">
        <x:f>IF(OR(N714="",N714&gt;기본입력!$C$34),"",기본입력!$C$6)</x:f>
        <x:v>1교육실(실습겸용강의실)_243089</x:v>
      </x:c>
      <x:c r="I714" s="15" t="str">
        <x:f>IF(OR(O714="",N714&gt;기본입력!$C$34),"",VLOOKUP(O714,기본입력!$A$9:$F$33,6,FALSE))</x:f>
        <x:v>빅데이터 시스템 구축__7</x:v>
      </x:c>
      <x:c r="J714" s="38" t="str">
        <x:f t="shared" si="66"/>
        <x:v>빅데이터 시스템 구축</x:v>
      </x:c>
      <x:c r="K714" s="38" t="str">
        <x:f t="shared" si="67"/>
        <x:v>1교육실(실습겸용강의실)</x:v>
      </x:c>
      <x:c r="L714" s="38" t="str">
        <x:f t="shared" si="68"/>
        <x:v>양현수</x:v>
      </x:c>
      <x:c r="M714" s="63"/>
      <x:c r="N714" s="30">
        <x:f>IF(F714="2","",COUNTIF($F$3:$F714,"=1"))</x:f>
        <x:v>633</x:v>
      </x:c>
      <x:c r="O714" s="30">
        <x:f t="shared" si="69"/>
        <x:v>8</x:v>
      </x:c>
      <x:c r="P714" s="30">
        <x:f t="shared" si="71"/>
        <x:v>3</x:v>
      </x:c>
      <x:c r="Q714" s="30">
        <x:f>COUNTIF($P$3:P714,"=3")</x:f>
        <x:v>80</x:v>
      </x:c>
      <x:c r="R714" s="29">
        <x:f>WORKDAY(기본입력!$H$2,Q714-1,공휴일)</x:f>
        <x:v>46042</x:v>
      </x:c>
    </x:row>
    <x:row r="715" spans="1:18">
      <x:c r="A715" s="145" t="str">
        <x:f t="shared" si="70"/>
        <x:v>20260120</x:v>
      </x:c>
      <x:c r="B715" s="8" t="s">
        <x:v>5</x:v>
      </x:c>
      <x:c r="C715" s="8">
        <x:v>1740</x:v>
      </x:c>
      <x:c r="D715" s="7" t="s">
        <x:v>1</x:v>
      </x:c>
      <x:c r="E715" s="8" t="s">
        <x:v>117</x:v>
      </x:c>
      <x:c r="F715" s="8" t="s">
        <x:v>40</x:v>
      </x:c>
      <x:c r="G715" s="15" t="str">
        <x:f>IF(OR(N715="",N715&gt;기본입력!$C$34),"",VLOOKUP(O715,기본입력!$A$9:$F$33,5))</x:f>
        <x:v>양현수_53778</x:v>
      </x:c>
      <x:c r="H715" s="15" t="str">
        <x:f>IF(OR(N715="",N715&gt;기본입력!$C$34),"",기본입력!$C$6)</x:f>
        <x:v>1교육실(실습겸용강의실)_243089</x:v>
      </x:c>
      <x:c r="I715" s="15" t="str">
        <x:f>IF(OR(O715="",N715&gt;기본입력!$C$34),"",VLOOKUP(O715,기본입력!$A$9:$F$33,6,FALSE))</x:f>
        <x:v>빅데이터 시스템 구축__7</x:v>
      </x:c>
      <x:c r="J715" s="38" t="str">
        <x:f t="shared" si="66"/>
        <x:v>빅데이터 시스템 구축</x:v>
      </x:c>
      <x:c r="K715" s="38" t="str">
        <x:f t="shared" si="67"/>
        <x:v>1교육실(실습겸용강의실)</x:v>
      </x:c>
      <x:c r="L715" s="38" t="str">
        <x:f t="shared" si="68"/>
        <x:v>양현수</x:v>
      </x:c>
      <x:c r="M715" s="63"/>
      <x:c r="N715" s="30">
        <x:f>IF(F715="2","",COUNTIF($F$3:$F715,"=1"))</x:f>
        <x:v>634</x:v>
      </x:c>
      <x:c r="O715" s="30">
        <x:f t="shared" si="69"/>
        <x:v>8</x:v>
      </x:c>
      <x:c r="P715" s="30">
        <x:f t="shared" si="71"/>
        <x:v>4</x:v>
      </x:c>
      <x:c r="Q715" s="30">
        <x:f>COUNTIF($P$3:P715,"=3")</x:f>
        <x:v>80</x:v>
      </x:c>
      <x:c r="R715" s="29">
        <x:f>WORKDAY(기본입력!$H$2,Q715-1,공휴일)</x:f>
        <x:v>46042</x:v>
      </x:c>
    </x:row>
    <x:row r="716" spans="1:18">
      <x:c r="A716" s="145" t="str">
        <x:f t="shared" si="70"/>
        <x:v>20260120</x:v>
      </x:c>
      <x:c r="B716" s="8" t="s">
        <x:v>5</x:v>
      </x:c>
      <x:c r="C716" s="8">
        <x:v>1740</x:v>
      </x:c>
      <x:c r="D716" s="7" t="s">
        <x:v>1</x:v>
      </x:c>
      <x:c r="E716" s="8" t="s">
        <x:v>87</x:v>
      </x:c>
      <x:c r="F716" s="8" t="s">
        <x:v>40</x:v>
      </x:c>
      <x:c r="G716" s="15" t="str">
        <x:f>IF(OR(N716="",N716&gt;기본입력!$C$34),"",VLOOKUP(O716,기본입력!$A$9:$F$33,5))</x:f>
        <x:v>양현수_53778</x:v>
      </x:c>
      <x:c r="H716" s="15" t="str">
        <x:f>IF(OR(N716="",N716&gt;기본입력!$C$34),"",기본입력!$C$6)</x:f>
        <x:v>1교육실(실습겸용강의실)_243089</x:v>
      </x:c>
      <x:c r="I716" s="15" t="str">
        <x:f>IF(OR(O716="",N716&gt;기본입력!$C$34),"",VLOOKUP(O716,기본입력!$A$9:$F$33,6,FALSE))</x:f>
        <x:v>빅데이터 시스템 구축__7</x:v>
      </x:c>
      <x:c r="J716" s="38" t="str">
        <x:f t="shared" si="66"/>
        <x:v>빅데이터 시스템 구축</x:v>
      </x:c>
      <x:c r="K716" s="38" t="str">
        <x:f t="shared" si="67"/>
        <x:v>1교육실(실습겸용강의실)</x:v>
      </x:c>
      <x:c r="L716" s="38" t="str">
        <x:f t="shared" si="68"/>
        <x:v>양현수</x:v>
      </x:c>
      <x:c r="M716" s="63"/>
      <x:c r="N716" s="30">
        <x:f>IF(F716="2","",COUNTIF($F$3:$F716,"=1"))</x:f>
        <x:v>635</x:v>
      </x:c>
      <x:c r="O716" s="30">
        <x:f t="shared" si="69"/>
        <x:v>8</x:v>
      </x:c>
      <x:c r="P716" s="30">
        <x:f t="shared" si="71"/>
        <x:v>5</x:v>
      </x:c>
      <x:c r="Q716" s="30">
        <x:f>COUNTIF($P$3:P716,"=3")</x:f>
        <x:v>80</x:v>
      </x:c>
      <x:c r="R716" s="29">
        <x:f>WORKDAY(기본입력!$H$2,Q716-1,공휴일)</x:f>
        <x:v>46042</x:v>
      </x:c>
    </x:row>
    <x:row r="717" spans="1:18">
      <x:c r="A717" s="145" t="str">
        <x:f t="shared" si="70"/>
        <x:v>20260120</x:v>
      </x:c>
      <x:c r="B717" s="8" t="s">
        <x:v>5</x:v>
      </x:c>
      <x:c r="C717" s="8">
        <x:v>1740</x:v>
      </x:c>
      <x:c r="D717" s="7" t="s">
        <x:v>1</x:v>
      </x:c>
      <x:c r="E717" s="8" t="s">
        <x:v>88</x:v>
      </x:c>
      <x:c r="F717" s="8" t="s">
        <x:v>40</x:v>
      </x:c>
      <x:c r="G717" s="15" t="str">
        <x:f>IF(OR(N717="",N717&gt;기본입력!$C$34),"",VLOOKUP(O717,기본입력!$A$9:$F$33,5))</x:f>
        <x:v>양현수_53778</x:v>
      </x:c>
      <x:c r="H717" s="15" t="str">
        <x:f>IF(OR(N717="",N717&gt;기본입력!$C$34),"",기본입력!$C$6)</x:f>
        <x:v>1교육실(실습겸용강의실)_243089</x:v>
      </x:c>
      <x:c r="I717" s="15" t="str">
        <x:f>IF(OR(O717="",N717&gt;기본입력!$C$34),"",VLOOKUP(O717,기본입력!$A$9:$F$33,6,FALSE))</x:f>
        <x:v>빅데이터 시스템 구축__7</x:v>
      </x:c>
      <x:c r="J717" s="38" t="str">
        <x:f t="shared" si="66"/>
        <x:v>빅데이터 시스템 구축</x:v>
      </x:c>
      <x:c r="K717" s="38" t="str">
        <x:f t="shared" si="67"/>
        <x:v>1교육실(실습겸용강의실)</x:v>
      </x:c>
      <x:c r="L717" s="38" t="str">
        <x:f t="shared" si="68"/>
        <x:v>양현수</x:v>
      </x:c>
      <x:c r="M717" s="63"/>
      <x:c r="N717" s="30">
        <x:f>IF(F717="2","",COUNTIF($F$3:$F717,"=1"))</x:f>
        <x:v>636</x:v>
      </x:c>
      <x:c r="O717" s="30">
        <x:f t="shared" si="69"/>
        <x:v>8</x:v>
      </x:c>
      <x:c r="P717" s="30">
        <x:f t="shared" si="71"/>
        <x:v>6</x:v>
      </x:c>
      <x:c r="Q717" s="30">
        <x:f>COUNTIF($P$3:P717,"=3")</x:f>
        <x:v>80</x:v>
      </x:c>
      <x:c r="R717" s="29">
        <x:f>WORKDAY(기본입력!$H$2,Q717-1,공휴일)</x:f>
        <x:v>46042</x:v>
      </x:c>
    </x:row>
    <x:row r="718" spans="1:18">
      <x:c r="A718" s="145" t="str">
        <x:f t="shared" si="70"/>
        <x:v>20260120</x:v>
      </x:c>
      <x:c r="B718" s="8" t="s">
        <x:v>5</x:v>
      </x:c>
      <x:c r="C718" s="8">
        <x:v>1740</x:v>
      </x:c>
      <x:c r="D718" s="7" t="s">
        <x:v>1</x:v>
      </x:c>
      <x:c r="E718" s="8" t="s">
        <x:v>0</x:v>
      </x:c>
      <x:c r="F718" s="8" t="s">
        <x:v>41</x:v>
      </x:c>
      <x:c r="G718" s="15" t="str">
        <x:f>IF(OR(N718="",N718&gt;기본입력!$C$34),"",VLOOKUP(O718,기본입력!$A$9:$F$33,5))</x:f>
        <x:v/>
      </x:c>
      <x:c r="H718" s="15" t="str">
        <x:f>IF(OR(N718="",N718&gt;기본입력!$C$34),"",기본입력!$C$6)</x:f>
        <x:v/>
      </x:c>
      <x:c r="I718" s="15" t="str">
        <x:f>IF(OR(O718="",N718&gt;기본입력!$C$34),"",VLOOKUP(O718,기본입력!$A$9:$F$33,6,FALSE))</x:f>
        <x:v/>
      </x:c>
      <x:c r="J718" s="38" t="str">
        <x:f t="shared" si="66"/>
        <x:v/>
      </x:c>
      <x:c r="K718" s="38" t="str">
        <x:f t="shared" si="67"/>
        <x:v/>
      </x:c>
      <x:c r="L718" s="38" t="str">
        <x:f t="shared" si="68"/>
        <x:v/>
      </x:c>
      <x:c r="M718" s="63"/>
      <x:c r="N718" s="30" t="str">
        <x:f>IF(F718="2","",COUNTIF($F$3:$F718,"=1"))</x:f>
        <x:v/>
      </x:c>
      <x:c r="O718" s="30" t="str">
        <x:f t="shared" si="69"/>
        <x:v/>
      </x:c>
      <x:c r="P718" s="30">
        <x:f t="shared" si="71"/>
        <x:v>7</x:v>
      </x:c>
      <x:c r="Q718" s="30">
        <x:f>COUNTIF($P$3:P718,"=3")</x:f>
        <x:v>80</x:v>
      </x:c>
      <x:c r="R718" s="29">
        <x:f>WORKDAY(기본입력!$H$2,Q718-1,공휴일)</x:f>
        <x:v>46042</x:v>
      </x:c>
    </x:row>
    <x:row r="719" spans="1:18">
      <x:c r="A719" s="145" t="str">
        <x:f t="shared" si="70"/>
        <x:v>20260120</x:v>
      </x:c>
      <x:c r="B719" s="8" t="s">
        <x:v>5</x:v>
      </x:c>
      <x:c r="C719" s="8">
        <x:v>1740</x:v>
      </x:c>
      <x:c r="D719" s="7" t="s">
        <x:v>1</x:v>
      </x:c>
      <x:c r="E719" s="8">
        <x:v>1340</x:v>
      </x:c>
      <x:c r="F719" s="8" t="s">
        <x:v>40</x:v>
      </x:c>
      <x:c r="G719" s="15" t="str">
        <x:f>IF(OR(N719="",N719&gt;기본입력!$C$34),"",VLOOKUP(O719,기본입력!$A$9:$F$33,5))</x:f>
        <x:v>양현수_53778</x:v>
      </x:c>
      <x:c r="H719" s="15" t="str">
        <x:f>IF(OR(N719="",N719&gt;기본입력!$C$34),"",기본입력!$C$6)</x:f>
        <x:v>1교육실(실습겸용강의실)_243089</x:v>
      </x:c>
      <x:c r="I719" s="15" t="str">
        <x:f>IF(OR(O719="",N719&gt;기본입력!$C$34),"",VLOOKUP(O719,기본입력!$A$9:$F$33,6,FALSE))</x:f>
        <x:v>빅데이터 시스템 구축__7</x:v>
      </x:c>
      <x:c r="J719" s="38" t="str">
        <x:f t="shared" si="66"/>
        <x:v>빅데이터 시스템 구축</x:v>
      </x:c>
      <x:c r="K719" s="38" t="str">
        <x:f t="shared" si="67"/>
        <x:v>1교육실(실습겸용강의실)</x:v>
      </x:c>
      <x:c r="L719" s="38" t="str">
        <x:f t="shared" si="68"/>
        <x:v>양현수</x:v>
      </x:c>
      <x:c r="M719" s="63"/>
      <x:c r="N719" s="30">
        <x:f>IF(F719="2","",COUNTIF($F$3:$F719,"=1"))</x:f>
        <x:v>637</x:v>
      </x:c>
      <x:c r="O719" s="30">
        <x:f t="shared" si="69"/>
        <x:v>8</x:v>
      </x:c>
      <x:c r="P719" s="30">
        <x:f t="shared" si="71"/>
        <x:v>8</x:v>
      </x:c>
      <x:c r="Q719" s="30">
        <x:f>COUNTIF($P$3:P719,"=3")</x:f>
        <x:v>80</x:v>
      </x:c>
      <x:c r="R719" s="29">
        <x:f>WORKDAY(기본입력!$H$2,Q719-1,공휴일)</x:f>
        <x:v>46042</x:v>
      </x:c>
    </x:row>
    <x:row r="720" spans="1:18">
      <x:c r="A720" s="145" t="str">
        <x:f t="shared" si="70"/>
        <x:v>20260120</x:v>
      </x:c>
      <x:c r="B720" s="8" t="s">
        <x:v>5</x:v>
      </x:c>
      <x:c r="C720" s="8">
        <x:v>1740</x:v>
      </x:c>
      <x:c r="D720" s="7" t="s">
        <x:v>1</x:v>
      </x:c>
      <x:c r="E720" s="8">
        <x:v>1440</x:v>
      </x:c>
      <x:c r="F720" s="8" t="s">
        <x:v>40</x:v>
      </x:c>
      <x:c r="G720" s="15" t="str">
        <x:f>IF(OR(N720="",N720&gt;기본입력!$C$34),"",VLOOKUP(O720,기본입력!$A$9:$F$33,5))</x:f>
        <x:v>양현수_53778</x:v>
      </x:c>
      <x:c r="H720" s="15" t="str">
        <x:f>IF(OR(N720="",N720&gt;기본입력!$C$34),"",기본입력!$C$6)</x:f>
        <x:v>1교육실(실습겸용강의실)_243089</x:v>
      </x:c>
      <x:c r="I720" s="15" t="str">
        <x:f>IF(OR(O720="",N720&gt;기본입력!$C$34),"",VLOOKUP(O720,기본입력!$A$9:$F$33,6,FALSE))</x:f>
        <x:v>빅데이터 시스템 구축__7</x:v>
      </x:c>
      <x:c r="J720" s="38" t="str">
        <x:f t="shared" si="66"/>
        <x:v>빅데이터 시스템 구축</x:v>
      </x:c>
      <x:c r="K720" s="38" t="str">
        <x:f t="shared" si="67"/>
        <x:v>1교육실(실습겸용강의실)</x:v>
      </x:c>
      <x:c r="L720" s="38" t="str">
        <x:f t="shared" si="68"/>
        <x:v>양현수</x:v>
      </x:c>
      <x:c r="M720" s="63"/>
      <x:c r="N720" s="30">
        <x:f>IF(F720="2","",COUNTIF($F$3:$F720,"=1"))</x:f>
        <x:v>638</x:v>
      </x:c>
      <x:c r="O720" s="30">
        <x:f t="shared" si="69"/>
        <x:v>8</x:v>
      </x:c>
      <x:c r="P720" s="30">
        <x:f t="shared" si="71"/>
        <x:v>0</x:v>
      </x:c>
      <x:c r="Q720" s="30">
        <x:f>COUNTIF($P$3:P720,"=3")</x:f>
        <x:v>80</x:v>
      </x:c>
      <x:c r="R720" s="29">
        <x:f>WORKDAY(기본입력!$H$2,Q720-1,공휴일)</x:f>
        <x:v>46042</x:v>
      </x:c>
    </x:row>
    <x:row r="721" spans="1:18">
      <x:c r="A721" s="145" t="str">
        <x:f t="shared" si="70"/>
        <x:v>20260120</x:v>
      </x:c>
      <x:c r="B721" s="8" t="s">
        <x:v>5</x:v>
      </x:c>
      <x:c r="C721" s="8">
        <x:v>1740</x:v>
      </x:c>
      <x:c r="D721" s="7" t="s">
        <x:v>1</x:v>
      </x:c>
      <x:c r="E721" s="8">
        <x:v>1540</x:v>
      </x:c>
      <x:c r="F721" s="8" t="s">
        <x:v>40</x:v>
      </x:c>
      <x:c r="G721" s="15" t="str">
        <x:f>IF(OR(N721="",N721&gt;기본입력!$C$34),"",VLOOKUP(O721,기본입력!$A$9:$F$33,5))</x:f>
        <x:v>양현수_53778</x:v>
      </x:c>
      <x:c r="H721" s="15" t="str">
        <x:f>IF(OR(N721="",N721&gt;기본입력!$C$34),"",기본입력!$C$6)</x:f>
        <x:v>1교육실(실습겸용강의실)_243089</x:v>
      </x:c>
      <x:c r="I721" s="15" t="str">
        <x:f>IF(OR(O721="",N721&gt;기본입력!$C$34),"",VLOOKUP(O721,기본입력!$A$9:$F$33,6,FALSE))</x:f>
        <x:v>빅데이터 시스템 구축__7</x:v>
      </x:c>
      <x:c r="J721" s="38" t="str">
        <x:f t="shared" si="66"/>
        <x:v>빅데이터 시스템 구축</x:v>
      </x:c>
      <x:c r="K721" s="38" t="str">
        <x:f t="shared" si="67"/>
        <x:v>1교육실(실습겸용강의실)</x:v>
      </x:c>
      <x:c r="L721" s="38" t="str">
        <x:f t="shared" si="68"/>
        <x:v>양현수</x:v>
      </x:c>
      <x:c r="M721" s="63"/>
      <x:c r="N721" s="30">
        <x:f>IF(F721="2","",COUNTIF($F$3:$F721,"=1"))</x:f>
        <x:v>639</x:v>
      </x:c>
      <x:c r="O721" s="30">
        <x:f t="shared" si="69"/>
        <x:v>8</x:v>
      </x:c>
      <x:c r="P721" s="30">
        <x:f t="shared" si="71"/>
        <x:v>1</x:v>
      </x:c>
      <x:c r="Q721" s="30">
        <x:f>COUNTIF($P$3:P721,"=3")</x:f>
        <x:v>80</x:v>
      </x:c>
      <x:c r="R721" s="29">
        <x:f>WORKDAY(기본입력!$H$2,Q721-1,공휴일)</x:f>
        <x:v>46042</x:v>
      </x:c>
    </x:row>
    <x:row r="722" spans="1:18">
      <x:c r="A722" s="145" t="str">
        <x:f t="shared" si="70"/>
        <x:v>20260120</x:v>
      </x:c>
      <x:c r="B722" s="8" t="s">
        <x:v>5</x:v>
      </x:c>
      <x:c r="C722" s="8">
        <x:v>1740</x:v>
      </x:c>
      <x:c r="D722" s="7" t="s">
        <x:v>1</x:v>
      </x:c>
      <x:c r="E722" s="8">
        <x:v>1640</x:v>
      </x:c>
      <x:c r="F722" s="8" t="s">
        <x:v>40</x:v>
      </x:c>
      <x:c r="G722" s="15" t="str">
        <x:f>IF(OR(N722="",N722&gt;기본입력!$C$34),"",VLOOKUP(O722,기본입력!$A$9:$F$33,5))</x:f>
        <x:v>양현수_53778</x:v>
      </x:c>
      <x:c r="H722" s="15" t="str">
        <x:f>IF(OR(N722="",N722&gt;기본입력!$C$34),"",기본입력!$C$6)</x:f>
        <x:v>1교육실(실습겸용강의실)_243089</x:v>
      </x:c>
      <x:c r="I722" s="15" t="str">
        <x:f>IF(OR(O722="",N722&gt;기본입력!$C$34),"",VLOOKUP(O722,기본입력!$A$9:$F$33,6,FALSE))</x:f>
        <x:v>빅데이터 시스템 구축__7</x:v>
      </x:c>
      <x:c r="J722" s="38" t="str">
        <x:f t="shared" si="66"/>
        <x:v>빅데이터 시스템 구축</x:v>
      </x:c>
      <x:c r="K722" s="38" t="str">
        <x:f t="shared" si="67"/>
        <x:v>1교육실(실습겸용강의실)</x:v>
      </x:c>
      <x:c r="L722" s="38" t="str">
        <x:f t="shared" si="68"/>
        <x:v>양현수</x:v>
      </x:c>
      <x:c r="M722" s="63"/>
      <x:c r="N722" s="30">
        <x:f>IF(F722="2","",COUNTIF($F$3:$F722,"=1"))</x:f>
        <x:v>640</x:v>
      </x:c>
      <x:c r="O722" s="30">
        <x:f t="shared" si="69"/>
        <x:v>8</x:v>
      </x:c>
      <x:c r="P722" s="30">
        <x:f t="shared" si="71"/>
        <x:v>2</x:v>
      </x:c>
      <x:c r="Q722" s="30">
        <x:f>COUNTIF($P$3:P722,"=3")</x:f>
        <x:v>80</x:v>
      </x:c>
      <x:c r="R722" s="29">
        <x:f>WORKDAY(기본입력!$H$2,Q722-1,공휴일)</x:f>
        <x:v>46042</x:v>
      </x:c>
    </x:row>
    <x:row r="723" spans="1:18">
      <x:c r="A723" s="144" t="str">
        <x:f t="shared" si="70"/>
        <x:v>20260121</x:v>
      </x:c>
      <x:c r="B723" s="6" t="s">
        <x:v>5</x:v>
      </x:c>
      <x:c r="C723" s="6">
        <x:v>1740</x:v>
      </x:c>
      <x:c r="D723" s="5" t="s">
        <x:v>1</x:v>
      </x:c>
      <x:c r="E723" s="6" t="s">
        <x:v>5</x:v>
      </x:c>
      <x:c r="F723" s="6" t="s">
        <x:v>40</x:v>
      </x:c>
      <x:c r="G723" s="14" t="str">
        <x:f>IF(OR(N723="",N723&gt;기본입력!$C$34),"",VLOOKUP(O723,기본입력!$A$9:$F$33,5))</x:f>
        <x:v>양현수_53778</x:v>
      </x:c>
      <x:c r="H723" s="14" t="str">
        <x:f>IF(OR(N723="",N723&gt;기본입력!$C$34),"",기본입력!$C$6)</x:f>
        <x:v>1교육실(실습겸용강의실)_243089</x:v>
      </x:c>
      <x:c r="I723" s="14" t="str">
        <x:f>IF(OR(O723="",N723&gt;기본입력!$C$34),"",VLOOKUP(O723,기본입력!$A$9:$F$33,6,FALSE))</x:f>
        <x:v>빅데이터 시스템 구축__7</x:v>
      </x:c>
      <x:c r="J723" s="38" t="str">
        <x:f t="shared" si="66"/>
        <x:v>빅데이터 시스템 구축</x:v>
      </x:c>
      <x:c r="K723" s="38" t="str">
        <x:f t="shared" si="67"/>
        <x:v>1교육실(실습겸용강의실)</x:v>
      </x:c>
      <x:c r="L723" s="38" t="str">
        <x:f t="shared" si="68"/>
        <x:v>양현수</x:v>
      </x:c>
      <x:c r="M723" s="63"/>
      <x:c r="N723" s="30">
        <x:f>IF(F723="2","",COUNTIF($F$3:$F723,"=1"))</x:f>
        <x:v>641</x:v>
      </x:c>
      <x:c r="O723" s="30">
        <x:f t="shared" si="69"/>
        <x:v>8</x:v>
      </x:c>
      <x:c r="P723" s="30">
        <x:f t="shared" si="71"/>
        <x:v>3</x:v>
      </x:c>
      <x:c r="Q723" s="30">
        <x:f>COUNTIF($P$3:P723,"=3")</x:f>
        <x:v>81</x:v>
      </x:c>
      <x:c r="R723" s="29">
        <x:f>WORKDAY(기본입력!$H$2,Q723-1,공휴일)</x:f>
        <x:v>46043</x:v>
      </x:c>
    </x:row>
    <x:row r="724" spans="1:18">
      <x:c r="A724" s="144" t="str">
        <x:f t="shared" si="70"/>
        <x:v>20260121</x:v>
      </x:c>
      <x:c r="B724" s="6" t="s">
        <x:v>5</x:v>
      </x:c>
      <x:c r="C724" s="6">
        <x:v>1740</x:v>
      </x:c>
      <x:c r="D724" s="5" t="s">
        <x:v>1</x:v>
      </x:c>
      <x:c r="E724" s="6" t="s">
        <x:v>117</x:v>
      </x:c>
      <x:c r="F724" s="6" t="s">
        <x:v>40</x:v>
      </x:c>
      <x:c r="G724" s="14" t="str">
        <x:f>IF(OR(N724="",N724&gt;기본입력!$C$34),"",VLOOKUP(O724,기본입력!$A$9:$F$33,5))</x:f>
        <x:v>양현수_53778</x:v>
      </x:c>
      <x:c r="H724" s="14" t="str">
        <x:f>IF(OR(N724="",N724&gt;기본입력!$C$34),"",기본입력!$C$6)</x:f>
        <x:v>1교육실(실습겸용강의실)_243089</x:v>
      </x:c>
      <x:c r="I724" s="14" t="str">
        <x:f>IF(OR(O724="",N724&gt;기본입력!$C$34),"",VLOOKUP(O724,기본입력!$A$9:$F$33,6,FALSE))</x:f>
        <x:v>빅데이터 시스템 구축__7</x:v>
      </x:c>
      <x:c r="J724" s="38" t="str">
        <x:f t="shared" si="66"/>
        <x:v>빅데이터 시스템 구축</x:v>
      </x:c>
      <x:c r="K724" s="38" t="str">
        <x:f t="shared" si="67"/>
        <x:v>1교육실(실습겸용강의실)</x:v>
      </x:c>
      <x:c r="L724" s="38" t="str">
        <x:f t="shared" si="68"/>
        <x:v>양현수</x:v>
      </x:c>
      <x:c r="M724" s="63"/>
      <x:c r="N724" s="30">
        <x:f>IF(F724="2","",COUNTIF($F$3:$F724,"=1"))</x:f>
        <x:v>642</x:v>
      </x:c>
      <x:c r="O724" s="30">
        <x:f t="shared" si="69"/>
        <x:v>8</x:v>
      </x:c>
      <x:c r="P724" s="30">
        <x:f t="shared" si="71"/>
        <x:v>4</x:v>
      </x:c>
      <x:c r="Q724" s="30">
        <x:f>COUNTIF($P$3:P724,"=3")</x:f>
        <x:v>81</x:v>
      </x:c>
      <x:c r="R724" s="29">
        <x:f>WORKDAY(기본입력!$H$2,Q724-1,공휴일)</x:f>
        <x:v>46043</x:v>
      </x:c>
    </x:row>
    <x:row r="725" spans="1:18">
      <x:c r="A725" s="144" t="str">
        <x:f t="shared" si="70"/>
        <x:v>20260121</x:v>
      </x:c>
      <x:c r="B725" s="6" t="s">
        <x:v>5</x:v>
      </x:c>
      <x:c r="C725" s="6">
        <x:v>1740</x:v>
      </x:c>
      <x:c r="D725" s="5" t="s">
        <x:v>1</x:v>
      </x:c>
      <x:c r="E725" s="6" t="s">
        <x:v>87</x:v>
      </x:c>
      <x:c r="F725" s="6" t="s">
        <x:v>40</x:v>
      </x:c>
      <x:c r="G725" s="14" t="str">
        <x:f>IF(OR(N725="",N725&gt;기본입력!$C$34),"",VLOOKUP(O725,기본입력!$A$9:$F$33,5))</x:f>
        <x:v>양현수_53778</x:v>
      </x:c>
      <x:c r="H725" s="14" t="str">
        <x:f>IF(OR(N725="",N725&gt;기본입력!$C$34),"",기본입력!$C$6)</x:f>
        <x:v>1교육실(실습겸용강의실)_243089</x:v>
      </x:c>
      <x:c r="I725" s="14" t="str">
        <x:f>IF(OR(O725="",N725&gt;기본입력!$C$34),"",VLOOKUP(O725,기본입력!$A$9:$F$33,6,FALSE))</x:f>
        <x:v>빅데이터 시스템 구축__7</x:v>
      </x:c>
      <x:c r="J725" s="38" t="str">
        <x:f t="shared" si="66"/>
        <x:v>빅데이터 시스템 구축</x:v>
      </x:c>
      <x:c r="K725" s="38" t="str">
        <x:f t="shared" si="67"/>
        <x:v>1교육실(실습겸용강의실)</x:v>
      </x:c>
      <x:c r="L725" s="38" t="str">
        <x:f t="shared" si="68"/>
        <x:v>양현수</x:v>
      </x:c>
      <x:c r="M725" s="63"/>
      <x:c r="N725" s="30">
        <x:f>IF(F725="2","",COUNTIF($F$3:$F725,"=1"))</x:f>
        <x:v>643</x:v>
      </x:c>
      <x:c r="O725" s="30">
        <x:f t="shared" si="69"/>
        <x:v>8</x:v>
      </x:c>
      <x:c r="P725" s="30">
        <x:f t="shared" si="71"/>
        <x:v>5</x:v>
      </x:c>
      <x:c r="Q725" s="30">
        <x:f>COUNTIF($P$3:P725,"=3")</x:f>
        <x:v>81</x:v>
      </x:c>
      <x:c r="R725" s="29">
        <x:f>WORKDAY(기본입력!$H$2,Q725-1,공휴일)</x:f>
        <x:v>46043</x:v>
      </x:c>
    </x:row>
    <x:row r="726" spans="1:18">
      <x:c r="A726" s="144" t="str">
        <x:f t="shared" si="70"/>
        <x:v>20260121</x:v>
      </x:c>
      <x:c r="B726" s="6" t="s">
        <x:v>5</x:v>
      </x:c>
      <x:c r="C726" s="6">
        <x:v>1740</x:v>
      </x:c>
      <x:c r="D726" s="5" t="s">
        <x:v>1</x:v>
      </x:c>
      <x:c r="E726" s="6" t="s">
        <x:v>88</x:v>
      </x:c>
      <x:c r="F726" s="6" t="s">
        <x:v>40</x:v>
      </x:c>
      <x:c r="G726" s="14" t="str">
        <x:f>IF(OR(N726="",N726&gt;기본입력!$C$34),"",VLOOKUP(O726,기본입력!$A$9:$F$33,5))</x:f>
        <x:v>양현수_53778</x:v>
      </x:c>
      <x:c r="H726" s="14" t="str">
        <x:f>IF(OR(N726="",N726&gt;기본입력!$C$34),"",기본입력!$C$6)</x:f>
        <x:v>1교육실(실습겸용강의실)_243089</x:v>
      </x:c>
      <x:c r="I726" s="14" t="str">
        <x:f>IF(OR(O726="",N726&gt;기본입력!$C$34),"",VLOOKUP(O726,기본입력!$A$9:$F$33,6,FALSE))</x:f>
        <x:v>빅데이터 시스템 구축__7</x:v>
      </x:c>
      <x:c r="J726" s="38" t="str">
        <x:f t="shared" si="66"/>
        <x:v>빅데이터 시스템 구축</x:v>
      </x:c>
      <x:c r="K726" s="38" t="str">
        <x:f t="shared" si="67"/>
        <x:v>1교육실(실습겸용강의실)</x:v>
      </x:c>
      <x:c r="L726" s="38" t="str">
        <x:f t="shared" si="68"/>
        <x:v>양현수</x:v>
      </x:c>
      <x:c r="M726" s="63"/>
      <x:c r="N726" s="30">
        <x:f>IF(F726="2","",COUNTIF($F$3:$F726,"=1"))</x:f>
        <x:v>644</x:v>
      </x:c>
      <x:c r="O726" s="30">
        <x:f t="shared" si="69"/>
        <x:v>8</x:v>
      </x:c>
      <x:c r="P726" s="30">
        <x:f t="shared" si="71"/>
        <x:v>6</x:v>
      </x:c>
      <x:c r="Q726" s="30">
        <x:f>COUNTIF($P$3:P726,"=3")</x:f>
        <x:v>81</x:v>
      </x:c>
      <x:c r="R726" s="29">
        <x:f>WORKDAY(기본입력!$H$2,Q726-1,공휴일)</x:f>
        <x:v>46043</x:v>
      </x:c>
    </x:row>
    <x:row r="727" spans="1:18">
      <x:c r="A727" s="144" t="str">
        <x:f t="shared" si="70"/>
        <x:v>20260121</x:v>
      </x:c>
      <x:c r="B727" s="6" t="s">
        <x:v>5</x:v>
      </x:c>
      <x:c r="C727" s="6">
        <x:v>1740</x:v>
      </x:c>
      <x:c r="D727" s="5" t="s">
        <x:v>1</x:v>
      </x:c>
      <x:c r="E727" s="6" t="s">
        <x:v>0</x:v>
      </x:c>
      <x:c r="F727" s="6" t="s">
        <x:v>41</x:v>
      </x:c>
      <x:c r="G727" s="14" t="str">
        <x:f>IF(OR(N727="",N727&gt;기본입력!$C$34),"",VLOOKUP(O727,기본입력!$A$9:$F$33,5))</x:f>
        <x:v/>
      </x:c>
      <x:c r="H727" s="14" t="str">
        <x:f>IF(OR(N727="",N727&gt;기본입력!$C$34),"",기본입력!$C$6)</x:f>
        <x:v/>
      </x:c>
      <x:c r="I727" s="14" t="str">
        <x:f>IF(OR(O727="",N727&gt;기본입력!$C$34),"",VLOOKUP(O727,기본입력!$A$9:$F$33,6,FALSE))</x:f>
        <x:v/>
      </x:c>
      <x:c r="J727" s="38" t="str">
        <x:f t="shared" si="66"/>
        <x:v/>
      </x:c>
      <x:c r="K727" s="38" t="str">
        <x:f t="shared" si="67"/>
        <x:v/>
      </x:c>
      <x:c r="L727" s="38" t="str">
        <x:f t="shared" si="68"/>
        <x:v/>
      </x:c>
      <x:c r="M727" s="63"/>
      <x:c r="N727" s="30" t="str">
        <x:f>IF(F727="2","",COUNTIF($F$3:$F727,"=1"))</x:f>
        <x:v/>
      </x:c>
      <x:c r="O727" s="30" t="str">
        <x:f t="shared" si="69"/>
        <x:v/>
      </x:c>
      <x:c r="P727" s="30">
        <x:f t="shared" si="71"/>
        <x:v>7</x:v>
      </x:c>
      <x:c r="Q727" s="30">
        <x:f>COUNTIF($P$3:P727,"=3")</x:f>
        <x:v>81</x:v>
      </x:c>
      <x:c r="R727" s="29">
        <x:f>WORKDAY(기본입력!$H$2,Q727-1,공휴일)</x:f>
        <x:v>46043</x:v>
      </x:c>
    </x:row>
    <x:row r="728" spans="1:18">
      <x:c r="A728" s="144" t="str">
        <x:f t="shared" si="70"/>
        <x:v>20260121</x:v>
      </x:c>
      <x:c r="B728" s="6" t="s">
        <x:v>5</x:v>
      </x:c>
      <x:c r="C728" s="6">
        <x:v>1740</x:v>
      </x:c>
      <x:c r="D728" s="5" t="s">
        <x:v>1</x:v>
      </x:c>
      <x:c r="E728" s="6">
        <x:v>1340</x:v>
      </x:c>
      <x:c r="F728" s="6" t="s">
        <x:v>40</x:v>
      </x:c>
      <x:c r="G728" s="14" t="str">
        <x:f>IF(OR(N728="",N728&gt;기본입력!$C$34),"",VLOOKUP(O728,기본입력!$A$9:$F$33,5))</x:f>
        <x:v>양현수_53778</x:v>
      </x:c>
      <x:c r="H728" s="14" t="str">
        <x:f>IF(OR(N728="",N728&gt;기본입력!$C$34),"",기본입력!$C$6)</x:f>
        <x:v>1교육실(실습겸용강의실)_243089</x:v>
      </x:c>
      <x:c r="I728" s="14" t="str">
        <x:f>IF(OR(O728="",N728&gt;기본입력!$C$34),"",VLOOKUP(O728,기본입력!$A$9:$F$33,6,FALSE))</x:f>
        <x:v>빅데이터 플랫폼 개발__8</x:v>
      </x:c>
      <x:c r="J728" s="38" t="str">
        <x:f t="shared" si="66"/>
        <x:v>빅데이터 플랫폼 개발</x:v>
      </x:c>
      <x:c r="K728" s="38" t="str">
        <x:f t="shared" si="67"/>
        <x:v>1교육실(실습겸용강의실)</x:v>
      </x:c>
      <x:c r="L728" s="38" t="str">
        <x:f t="shared" si="68"/>
        <x:v>양현수</x:v>
      </x:c>
      <x:c r="M728" s="63"/>
      <x:c r="N728" s="30">
        <x:f>IF(F728="2","",COUNTIF($F$3:$F728,"=1"))</x:f>
        <x:v>645</x:v>
      </x:c>
      <x:c r="O728" s="30">
        <x:f t="shared" si="69"/>
        <x:v>9</x:v>
      </x:c>
      <x:c r="P728" s="30">
        <x:f t="shared" si="71"/>
        <x:v>8</x:v>
      </x:c>
      <x:c r="Q728" s="30">
        <x:f>COUNTIF($P$3:P728,"=3")</x:f>
        <x:v>81</x:v>
      </x:c>
      <x:c r="R728" s="29">
        <x:f>WORKDAY(기본입력!$H$2,Q728-1,공휴일)</x:f>
        <x:v>46043</x:v>
      </x:c>
    </x:row>
    <x:row r="729" spans="1:18">
      <x:c r="A729" s="144" t="str">
        <x:f t="shared" si="70"/>
        <x:v>20260121</x:v>
      </x:c>
      <x:c r="B729" s="6" t="s">
        <x:v>5</x:v>
      </x:c>
      <x:c r="C729" s="6">
        <x:v>1740</x:v>
      </x:c>
      <x:c r="D729" s="5" t="s">
        <x:v>1</x:v>
      </x:c>
      <x:c r="E729" s="6">
        <x:v>1440</x:v>
      </x:c>
      <x:c r="F729" s="6" t="s">
        <x:v>40</x:v>
      </x:c>
      <x:c r="G729" s="14" t="str">
        <x:f>IF(OR(N729="",N729&gt;기본입력!$C$34),"",VLOOKUP(O729,기본입력!$A$9:$F$33,5))</x:f>
        <x:v>양현수_53778</x:v>
      </x:c>
      <x:c r="H729" s="14" t="str">
        <x:f>IF(OR(N729="",N729&gt;기본입력!$C$34),"",기본입력!$C$6)</x:f>
        <x:v>1교육실(실습겸용강의실)_243089</x:v>
      </x:c>
      <x:c r="I729" s="14" t="str">
        <x:f>IF(OR(O729="",N729&gt;기본입력!$C$34),"",VLOOKUP(O729,기본입력!$A$9:$F$33,6,FALSE))</x:f>
        <x:v>빅데이터 플랫폼 개발__8</x:v>
      </x:c>
      <x:c r="J729" s="38" t="str">
        <x:f t="shared" si="66"/>
        <x:v>빅데이터 플랫폼 개발</x:v>
      </x:c>
      <x:c r="K729" s="38" t="str">
        <x:f t="shared" si="67"/>
        <x:v>1교육실(실습겸용강의실)</x:v>
      </x:c>
      <x:c r="L729" s="38" t="str">
        <x:f t="shared" si="68"/>
        <x:v>양현수</x:v>
      </x:c>
      <x:c r="M729" s="63"/>
      <x:c r="N729" s="30">
        <x:f>IF(F729="2","",COUNTIF($F$3:$F729,"=1"))</x:f>
        <x:v>646</x:v>
      </x:c>
      <x:c r="O729" s="30">
        <x:f t="shared" si="69"/>
        <x:v>9</x:v>
      </x:c>
      <x:c r="P729" s="30">
        <x:f t="shared" si="71"/>
        <x:v>0</x:v>
      </x:c>
      <x:c r="Q729" s="30">
        <x:f>COUNTIF($P$3:P729,"=3")</x:f>
        <x:v>81</x:v>
      </x:c>
      <x:c r="R729" s="29">
        <x:f>WORKDAY(기본입력!$H$2,Q729-1,공휴일)</x:f>
        <x:v>46043</x:v>
      </x:c>
    </x:row>
    <x:row r="730" spans="1:18">
      <x:c r="A730" s="144" t="str">
        <x:f t="shared" si="70"/>
        <x:v>20260121</x:v>
      </x:c>
      <x:c r="B730" s="6" t="s">
        <x:v>5</x:v>
      </x:c>
      <x:c r="C730" s="6">
        <x:v>1740</x:v>
      </x:c>
      <x:c r="D730" s="5" t="s">
        <x:v>1</x:v>
      </x:c>
      <x:c r="E730" s="6">
        <x:v>1540</x:v>
      </x:c>
      <x:c r="F730" s="6" t="s">
        <x:v>40</x:v>
      </x:c>
      <x:c r="G730" s="14" t="str">
        <x:f>IF(OR(N730="",N730&gt;기본입력!$C$34),"",VLOOKUP(O730,기본입력!$A$9:$F$33,5))</x:f>
        <x:v>양현수_53778</x:v>
      </x:c>
      <x:c r="H730" s="14" t="str">
        <x:f>IF(OR(N730="",N730&gt;기본입력!$C$34),"",기본입력!$C$6)</x:f>
        <x:v>1교육실(실습겸용강의실)_243089</x:v>
      </x:c>
      <x:c r="I730" s="14" t="str">
        <x:f>IF(OR(O730="",N730&gt;기본입력!$C$34),"",VLOOKUP(O730,기본입력!$A$9:$F$33,6,FALSE))</x:f>
        <x:v>빅데이터 플랫폼 개발__8</x:v>
      </x:c>
      <x:c r="J730" s="38" t="str">
        <x:f t="shared" si="66"/>
        <x:v>빅데이터 플랫폼 개발</x:v>
      </x:c>
      <x:c r="K730" s="38" t="str">
        <x:f t="shared" si="67"/>
        <x:v>1교육실(실습겸용강의실)</x:v>
      </x:c>
      <x:c r="L730" s="38" t="str">
        <x:f t="shared" si="68"/>
        <x:v>양현수</x:v>
      </x:c>
      <x:c r="M730" s="63"/>
      <x:c r="N730" s="30">
        <x:f>IF(F730="2","",COUNTIF($F$3:$F730,"=1"))</x:f>
        <x:v>647</x:v>
      </x:c>
      <x:c r="O730" s="30">
        <x:f t="shared" si="69"/>
        <x:v>9</x:v>
      </x:c>
      <x:c r="P730" s="30">
        <x:f t="shared" si="71"/>
        <x:v>1</x:v>
      </x:c>
      <x:c r="Q730" s="30">
        <x:f>COUNTIF($P$3:P730,"=3")</x:f>
        <x:v>81</x:v>
      </x:c>
      <x:c r="R730" s="29">
        <x:f>WORKDAY(기본입력!$H$2,Q730-1,공휴일)</x:f>
        <x:v>46043</x:v>
      </x:c>
    </x:row>
    <x:row r="731" spans="1:18">
      <x:c r="A731" s="144" t="str">
        <x:f t="shared" si="70"/>
        <x:v>20260121</x:v>
      </x:c>
      <x:c r="B731" s="6" t="s">
        <x:v>5</x:v>
      </x:c>
      <x:c r="C731" s="6">
        <x:v>1740</x:v>
      </x:c>
      <x:c r="D731" s="5" t="s">
        <x:v>1</x:v>
      </x:c>
      <x:c r="E731" s="6">
        <x:v>1640</x:v>
      </x:c>
      <x:c r="F731" s="6" t="s">
        <x:v>40</x:v>
      </x:c>
      <x:c r="G731" s="14" t="str">
        <x:f>IF(OR(N731="",N731&gt;기본입력!$C$34),"",VLOOKUP(O731,기본입력!$A$9:$F$33,5))</x:f>
        <x:v>양현수_53778</x:v>
      </x:c>
      <x:c r="H731" s="14" t="str">
        <x:f>IF(OR(N731="",N731&gt;기본입력!$C$34),"",기본입력!$C$6)</x:f>
        <x:v>1교육실(실습겸용강의실)_243089</x:v>
      </x:c>
      <x:c r="I731" s="14" t="str">
        <x:f>IF(OR(O731="",N731&gt;기본입력!$C$34),"",VLOOKUP(O731,기본입력!$A$9:$F$33,6,FALSE))</x:f>
        <x:v>빅데이터 플랫폼 개발__8</x:v>
      </x:c>
      <x:c r="J731" s="38" t="str">
        <x:f t="shared" si="66"/>
        <x:v>빅데이터 플랫폼 개발</x:v>
      </x:c>
      <x:c r="K731" s="38" t="str">
        <x:f t="shared" si="67"/>
        <x:v>1교육실(실습겸용강의실)</x:v>
      </x:c>
      <x:c r="L731" s="38" t="str">
        <x:f t="shared" si="68"/>
        <x:v>양현수</x:v>
      </x:c>
      <x:c r="M731" s="63"/>
      <x:c r="N731" s="30">
        <x:f>IF(F731="2","",COUNTIF($F$3:$F731,"=1"))</x:f>
        <x:v>648</x:v>
      </x:c>
      <x:c r="O731" s="30">
        <x:f t="shared" si="69"/>
        <x:v>9</x:v>
      </x:c>
      <x:c r="P731" s="30">
        <x:f t="shared" si="71"/>
        <x:v>2</x:v>
      </x:c>
      <x:c r="Q731" s="30">
        <x:f>COUNTIF($P$3:P731,"=3")</x:f>
        <x:v>81</x:v>
      </x:c>
      <x:c r="R731" s="29">
        <x:f>WORKDAY(기본입력!$H$2,Q731-1,공휴일)</x:f>
        <x:v>46043</x:v>
      </x:c>
    </x:row>
    <x:row r="732" spans="1:18">
      <x:c r="A732" s="145" t="str">
        <x:f t="shared" si="70"/>
        <x:v>20260122</x:v>
      </x:c>
      <x:c r="B732" s="8" t="s">
        <x:v>5</x:v>
      </x:c>
      <x:c r="C732" s="8">
        <x:v>1740</x:v>
      </x:c>
      <x:c r="D732" s="7" t="s">
        <x:v>1</x:v>
      </x:c>
      <x:c r="E732" s="8" t="s">
        <x:v>5</x:v>
      </x:c>
      <x:c r="F732" s="8" t="s">
        <x:v>40</x:v>
      </x:c>
      <x:c r="G732" s="15" t="str">
        <x:f>IF(OR(N732="",N732&gt;기본입력!$C$34),"",VLOOKUP(O732,기본입력!$A$9:$F$33,5))</x:f>
        <x:v>양현수_53778</x:v>
      </x:c>
      <x:c r="H732" s="15" t="str">
        <x:f>IF(OR(N732="",N732&gt;기본입력!$C$34),"",기본입력!$C$6)</x:f>
        <x:v>1교육실(실습겸용강의실)_243089</x:v>
      </x:c>
      <x:c r="I732" s="15" t="str">
        <x:f>IF(OR(O732="",N732&gt;기본입력!$C$34),"",VLOOKUP(O732,기본입력!$A$9:$F$33,6,FALSE))</x:f>
        <x:v>빅데이터 플랫폼 개발__8</x:v>
      </x:c>
      <x:c r="J732" s="38" t="str">
        <x:f t="shared" si="66"/>
        <x:v>빅데이터 플랫폼 개발</x:v>
      </x:c>
      <x:c r="K732" s="38" t="str">
        <x:f t="shared" si="67"/>
        <x:v>1교육실(실습겸용강의실)</x:v>
      </x:c>
      <x:c r="L732" s="38" t="str">
        <x:f t="shared" si="68"/>
        <x:v>양현수</x:v>
      </x:c>
      <x:c r="M732" s="63"/>
      <x:c r="N732" s="30">
        <x:f>IF(F732="2","",COUNTIF($F$3:$F732,"=1"))</x:f>
        <x:v>649</x:v>
      </x:c>
      <x:c r="O732" s="30">
        <x:f t="shared" si="69"/>
        <x:v>9</x:v>
      </x:c>
      <x:c r="P732" s="30">
        <x:f t="shared" si="71"/>
        <x:v>3</x:v>
      </x:c>
      <x:c r="Q732" s="30">
        <x:f>COUNTIF($P$3:P732,"=3")</x:f>
        <x:v>82</x:v>
      </x:c>
      <x:c r="R732" s="29">
        <x:f>WORKDAY(기본입력!$H$2,Q732-1,공휴일)</x:f>
        <x:v>46044</x:v>
      </x:c>
    </x:row>
    <x:row r="733" spans="1:18">
      <x:c r="A733" s="145" t="str">
        <x:f t="shared" si="70"/>
        <x:v>20260122</x:v>
      </x:c>
      <x:c r="B733" s="8" t="s">
        <x:v>5</x:v>
      </x:c>
      <x:c r="C733" s="8">
        <x:v>1740</x:v>
      </x:c>
      <x:c r="D733" s="7" t="s">
        <x:v>1</x:v>
      </x:c>
      <x:c r="E733" s="8" t="s">
        <x:v>117</x:v>
      </x:c>
      <x:c r="F733" s="8" t="s">
        <x:v>40</x:v>
      </x:c>
      <x:c r="G733" s="15" t="str">
        <x:f>IF(OR(N733="",N733&gt;기본입력!$C$34),"",VLOOKUP(O733,기본입력!$A$9:$F$33,5))</x:f>
        <x:v>양현수_53778</x:v>
      </x:c>
      <x:c r="H733" s="15" t="str">
        <x:f>IF(OR(N733="",N733&gt;기본입력!$C$34),"",기본입력!$C$6)</x:f>
        <x:v>1교육실(실습겸용강의실)_243089</x:v>
      </x:c>
      <x:c r="I733" s="15" t="str">
        <x:f>IF(OR(O733="",N733&gt;기본입력!$C$34),"",VLOOKUP(O733,기본입력!$A$9:$F$33,6,FALSE))</x:f>
        <x:v>빅데이터 플랫폼 개발__8</x:v>
      </x:c>
      <x:c r="J733" s="38" t="str">
        <x:f t="shared" si="66"/>
        <x:v>빅데이터 플랫폼 개발</x:v>
      </x:c>
      <x:c r="K733" s="38" t="str">
        <x:f t="shared" si="67"/>
        <x:v>1교육실(실습겸용강의실)</x:v>
      </x:c>
      <x:c r="L733" s="38" t="str">
        <x:f t="shared" si="68"/>
        <x:v>양현수</x:v>
      </x:c>
      <x:c r="M733" s="63"/>
      <x:c r="N733" s="30">
        <x:f>IF(F733="2","",COUNTIF($F$3:$F733,"=1"))</x:f>
        <x:v>650</x:v>
      </x:c>
      <x:c r="O733" s="30">
        <x:f t="shared" si="69"/>
        <x:v>9</x:v>
      </x:c>
      <x:c r="P733" s="30">
        <x:f t="shared" si="71"/>
        <x:v>4</x:v>
      </x:c>
      <x:c r="Q733" s="30">
        <x:f>COUNTIF($P$3:P733,"=3")</x:f>
        <x:v>82</x:v>
      </x:c>
      <x:c r="R733" s="29">
        <x:f>WORKDAY(기본입력!$H$2,Q733-1,공휴일)</x:f>
        <x:v>46044</x:v>
      </x:c>
    </x:row>
    <x:row r="734" spans="1:18">
      <x:c r="A734" s="145" t="str">
        <x:f t="shared" si="70"/>
        <x:v>20260122</x:v>
      </x:c>
      <x:c r="B734" s="8" t="s">
        <x:v>5</x:v>
      </x:c>
      <x:c r="C734" s="8">
        <x:v>1740</x:v>
      </x:c>
      <x:c r="D734" s="7" t="s">
        <x:v>1</x:v>
      </x:c>
      <x:c r="E734" s="8" t="s">
        <x:v>87</x:v>
      </x:c>
      <x:c r="F734" s="8" t="s">
        <x:v>40</x:v>
      </x:c>
      <x:c r="G734" s="15" t="str">
        <x:f>IF(OR(N734="",N734&gt;기본입력!$C$34),"",VLOOKUP(O734,기본입력!$A$9:$F$33,5))</x:f>
        <x:v>양현수_53778</x:v>
      </x:c>
      <x:c r="H734" s="15" t="str">
        <x:f>IF(OR(N734="",N734&gt;기본입력!$C$34),"",기본입력!$C$6)</x:f>
        <x:v>1교육실(실습겸용강의실)_243089</x:v>
      </x:c>
      <x:c r="I734" s="15" t="str">
        <x:f>IF(OR(O734="",N734&gt;기본입력!$C$34),"",VLOOKUP(O734,기본입력!$A$9:$F$33,6,FALSE))</x:f>
        <x:v>빅데이터 플랫폼 개발__8</x:v>
      </x:c>
      <x:c r="J734" s="38" t="str">
        <x:f t="shared" si="66"/>
        <x:v>빅데이터 플랫폼 개발</x:v>
      </x:c>
      <x:c r="K734" s="38" t="str">
        <x:f t="shared" si="67"/>
        <x:v>1교육실(실습겸용강의실)</x:v>
      </x:c>
      <x:c r="L734" s="38" t="str">
        <x:f t="shared" si="68"/>
        <x:v>양현수</x:v>
      </x:c>
      <x:c r="M734" s="63"/>
      <x:c r="N734" s="30">
        <x:f>IF(F734="2","",COUNTIF($F$3:$F734,"=1"))</x:f>
        <x:v>651</x:v>
      </x:c>
      <x:c r="O734" s="30">
        <x:f t="shared" si="69"/>
        <x:v>9</x:v>
      </x:c>
      <x:c r="P734" s="30">
        <x:f t="shared" si="71"/>
        <x:v>5</x:v>
      </x:c>
      <x:c r="Q734" s="30">
        <x:f>COUNTIF($P$3:P734,"=3")</x:f>
        <x:v>82</x:v>
      </x:c>
      <x:c r="R734" s="29">
        <x:f>WORKDAY(기본입력!$H$2,Q734-1,공휴일)</x:f>
        <x:v>46044</x:v>
      </x:c>
    </x:row>
    <x:row r="735" spans="1:18">
      <x:c r="A735" s="145" t="str">
        <x:f t="shared" si="70"/>
        <x:v>20260122</x:v>
      </x:c>
      <x:c r="B735" s="8" t="s">
        <x:v>5</x:v>
      </x:c>
      <x:c r="C735" s="8">
        <x:v>1740</x:v>
      </x:c>
      <x:c r="D735" s="7" t="s">
        <x:v>1</x:v>
      </x:c>
      <x:c r="E735" s="8" t="s">
        <x:v>88</x:v>
      </x:c>
      <x:c r="F735" s="8" t="s">
        <x:v>40</x:v>
      </x:c>
      <x:c r="G735" s="15" t="str">
        <x:f>IF(OR(N735="",N735&gt;기본입력!$C$34),"",VLOOKUP(O735,기본입력!$A$9:$F$33,5))</x:f>
        <x:v>양현수_53778</x:v>
      </x:c>
      <x:c r="H735" s="15" t="str">
        <x:f>IF(OR(N735="",N735&gt;기본입력!$C$34),"",기본입력!$C$6)</x:f>
        <x:v>1교육실(실습겸용강의실)_243089</x:v>
      </x:c>
      <x:c r="I735" s="15" t="str">
        <x:f>IF(OR(O735="",N735&gt;기본입력!$C$34),"",VLOOKUP(O735,기본입력!$A$9:$F$33,6,FALSE))</x:f>
        <x:v>빅데이터 플랫폼 개발__8</x:v>
      </x:c>
      <x:c r="J735" s="38" t="str">
        <x:f t="shared" si="66"/>
        <x:v>빅데이터 플랫폼 개발</x:v>
      </x:c>
      <x:c r="K735" s="38" t="str">
        <x:f t="shared" si="67"/>
        <x:v>1교육실(실습겸용강의실)</x:v>
      </x:c>
      <x:c r="L735" s="38" t="str">
        <x:f t="shared" si="68"/>
        <x:v>양현수</x:v>
      </x:c>
      <x:c r="M735" s="63"/>
      <x:c r="N735" s="30">
        <x:f>IF(F735="2","",COUNTIF($F$3:$F735,"=1"))</x:f>
        <x:v>652</x:v>
      </x:c>
      <x:c r="O735" s="30">
        <x:f t="shared" si="69"/>
        <x:v>9</x:v>
      </x:c>
      <x:c r="P735" s="30">
        <x:f t="shared" si="71"/>
        <x:v>6</x:v>
      </x:c>
      <x:c r="Q735" s="30">
        <x:f>COUNTIF($P$3:P735,"=3")</x:f>
        <x:v>82</x:v>
      </x:c>
      <x:c r="R735" s="29">
        <x:f>WORKDAY(기본입력!$H$2,Q735-1,공휴일)</x:f>
        <x:v>46044</x:v>
      </x:c>
    </x:row>
    <x:row r="736" spans="1:18">
      <x:c r="A736" s="145" t="str">
        <x:f t="shared" si="70"/>
        <x:v>20260122</x:v>
      </x:c>
      <x:c r="B736" s="8" t="s">
        <x:v>5</x:v>
      </x:c>
      <x:c r="C736" s="8">
        <x:v>1740</x:v>
      </x:c>
      <x:c r="D736" s="7" t="s">
        <x:v>1</x:v>
      </x:c>
      <x:c r="E736" s="8" t="s">
        <x:v>0</x:v>
      </x:c>
      <x:c r="F736" s="8" t="s">
        <x:v>41</x:v>
      </x:c>
      <x:c r="G736" s="15" t="str">
        <x:f>IF(OR(N736="",N736&gt;기본입력!$C$34),"",VLOOKUP(O736,기본입력!$A$9:$F$33,5))</x:f>
        <x:v/>
      </x:c>
      <x:c r="H736" s="15" t="str">
        <x:f>IF(OR(N736="",N736&gt;기본입력!$C$34),"",기본입력!$C$6)</x:f>
        <x:v/>
      </x:c>
      <x:c r="I736" s="15" t="str">
        <x:f>IF(OR(O736="",N736&gt;기본입력!$C$34),"",VLOOKUP(O736,기본입력!$A$9:$F$33,6,FALSE))</x:f>
        <x:v/>
      </x:c>
      <x:c r="J736" s="38" t="str">
        <x:f t="shared" si="66"/>
        <x:v/>
      </x:c>
      <x:c r="K736" s="38" t="str">
        <x:f t="shared" si="67"/>
        <x:v/>
      </x:c>
      <x:c r="L736" s="38" t="str">
        <x:f t="shared" si="68"/>
        <x:v/>
      </x:c>
      <x:c r="M736" s="63"/>
      <x:c r="N736" s="30" t="str">
        <x:f>IF(F736="2","",COUNTIF($F$3:$F736,"=1"))</x:f>
        <x:v/>
      </x:c>
      <x:c r="O736" s="30" t="str">
        <x:f t="shared" si="69"/>
        <x:v/>
      </x:c>
      <x:c r="P736" s="30">
        <x:f t="shared" si="71"/>
        <x:v>7</x:v>
      </x:c>
      <x:c r="Q736" s="30">
        <x:f>COUNTIF($P$3:P736,"=3")</x:f>
        <x:v>82</x:v>
      </x:c>
      <x:c r="R736" s="29">
        <x:f>WORKDAY(기본입력!$H$2,Q736-1,공휴일)</x:f>
        <x:v>46044</x:v>
      </x:c>
    </x:row>
    <x:row r="737" spans="1:18">
      <x:c r="A737" s="145" t="str">
        <x:f t="shared" si="70"/>
        <x:v>20260122</x:v>
      </x:c>
      <x:c r="B737" s="8" t="s">
        <x:v>5</x:v>
      </x:c>
      <x:c r="C737" s="8">
        <x:v>1740</x:v>
      </x:c>
      <x:c r="D737" s="7" t="s">
        <x:v>1</x:v>
      </x:c>
      <x:c r="E737" s="8">
        <x:v>1340</x:v>
      </x:c>
      <x:c r="F737" s="8" t="s">
        <x:v>40</x:v>
      </x:c>
      <x:c r="G737" s="15" t="str">
        <x:f>IF(OR(N737="",N737&gt;기본입력!$C$34),"",VLOOKUP(O737,기본입력!$A$9:$F$33,5))</x:f>
        <x:v>양현수_53778</x:v>
      </x:c>
      <x:c r="H737" s="15" t="str">
        <x:f>IF(OR(N737="",N737&gt;기본입력!$C$34),"",기본입력!$C$6)</x:f>
        <x:v>1교육실(실습겸용강의실)_243089</x:v>
      </x:c>
      <x:c r="I737" s="15" t="str">
        <x:f>IF(OR(O737="",N737&gt;기본입력!$C$34),"",VLOOKUP(O737,기본입력!$A$9:$F$33,6,FALSE))</x:f>
        <x:v>빅데이터 플랫폼 개발__8</x:v>
      </x:c>
      <x:c r="J737" s="38" t="str">
        <x:f t="shared" si="66"/>
        <x:v>빅데이터 플랫폼 개발</x:v>
      </x:c>
      <x:c r="K737" s="38" t="str">
        <x:f t="shared" si="67"/>
        <x:v>1교육실(실습겸용강의실)</x:v>
      </x:c>
      <x:c r="L737" s="38" t="str">
        <x:f t="shared" si="68"/>
        <x:v>양현수</x:v>
      </x:c>
      <x:c r="M737" s="63"/>
      <x:c r="N737" s="30">
        <x:f>IF(F737="2","",COUNTIF($F$3:$F737,"=1"))</x:f>
        <x:v>653</x:v>
      </x:c>
      <x:c r="O737" s="30">
        <x:f t="shared" si="69"/>
        <x:v>9</x:v>
      </x:c>
      <x:c r="P737" s="30">
        <x:f t="shared" si="71"/>
        <x:v>8</x:v>
      </x:c>
      <x:c r="Q737" s="30">
        <x:f>COUNTIF($P$3:P737,"=3")</x:f>
        <x:v>82</x:v>
      </x:c>
      <x:c r="R737" s="29">
        <x:f>WORKDAY(기본입력!$H$2,Q737-1,공휴일)</x:f>
        <x:v>46044</x:v>
      </x:c>
    </x:row>
    <x:row r="738" spans="1:18">
      <x:c r="A738" s="145" t="str">
        <x:f t="shared" si="70"/>
        <x:v>20260122</x:v>
      </x:c>
      <x:c r="B738" s="8" t="s">
        <x:v>5</x:v>
      </x:c>
      <x:c r="C738" s="8">
        <x:v>1740</x:v>
      </x:c>
      <x:c r="D738" s="7" t="s">
        <x:v>1</x:v>
      </x:c>
      <x:c r="E738" s="8">
        <x:v>1440</x:v>
      </x:c>
      <x:c r="F738" s="8" t="s">
        <x:v>40</x:v>
      </x:c>
      <x:c r="G738" s="15" t="str">
        <x:f>IF(OR(N738="",N738&gt;기본입력!$C$34),"",VLOOKUP(O738,기본입력!$A$9:$F$33,5))</x:f>
        <x:v>양현수_53778</x:v>
      </x:c>
      <x:c r="H738" s="15" t="str">
        <x:f>IF(OR(N738="",N738&gt;기본입력!$C$34),"",기본입력!$C$6)</x:f>
        <x:v>1교육실(실습겸용강의실)_243089</x:v>
      </x:c>
      <x:c r="I738" s="15" t="str">
        <x:f>IF(OR(O738="",N738&gt;기본입력!$C$34),"",VLOOKUP(O738,기본입력!$A$9:$F$33,6,FALSE))</x:f>
        <x:v>빅데이터 플랫폼 개발__8</x:v>
      </x:c>
      <x:c r="J738" s="38" t="str">
        <x:f t="shared" si="66"/>
        <x:v>빅데이터 플랫폼 개발</x:v>
      </x:c>
      <x:c r="K738" s="38" t="str">
        <x:f t="shared" si="67"/>
        <x:v>1교육실(실습겸용강의실)</x:v>
      </x:c>
      <x:c r="L738" s="38" t="str">
        <x:f t="shared" si="68"/>
        <x:v>양현수</x:v>
      </x:c>
      <x:c r="M738" s="63"/>
      <x:c r="N738" s="30">
        <x:f>IF(F738="2","",COUNTIF($F$3:$F738,"=1"))</x:f>
        <x:v>654</x:v>
      </x:c>
      <x:c r="O738" s="30">
        <x:f t="shared" si="69"/>
        <x:v>9</x:v>
      </x:c>
      <x:c r="P738" s="30">
        <x:f t="shared" si="71"/>
        <x:v>0</x:v>
      </x:c>
      <x:c r="Q738" s="30">
        <x:f>COUNTIF($P$3:P738,"=3")</x:f>
        <x:v>82</x:v>
      </x:c>
      <x:c r="R738" s="29">
        <x:f>WORKDAY(기본입력!$H$2,Q738-1,공휴일)</x:f>
        <x:v>46044</x:v>
      </x:c>
    </x:row>
    <x:row r="739" spans="1:18">
      <x:c r="A739" s="145" t="str">
        <x:f t="shared" si="70"/>
        <x:v>20260122</x:v>
      </x:c>
      <x:c r="B739" s="8" t="s">
        <x:v>5</x:v>
      </x:c>
      <x:c r="C739" s="8">
        <x:v>1740</x:v>
      </x:c>
      <x:c r="D739" s="7" t="s">
        <x:v>1</x:v>
      </x:c>
      <x:c r="E739" s="8">
        <x:v>1540</x:v>
      </x:c>
      <x:c r="F739" s="8" t="s">
        <x:v>40</x:v>
      </x:c>
      <x:c r="G739" s="15" t="str">
        <x:f>IF(OR(N739="",N739&gt;기본입력!$C$34),"",VLOOKUP(O739,기본입력!$A$9:$F$33,5))</x:f>
        <x:v>양현수_53778</x:v>
      </x:c>
      <x:c r="H739" s="15" t="str">
        <x:f>IF(OR(N739="",N739&gt;기본입력!$C$34),"",기본입력!$C$6)</x:f>
        <x:v>1교육실(실습겸용강의실)_243089</x:v>
      </x:c>
      <x:c r="I739" s="15" t="str">
        <x:f>IF(OR(O739="",N739&gt;기본입력!$C$34),"",VLOOKUP(O739,기본입력!$A$9:$F$33,6,FALSE))</x:f>
        <x:v>빅데이터 플랫폼 개발__8</x:v>
      </x:c>
      <x:c r="J739" s="38" t="str">
        <x:f t="shared" si="66"/>
        <x:v>빅데이터 플랫폼 개발</x:v>
      </x:c>
      <x:c r="K739" s="38" t="str">
        <x:f t="shared" si="67"/>
        <x:v>1교육실(실습겸용강의실)</x:v>
      </x:c>
      <x:c r="L739" s="38" t="str">
        <x:f t="shared" si="68"/>
        <x:v>양현수</x:v>
      </x:c>
      <x:c r="M739" s="63"/>
      <x:c r="N739" s="30">
        <x:f>IF(F739="2","",COUNTIF($F$3:$F739,"=1"))</x:f>
        <x:v>655</x:v>
      </x:c>
      <x:c r="O739" s="30">
        <x:f t="shared" si="69"/>
        <x:v>9</x:v>
      </x:c>
      <x:c r="P739" s="30">
        <x:f t="shared" si="71"/>
        <x:v>1</x:v>
      </x:c>
      <x:c r="Q739" s="30">
        <x:f>COUNTIF($P$3:P739,"=3")</x:f>
        <x:v>82</x:v>
      </x:c>
      <x:c r="R739" s="29">
        <x:f>WORKDAY(기본입력!$H$2,Q739-1,공휴일)</x:f>
        <x:v>46044</x:v>
      </x:c>
    </x:row>
    <x:row r="740" spans="1:18">
      <x:c r="A740" s="145" t="str">
        <x:f t="shared" si="70"/>
        <x:v>20260122</x:v>
      </x:c>
      <x:c r="B740" s="8" t="s">
        <x:v>5</x:v>
      </x:c>
      <x:c r="C740" s="8">
        <x:v>1740</x:v>
      </x:c>
      <x:c r="D740" s="7" t="s">
        <x:v>1</x:v>
      </x:c>
      <x:c r="E740" s="8">
        <x:v>1640</x:v>
      </x:c>
      <x:c r="F740" s="8" t="s">
        <x:v>40</x:v>
      </x:c>
      <x:c r="G740" s="15" t="str">
        <x:f>IF(OR(N740="",N740&gt;기본입력!$C$34),"",VLOOKUP(O740,기본입력!$A$9:$F$33,5))</x:f>
        <x:v>양현수_53778</x:v>
      </x:c>
      <x:c r="H740" s="15" t="str">
        <x:f>IF(OR(N740="",N740&gt;기본입력!$C$34),"",기본입력!$C$6)</x:f>
        <x:v>1교육실(실습겸용강의실)_243089</x:v>
      </x:c>
      <x:c r="I740" s="15" t="str">
        <x:f>IF(OR(O740="",N740&gt;기본입력!$C$34),"",VLOOKUP(O740,기본입력!$A$9:$F$33,6,FALSE))</x:f>
        <x:v>빅데이터 플랫폼 개발__8</x:v>
      </x:c>
      <x:c r="J740" s="38" t="str">
        <x:f t="shared" si="66"/>
        <x:v>빅데이터 플랫폼 개발</x:v>
      </x:c>
      <x:c r="K740" s="38" t="str">
        <x:f t="shared" si="67"/>
        <x:v>1교육실(실습겸용강의실)</x:v>
      </x:c>
      <x:c r="L740" s="38" t="str">
        <x:f t="shared" si="68"/>
        <x:v>양현수</x:v>
      </x:c>
      <x:c r="M740" s="63"/>
      <x:c r="N740" s="30">
        <x:f>IF(F740="2","",COUNTIF($F$3:$F740,"=1"))</x:f>
        <x:v>656</x:v>
      </x:c>
      <x:c r="O740" s="30">
        <x:f t="shared" si="69"/>
        <x:v>9</x:v>
      </x:c>
      <x:c r="P740" s="30">
        <x:f t="shared" si="71"/>
        <x:v>2</x:v>
      </x:c>
      <x:c r="Q740" s="30">
        <x:f>COUNTIF($P$3:P740,"=3")</x:f>
        <x:v>82</x:v>
      </x:c>
      <x:c r="R740" s="29">
        <x:f>WORKDAY(기본입력!$H$2,Q740-1,공휴일)</x:f>
        <x:v>46044</x:v>
      </x:c>
    </x:row>
    <x:row r="741" spans="1:18">
      <x:c r="A741" s="144" t="str">
        <x:f t="shared" si="70"/>
        <x:v>20260123</x:v>
      </x:c>
      <x:c r="B741" s="6" t="s">
        <x:v>5</x:v>
      </x:c>
      <x:c r="C741" s="6">
        <x:v>1740</x:v>
      </x:c>
      <x:c r="D741" s="5" t="s">
        <x:v>1</x:v>
      </x:c>
      <x:c r="E741" s="6" t="s">
        <x:v>5</x:v>
      </x:c>
      <x:c r="F741" s="6" t="s">
        <x:v>40</x:v>
      </x:c>
      <x:c r="G741" s="14" t="str">
        <x:f>IF(OR(N741="",N741&gt;기본입력!$C$34),"",VLOOKUP(O741,기본입력!$A$9:$F$33,5))</x:f>
        <x:v>양현수_53778</x:v>
      </x:c>
      <x:c r="H741" s="14" t="str">
        <x:f>IF(OR(N741="",N741&gt;기본입력!$C$34),"",기본입력!$C$6)</x:f>
        <x:v>1교육실(실습겸용강의실)_243089</x:v>
      </x:c>
      <x:c r="I741" s="14" t="str">
        <x:f>IF(OR(O741="",N741&gt;기본입력!$C$34),"",VLOOKUP(O741,기본입력!$A$9:$F$33,6,FALSE))</x:f>
        <x:v>빅데이터 플랫폼 개발__8</x:v>
      </x:c>
      <x:c r="J741" s="38" t="str">
        <x:f t="shared" si="66"/>
        <x:v>빅데이터 플랫폼 개발</x:v>
      </x:c>
      <x:c r="K741" s="38" t="str">
        <x:f t="shared" si="67"/>
        <x:v>1교육실(실습겸용강의실)</x:v>
      </x:c>
      <x:c r="L741" s="38" t="str">
        <x:f t="shared" si="68"/>
        <x:v>양현수</x:v>
      </x:c>
      <x:c r="M741" s="63"/>
      <x:c r="N741" s="30">
        <x:f>IF(F741="2","",COUNTIF($F$3:$F741,"=1"))</x:f>
        <x:v>657</x:v>
      </x:c>
      <x:c r="O741" s="30">
        <x:f t="shared" si="69"/>
        <x:v>9</x:v>
      </x:c>
      <x:c r="P741" s="30">
        <x:f t="shared" si="71"/>
        <x:v>3</x:v>
      </x:c>
      <x:c r="Q741" s="30">
        <x:f>COUNTIF($P$3:P741,"=3")</x:f>
        <x:v>83</x:v>
      </x:c>
      <x:c r="R741" s="29">
        <x:f>WORKDAY(기본입력!$H$2,Q741-1,공휴일)</x:f>
        <x:v>46045</x:v>
      </x:c>
    </x:row>
    <x:row r="742" spans="1:18">
      <x:c r="A742" s="144" t="str">
        <x:f t="shared" si="70"/>
        <x:v>20260123</x:v>
      </x:c>
      <x:c r="B742" s="6" t="s">
        <x:v>5</x:v>
      </x:c>
      <x:c r="C742" s="6">
        <x:v>1740</x:v>
      </x:c>
      <x:c r="D742" s="5" t="s">
        <x:v>1</x:v>
      </x:c>
      <x:c r="E742" s="6" t="s">
        <x:v>117</x:v>
      </x:c>
      <x:c r="F742" s="6" t="s">
        <x:v>40</x:v>
      </x:c>
      <x:c r="G742" s="14" t="str">
        <x:f>IF(OR(N742="",N742&gt;기본입력!$C$34),"",VLOOKUP(O742,기본입력!$A$9:$F$33,5))</x:f>
        <x:v>양현수_53778</x:v>
      </x:c>
      <x:c r="H742" s="14" t="str">
        <x:f>IF(OR(N742="",N742&gt;기본입력!$C$34),"",기본입력!$C$6)</x:f>
        <x:v>1교육실(실습겸용강의실)_243089</x:v>
      </x:c>
      <x:c r="I742" s="14" t="str">
        <x:f>IF(OR(O742="",N742&gt;기본입력!$C$34),"",VLOOKUP(O742,기본입력!$A$9:$F$33,6,FALSE))</x:f>
        <x:v>빅데이터 플랫폼 개발__8</x:v>
      </x:c>
      <x:c r="J742" s="38" t="str">
        <x:f t="shared" si="66"/>
        <x:v>빅데이터 플랫폼 개발</x:v>
      </x:c>
      <x:c r="K742" s="38" t="str">
        <x:f t="shared" si="67"/>
        <x:v>1교육실(실습겸용강의실)</x:v>
      </x:c>
      <x:c r="L742" s="38" t="str">
        <x:f t="shared" si="68"/>
        <x:v>양현수</x:v>
      </x:c>
      <x:c r="M742" s="63"/>
      <x:c r="N742" s="30">
        <x:f>IF(F742="2","",COUNTIF($F$3:$F742,"=1"))</x:f>
        <x:v>658</x:v>
      </x:c>
      <x:c r="O742" s="30">
        <x:f t="shared" si="69"/>
        <x:v>9</x:v>
      </x:c>
      <x:c r="P742" s="30">
        <x:f t="shared" si="71"/>
        <x:v>4</x:v>
      </x:c>
      <x:c r="Q742" s="30">
        <x:f>COUNTIF($P$3:P742,"=3")</x:f>
        <x:v>83</x:v>
      </x:c>
      <x:c r="R742" s="29">
        <x:f>WORKDAY(기본입력!$H$2,Q742-1,공휴일)</x:f>
        <x:v>46045</x:v>
      </x:c>
    </x:row>
    <x:row r="743" spans="1:18">
      <x:c r="A743" s="144" t="str">
        <x:f t="shared" si="70"/>
        <x:v>20260123</x:v>
      </x:c>
      <x:c r="B743" s="6" t="s">
        <x:v>5</x:v>
      </x:c>
      <x:c r="C743" s="6">
        <x:v>1740</x:v>
      </x:c>
      <x:c r="D743" s="5" t="s">
        <x:v>1</x:v>
      </x:c>
      <x:c r="E743" s="6" t="s">
        <x:v>87</x:v>
      </x:c>
      <x:c r="F743" s="6" t="s">
        <x:v>40</x:v>
      </x:c>
      <x:c r="G743" s="14" t="str">
        <x:f>IF(OR(N743="",N743&gt;기본입력!$C$34),"",VLOOKUP(O743,기본입력!$A$9:$F$33,5))</x:f>
        <x:v>양현수_53778</x:v>
      </x:c>
      <x:c r="H743" s="14" t="str">
        <x:f>IF(OR(N743="",N743&gt;기본입력!$C$34),"",기본입력!$C$6)</x:f>
        <x:v>1교육실(실습겸용강의실)_243089</x:v>
      </x:c>
      <x:c r="I743" s="14" t="str">
        <x:f>IF(OR(O743="",N743&gt;기본입력!$C$34),"",VLOOKUP(O743,기본입력!$A$9:$F$33,6,FALSE))</x:f>
        <x:v>빅데이터 플랫폼 개발__8</x:v>
      </x:c>
      <x:c r="J743" s="38" t="str">
        <x:f t="shared" si="66"/>
        <x:v>빅데이터 플랫폼 개발</x:v>
      </x:c>
      <x:c r="K743" s="38" t="str">
        <x:f t="shared" si="67"/>
        <x:v>1교육실(실습겸용강의실)</x:v>
      </x:c>
      <x:c r="L743" s="38" t="str">
        <x:f t="shared" si="68"/>
        <x:v>양현수</x:v>
      </x:c>
      <x:c r="M743" s="63"/>
      <x:c r="N743" s="30">
        <x:f>IF(F743="2","",COUNTIF($F$3:$F743,"=1"))</x:f>
        <x:v>659</x:v>
      </x:c>
      <x:c r="O743" s="30">
        <x:f t="shared" si="69"/>
        <x:v>9</x:v>
      </x:c>
      <x:c r="P743" s="30">
        <x:f t="shared" si="71"/>
        <x:v>5</x:v>
      </x:c>
      <x:c r="Q743" s="30">
        <x:f>COUNTIF($P$3:P743,"=3")</x:f>
        <x:v>83</x:v>
      </x:c>
      <x:c r="R743" s="29">
        <x:f>WORKDAY(기본입력!$H$2,Q743-1,공휴일)</x:f>
        <x:v>46045</x:v>
      </x:c>
    </x:row>
    <x:row r="744" spans="1:18">
      <x:c r="A744" s="144" t="str">
        <x:f t="shared" si="70"/>
        <x:v>20260123</x:v>
      </x:c>
      <x:c r="B744" s="6" t="s">
        <x:v>5</x:v>
      </x:c>
      <x:c r="C744" s="6">
        <x:v>1740</x:v>
      </x:c>
      <x:c r="D744" s="5" t="s">
        <x:v>1</x:v>
      </x:c>
      <x:c r="E744" s="6" t="s">
        <x:v>88</x:v>
      </x:c>
      <x:c r="F744" s="6" t="s">
        <x:v>40</x:v>
      </x:c>
      <x:c r="G744" s="14" t="str">
        <x:f>IF(OR(N744="",N744&gt;기본입력!$C$34),"",VLOOKUP(O744,기본입력!$A$9:$F$33,5))</x:f>
        <x:v>양현수_53778</x:v>
      </x:c>
      <x:c r="H744" s="14" t="str">
        <x:f>IF(OR(N744="",N744&gt;기본입력!$C$34),"",기본입력!$C$6)</x:f>
        <x:v>1교육실(실습겸용강의실)_243089</x:v>
      </x:c>
      <x:c r="I744" s="14" t="str">
        <x:f>IF(OR(O744="",N744&gt;기본입력!$C$34),"",VLOOKUP(O744,기본입력!$A$9:$F$33,6,FALSE))</x:f>
        <x:v>빅데이터 플랫폼 개발__8</x:v>
      </x:c>
      <x:c r="J744" s="38" t="str">
        <x:f t="shared" si="66"/>
        <x:v>빅데이터 플랫폼 개발</x:v>
      </x:c>
      <x:c r="K744" s="38" t="str">
        <x:f t="shared" si="67"/>
        <x:v>1교육실(실습겸용강의실)</x:v>
      </x:c>
      <x:c r="L744" s="38" t="str">
        <x:f t="shared" si="68"/>
        <x:v>양현수</x:v>
      </x:c>
      <x:c r="M744" s="63"/>
      <x:c r="N744" s="30">
        <x:f>IF(F744="2","",COUNTIF($F$3:$F744,"=1"))</x:f>
        <x:v>660</x:v>
      </x:c>
      <x:c r="O744" s="30">
        <x:f t="shared" si="69"/>
        <x:v>9</x:v>
      </x:c>
      <x:c r="P744" s="30">
        <x:f t="shared" si="71"/>
        <x:v>6</x:v>
      </x:c>
      <x:c r="Q744" s="30">
        <x:f>COUNTIF($P$3:P744,"=3")</x:f>
        <x:v>83</x:v>
      </x:c>
      <x:c r="R744" s="29">
        <x:f>WORKDAY(기본입력!$H$2,Q744-1,공휴일)</x:f>
        <x:v>46045</x:v>
      </x:c>
    </x:row>
    <x:row r="745" spans="1:18">
      <x:c r="A745" s="144" t="str">
        <x:f t="shared" si="70"/>
        <x:v>20260123</x:v>
      </x:c>
      <x:c r="B745" s="6" t="s">
        <x:v>5</x:v>
      </x:c>
      <x:c r="C745" s="6">
        <x:v>1740</x:v>
      </x:c>
      <x:c r="D745" s="5" t="s">
        <x:v>1</x:v>
      </x:c>
      <x:c r="E745" s="6" t="s">
        <x:v>0</x:v>
      </x:c>
      <x:c r="F745" s="6" t="s">
        <x:v>41</x:v>
      </x:c>
      <x:c r="G745" s="14" t="str">
        <x:f>IF(OR(N745="",N745&gt;기본입력!$C$34),"",VLOOKUP(O745,기본입력!$A$9:$F$33,5))</x:f>
        <x:v/>
      </x:c>
      <x:c r="H745" s="14" t="str">
        <x:f>IF(OR(N745="",N745&gt;기본입력!$C$34),"",기본입력!$C$6)</x:f>
        <x:v/>
      </x:c>
      <x:c r="I745" s="14" t="str">
        <x:f>IF(OR(O745="",N745&gt;기본입력!$C$34),"",VLOOKUP(O745,기본입력!$A$9:$F$33,6,FALSE))</x:f>
        <x:v/>
      </x:c>
      <x:c r="J745" s="38" t="str">
        <x:f t="shared" si="66"/>
        <x:v/>
      </x:c>
      <x:c r="K745" s="38" t="str">
        <x:f t="shared" si="67"/>
        <x:v/>
      </x:c>
      <x:c r="L745" s="38" t="str">
        <x:f t="shared" si="68"/>
        <x:v/>
      </x:c>
      <x:c r="M745" s="63"/>
      <x:c r="N745" s="30" t="str">
        <x:f>IF(F745="2","",COUNTIF($F$3:$F745,"=1"))</x:f>
        <x:v/>
      </x:c>
      <x:c r="O745" s="30" t="str">
        <x:f t="shared" si="69"/>
        <x:v/>
      </x:c>
      <x:c r="P745" s="30">
        <x:f t="shared" si="71"/>
        <x:v>7</x:v>
      </x:c>
      <x:c r="Q745" s="30">
        <x:f>COUNTIF($P$3:P745,"=3")</x:f>
        <x:v>83</x:v>
      </x:c>
      <x:c r="R745" s="29">
        <x:f>WORKDAY(기본입력!$H$2,Q745-1,공휴일)</x:f>
        <x:v>46045</x:v>
      </x:c>
    </x:row>
    <x:row r="746" spans="1:18">
      <x:c r="A746" s="144" t="str">
        <x:f t="shared" si="70"/>
        <x:v>20260123</x:v>
      </x:c>
      <x:c r="B746" s="6" t="s">
        <x:v>5</x:v>
      </x:c>
      <x:c r="C746" s="6">
        <x:v>1740</x:v>
      </x:c>
      <x:c r="D746" s="5" t="s">
        <x:v>1</x:v>
      </x:c>
      <x:c r="E746" s="6">
        <x:v>1340</x:v>
      </x:c>
      <x:c r="F746" s="6" t="s">
        <x:v>40</x:v>
      </x:c>
      <x:c r="G746" s="14" t="str">
        <x:f>IF(OR(N746="",N746&gt;기본입력!$C$34),"",VLOOKUP(O746,기본입력!$A$9:$F$33,5))</x:f>
        <x:v>양현수_53778</x:v>
      </x:c>
      <x:c r="H746" s="14" t="str">
        <x:f>IF(OR(N746="",N746&gt;기본입력!$C$34),"",기본입력!$C$6)</x:f>
        <x:v>1교육실(실습겸용강의실)_243089</x:v>
      </x:c>
      <x:c r="I746" s="14" t="str">
        <x:f>IF(OR(O746="",N746&gt;기본입력!$C$34),"",VLOOKUP(O746,기본입력!$A$9:$F$33,6,FALSE))</x:f>
        <x:v>빅데이터 플랫폼 개발__8</x:v>
      </x:c>
      <x:c r="J746" s="38" t="str">
        <x:f t="shared" si="66"/>
        <x:v>빅데이터 플랫폼 개발</x:v>
      </x:c>
      <x:c r="K746" s="38" t="str">
        <x:f t="shared" si="67"/>
        <x:v>1교육실(실습겸용강의실)</x:v>
      </x:c>
      <x:c r="L746" s="38" t="str">
        <x:f t="shared" si="68"/>
        <x:v>양현수</x:v>
      </x:c>
      <x:c r="M746" s="63"/>
      <x:c r="N746" s="30">
        <x:f>IF(F746="2","",COUNTIF($F$3:$F746,"=1"))</x:f>
        <x:v>661</x:v>
      </x:c>
      <x:c r="O746" s="30">
        <x:f t="shared" si="69"/>
        <x:v>9</x:v>
      </x:c>
      <x:c r="P746" s="30">
        <x:f t="shared" si="71"/>
        <x:v>8</x:v>
      </x:c>
      <x:c r="Q746" s="30">
        <x:f>COUNTIF($P$3:P746,"=3")</x:f>
        <x:v>83</x:v>
      </x:c>
      <x:c r="R746" s="29">
        <x:f>WORKDAY(기본입력!$H$2,Q746-1,공휴일)</x:f>
        <x:v>46045</x:v>
      </x:c>
    </x:row>
    <x:row r="747" spans="1:18">
      <x:c r="A747" s="144" t="str">
        <x:f t="shared" si="70"/>
        <x:v>20260123</x:v>
      </x:c>
      <x:c r="B747" s="6" t="s">
        <x:v>5</x:v>
      </x:c>
      <x:c r="C747" s="6">
        <x:v>1740</x:v>
      </x:c>
      <x:c r="D747" s="5" t="s">
        <x:v>1</x:v>
      </x:c>
      <x:c r="E747" s="6">
        <x:v>1440</x:v>
      </x:c>
      <x:c r="F747" s="6" t="s">
        <x:v>40</x:v>
      </x:c>
      <x:c r="G747" s="14" t="str">
        <x:f>IF(OR(N747="",N747&gt;기본입력!$C$34),"",VLOOKUP(O747,기본입력!$A$9:$F$33,5))</x:f>
        <x:v>양현수_53778</x:v>
      </x:c>
      <x:c r="H747" s="14" t="str">
        <x:f>IF(OR(N747="",N747&gt;기본입력!$C$34),"",기본입력!$C$6)</x:f>
        <x:v>1교육실(실습겸용강의실)_243089</x:v>
      </x:c>
      <x:c r="I747" s="14" t="str">
        <x:f>IF(OR(O747="",N747&gt;기본입력!$C$34),"",VLOOKUP(O747,기본입력!$A$9:$F$33,6,FALSE))</x:f>
        <x:v>빅데이터 플랫폼 개발__8</x:v>
      </x:c>
      <x:c r="J747" s="38" t="str">
        <x:f t="shared" si="66"/>
        <x:v>빅데이터 플랫폼 개발</x:v>
      </x:c>
      <x:c r="K747" s="38" t="str">
        <x:f t="shared" si="67"/>
        <x:v>1교육실(실습겸용강의실)</x:v>
      </x:c>
      <x:c r="L747" s="38" t="str">
        <x:f t="shared" si="68"/>
        <x:v>양현수</x:v>
      </x:c>
      <x:c r="M747" s="63"/>
      <x:c r="N747" s="30">
        <x:f>IF(F747="2","",COUNTIF($F$3:$F747,"=1"))</x:f>
        <x:v>662</x:v>
      </x:c>
      <x:c r="O747" s="30">
        <x:f t="shared" si="69"/>
        <x:v>9</x:v>
      </x:c>
      <x:c r="P747" s="30">
        <x:f t="shared" si="71"/>
        <x:v>0</x:v>
      </x:c>
      <x:c r="Q747" s="30">
        <x:f>COUNTIF($P$3:P747,"=3")</x:f>
        <x:v>83</x:v>
      </x:c>
      <x:c r="R747" s="29">
        <x:f>WORKDAY(기본입력!$H$2,Q747-1,공휴일)</x:f>
        <x:v>46045</x:v>
      </x:c>
    </x:row>
    <x:row r="748" spans="1:18">
      <x:c r="A748" s="144" t="str">
        <x:f t="shared" si="70"/>
        <x:v>20260123</x:v>
      </x:c>
      <x:c r="B748" s="6" t="s">
        <x:v>5</x:v>
      </x:c>
      <x:c r="C748" s="6">
        <x:v>1740</x:v>
      </x:c>
      <x:c r="D748" s="5" t="s">
        <x:v>1</x:v>
      </x:c>
      <x:c r="E748" s="6">
        <x:v>1540</x:v>
      </x:c>
      <x:c r="F748" s="6" t="s">
        <x:v>40</x:v>
      </x:c>
      <x:c r="G748" s="14" t="str">
        <x:f>IF(OR(N748="",N748&gt;기본입력!$C$34),"",VLOOKUP(O748,기본입력!$A$9:$F$33,5))</x:f>
        <x:v>양현수_53778</x:v>
      </x:c>
      <x:c r="H748" s="14" t="str">
        <x:f>IF(OR(N748="",N748&gt;기본입력!$C$34),"",기본입력!$C$6)</x:f>
        <x:v>1교육실(실습겸용강의실)_243089</x:v>
      </x:c>
      <x:c r="I748" s="14" t="str">
        <x:f>IF(OR(O748="",N748&gt;기본입력!$C$34),"",VLOOKUP(O748,기본입력!$A$9:$F$33,6,FALSE))</x:f>
        <x:v>빅데이터 플랫폼 개발__8</x:v>
      </x:c>
      <x:c r="J748" s="38" t="str">
        <x:f t="shared" si="66"/>
        <x:v>빅데이터 플랫폼 개발</x:v>
      </x:c>
      <x:c r="K748" s="38" t="str">
        <x:f t="shared" si="67"/>
        <x:v>1교육실(실습겸용강의실)</x:v>
      </x:c>
      <x:c r="L748" s="38" t="str">
        <x:f t="shared" si="68"/>
        <x:v>양현수</x:v>
      </x:c>
      <x:c r="M748" s="63"/>
      <x:c r="N748" s="30">
        <x:f>IF(F748="2","",COUNTIF($F$3:$F748,"=1"))</x:f>
        <x:v>663</x:v>
      </x:c>
      <x:c r="O748" s="30">
        <x:f t="shared" si="69"/>
        <x:v>9</x:v>
      </x:c>
      <x:c r="P748" s="30">
        <x:f t="shared" si="71"/>
        <x:v>1</x:v>
      </x:c>
      <x:c r="Q748" s="30">
        <x:f>COUNTIF($P$3:P748,"=3")</x:f>
        <x:v>83</x:v>
      </x:c>
      <x:c r="R748" s="29">
        <x:f>WORKDAY(기본입력!$H$2,Q748-1,공휴일)</x:f>
        <x:v>46045</x:v>
      </x:c>
    </x:row>
    <x:row r="749" spans="1:18">
      <x:c r="A749" s="144" t="str">
        <x:f t="shared" si="70"/>
        <x:v>20260123</x:v>
      </x:c>
      <x:c r="B749" s="6" t="s">
        <x:v>5</x:v>
      </x:c>
      <x:c r="C749" s="6">
        <x:v>1740</x:v>
      </x:c>
      <x:c r="D749" s="5" t="s">
        <x:v>1</x:v>
      </x:c>
      <x:c r="E749" s="6">
        <x:v>1640</x:v>
      </x:c>
      <x:c r="F749" s="6" t="s">
        <x:v>40</x:v>
      </x:c>
      <x:c r="G749" s="14" t="str">
        <x:f>IF(OR(N749="",N749&gt;기본입력!$C$34),"",VLOOKUP(O749,기본입력!$A$9:$F$33,5))</x:f>
        <x:v>양현수_53778</x:v>
      </x:c>
      <x:c r="H749" s="14" t="str">
        <x:f>IF(OR(N749="",N749&gt;기본입력!$C$34),"",기본입력!$C$6)</x:f>
        <x:v>1교육실(실습겸용강의실)_243089</x:v>
      </x:c>
      <x:c r="I749" s="14" t="str">
        <x:f>IF(OR(O749="",N749&gt;기본입력!$C$34),"",VLOOKUP(O749,기본입력!$A$9:$F$33,6,FALSE))</x:f>
        <x:v>빅데이터 플랫폼 개발__8</x:v>
      </x:c>
      <x:c r="J749" s="38" t="str">
        <x:f t="shared" si="66"/>
        <x:v>빅데이터 플랫폼 개발</x:v>
      </x:c>
      <x:c r="K749" s="38" t="str">
        <x:f t="shared" si="67"/>
        <x:v>1교육실(실습겸용강의실)</x:v>
      </x:c>
      <x:c r="L749" s="38" t="str">
        <x:f t="shared" si="68"/>
        <x:v>양현수</x:v>
      </x:c>
      <x:c r="M749" s="63"/>
      <x:c r="N749" s="30">
        <x:f>IF(F749="2","",COUNTIF($F$3:$F749,"=1"))</x:f>
        <x:v>664</x:v>
      </x:c>
      <x:c r="O749" s="30">
        <x:f t="shared" si="69"/>
        <x:v>9</x:v>
      </x:c>
      <x:c r="P749" s="30">
        <x:f t="shared" si="71"/>
        <x:v>2</x:v>
      </x:c>
      <x:c r="Q749" s="30">
        <x:f>COUNTIF($P$3:P749,"=3")</x:f>
        <x:v>83</x:v>
      </x:c>
      <x:c r="R749" s="29">
        <x:f>WORKDAY(기본입력!$H$2,Q749-1,공휴일)</x:f>
        <x:v>46045</x:v>
      </x:c>
    </x:row>
    <x:row r="750" spans="1:18">
      <x:c r="A750" s="145" t="str">
        <x:f t="shared" si="70"/>
        <x:v>20260126</x:v>
      </x:c>
      <x:c r="B750" s="8" t="s">
        <x:v>5</x:v>
      </x:c>
      <x:c r="C750" s="8">
        <x:v>1740</x:v>
      </x:c>
      <x:c r="D750" s="7" t="s">
        <x:v>1</x:v>
      </x:c>
      <x:c r="E750" s="8" t="s">
        <x:v>5</x:v>
      </x:c>
      <x:c r="F750" s="8" t="s">
        <x:v>40</x:v>
      </x:c>
      <x:c r="G750" s="15" t="str">
        <x:f>IF(OR(N750="",N750&gt;기본입력!$C$34),"",VLOOKUP(O750,기본입력!$A$9:$F$33,5))</x:f>
        <x:v>양현수_53778</x:v>
      </x:c>
      <x:c r="H750" s="15" t="str">
        <x:f>IF(OR(N750="",N750&gt;기본입력!$C$34),"",기본입력!$C$6)</x:f>
        <x:v>1교육실(실습겸용강의실)_243089</x:v>
      </x:c>
      <x:c r="I750" s="15" t="str">
        <x:f>IF(OR(O750="",N750&gt;기본입력!$C$34),"",VLOOKUP(O750,기본입력!$A$9:$F$33,6,FALSE))</x:f>
        <x:v>빅데이터 플랫폼 개발__8</x:v>
      </x:c>
      <x:c r="J750" s="38" t="str">
        <x:f t="shared" si="66"/>
        <x:v>빅데이터 플랫폼 개발</x:v>
      </x:c>
      <x:c r="K750" s="38" t="str">
        <x:f t="shared" si="67"/>
        <x:v>1교육실(실습겸용강의실)</x:v>
      </x:c>
      <x:c r="L750" s="38" t="str">
        <x:f t="shared" si="68"/>
        <x:v>양현수</x:v>
      </x:c>
      <x:c r="M750" s="63"/>
      <x:c r="N750" s="30">
        <x:f>IF(F750="2","",COUNTIF($F$3:$F750,"=1"))</x:f>
        <x:v>665</x:v>
      </x:c>
      <x:c r="O750" s="30">
        <x:f t="shared" si="69"/>
        <x:v>9</x:v>
      </x:c>
      <x:c r="P750" s="30">
        <x:f t="shared" si="71"/>
        <x:v>3</x:v>
      </x:c>
      <x:c r="Q750" s="30">
        <x:f>COUNTIF($P$3:P750,"=3")</x:f>
        <x:v>84</x:v>
      </x:c>
      <x:c r="R750" s="29">
        <x:f>WORKDAY(기본입력!$H$2,Q750-1,공휴일)</x:f>
        <x:v>46048</x:v>
      </x:c>
    </x:row>
    <x:row r="751" spans="1:18">
      <x:c r="A751" s="145" t="str">
        <x:f t="shared" si="70"/>
        <x:v>20260126</x:v>
      </x:c>
      <x:c r="B751" s="8" t="s">
        <x:v>5</x:v>
      </x:c>
      <x:c r="C751" s="8">
        <x:v>1740</x:v>
      </x:c>
      <x:c r="D751" s="7" t="s">
        <x:v>1</x:v>
      </x:c>
      <x:c r="E751" s="8" t="s">
        <x:v>117</x:v>
      </x:c>
      <x:c r="F751" s="8" t="s">
        <x:v>40</x:v>
      </x:c>
      <x:c r="G751" s="15" t="str">
        <x:f>IF(OR(N751="",N751&gt;기본입력!$C$34),"",VLOOKUP(O751,기본입력!$A$9:$F$33,5))</x:f>
        <x:v>양현수_53778</x:v>
      </x:c>
      <x:c r="H751" s="15" t="str">
        <x:f>IF(OR(N751="",N751&gt;기본입력!$C$34),"",기본입력!$C$6)</x:f>
        <x:v>1교육실(실습겸용강의실)_243089</x:v>
      </x:c>
      <x:c r="I751" s="15" t="str">
        <x:f>IF(OR(O751="",N751&gt;기본입력!$C$34),"",VLOOKUP(O751,기본입력!$A$9:$F$33,6,FALSE))</x:f>
        <x:v>빅데이터 플랫폼 개발__8</x:v>
      </x:c>
      <x:c r="J751" s="38" t="str">
        <x:f t="shared" si="66"/>
        <x:v>빅데이터 플랫폼 개발</x:v>
      </x:c>
      <x:c r="K751" s="38" t="str">
        <x:f t="shared" si="67"/>
        <x:v>1교육실(실습겸용강의실)</x:v>
      </x:c>
      <x:c r="L751" s="38" t="str">
        <x:f t="shared" si="68"/>
        <x:v>양현수</x:v>
      </x:c>
      <x:c r="M751" s="63"/>
      <x:c r="N751" s="30">
        <x:f>IF(F751="2","",COUNTIF($F$3:$F751,"=1"))</x:f>
        <x:v>666</x:v>
      </x:c>
      <x:c r="O751" s="30">
        <x:f t="shared" si="69"/>
        <x:v>9</x:v>
      </x:c>
      <x:c r="P751" s="30">
        <x:f t="shared" si="71"/>
        <x:v>4</x:v>
      </x:c>
      <x:c r="Q751" s="30">
        <x:f>COUNTIF($P$3:P751,"=3")</x:f>
        <x:v>84</x:v>
      </x:c>
      <x:c r="R751" s="29">
        <x:f>WORKDAY(기본입력!$H$2,Q751-1,공휴일)</x:f>
        <x:v>46048</x:v>
      </x:c>
    </x:row>
    <x:row r="752" spans="1:18">
      <x:c r="A752" s="145" t="str">
        <x:f t="shared" si="70"/>
        <x:v>20260126</x:v>
      </x:c>
      <x:c r="B752" s="8" t="s">
        <x:v>5</x:v>
      </x:c>
      <x:c r="C752" s="8">
        <x:v>1740</x:v>
      </x:c>
      <x:c r="D752" s="7" t="s">
        <x:v>1</x:v>
      </x:c>
      <x:c r="E752" s="8" t="s">
        <x:v>87</x:v>
      </x:c>
      <x:c r="F752" s="8" t="s">
        <x:v>40</x:v>
      </x:c>
      <x:c r="G752" s="15" t="str">
        <x:f>IF(OR(N752="",N752&gt;기본입력!$C$34),"",VLOOKUP(O752,기본입력!$A$9:$F$33,5))</x:f>
        <x:v>양현수_53778</x:v>
      </x:c>
      <x:c r="H752" s="15" t="str">
        <x:f>IF(OR(N752="",N752&gt;기본입력!$C$34),"",기본입력!$C$6)</x:f>
        <x:v>1교육실(실습겸용강의실)_243089</x:v>
      </x:c>
      <x:c r="I752" s="15" t="str">
        <x:f>IF(OR(O752="",N752&gt;기본입력!$C$34),"",VLOOKUP(O752,기본입력!$A$9:$F$33,6,FALSE))</x:f>
        <x:v>빅데이터 플랫폼 개발__8</x:v>
      </x:c>
      <x:c r="J752" s="38" t="str">
        <x:f t="shared" si="66"/>
        <x:v>빅데이터 플랫폼 개발</x:v>
      </x:c>
      <x:c r="K752" s="38" t="str">
        <x:f t="shared" si="67"/>
        <x:v>1교육실(실습겸용강의실)</x:v>
      </x:c>
      <x:c r="L752" s="38" t="str">
        <x:f t="shared" si="68"/>
        <x:v>양현수</x:v>
      </x:c>
      <x:c r="M752" s="63"/>
      <x:c r="N752" s="30">
        <x:f>IF(F752="2","",COUNTIF($F$3:$F752,"=1"))</x:f>
        <x:v>667</x:v>
      </x:c>
      <x:c r="O752" s="30">
        <x:f t="shared" si="69"/>
        <x:v>9</x:v>
      </x:c>
      <x:c r="P752" s="30">
        <x:f t="shared" si="71"/>
        <x:v>5</x:v>
      </x:c>
      <x:c r="Q752" s="30">
        <x:f>COUNTIF($P$3:P752,"=3")</x:f>
        <x:v>84</x:v>
      </x:c>
      <x:c r="R752" s="29">
        <x:f>WORKDAY(기본입력!$H$2,Q752-1,공휴일)</x:f>
        <x:v>46048</x:v>
      </x:c>
    </x:row>
    <x:row r="753" spans="1:18">
      <x:c r="A753" s="145" t="str">
        <x:f t="shared" si="70"/>
        <x:v>20260126</x:v>
      </x:c>
      <x:c r="B753" s="8" t="s">
        <x:v>5</x:v>
      </x:c>
      <x:c r="C753" s="8">
        <x:v>1740</x:v>
      </x:c>
      <x:c r="D753" s="7" t="s">
        <x:v>1</x:v>
      </x:c>
      <x:c r="E753" s="8" t="s">
        <x:v>88</x:v>
      </x:c>
      <x:c r="F753" s="8" t="s">
        <x:v>40</x:v>
      </x:c>
      <x:c r="G753" s="15" t="str">
        <x:f>IF(OR(N753="",N753&gt;기본입력!$C$34),"",VLOOKUP(O753,기본입력!$A$9:$F$33,5))</x:f>
        <x:v>양현수_53778</x:v>
      </x:c>
      <x:c r="H753" s="15" t="str">
        <x:f>IF(OR(N753="",N753&gt;기본입력!$C$34),"",기본입력!$C$6)</x:f>
        <x:v>1교육실(실습겸용강의실)_243089</x:v>
      </x:c>
      <x:c r="I753" s="15" t="str">
        <x:f>IF(OR(O753="",N753&gt;기본입력!$C$34),"",VLOOKUP(O753,기본입력!$A$9:$F$33,6,FALSE))</x:f>
        <x:v>빅데이터 플랫폼 개발__8</x:v>
      </x:c>
      <x:c r="J753" s="38" t="str">
        <x:f t="shared" si="66"/>
        <x:v>빅데이터 플랫폼 개발</x:v>
      </x:c>
      <x:c r="K753" s="38" t="str">
        <x:f t="shared" si="67"/>
        <x:v>1교육실(실습겸용강의실)</x:v>
      </x:c>
      <x:c r="L753" s="38" t="str">
        <x:f t="shared" si="68"/>
        <x:v>양현수</x:v>
      </x:c>
      <x:c r="M753" s="63"/>
      <x:c r="N753" s="30">
        <x:f>IF(F753="2","",COUNTIF($F$3:$F753,"=1"))</x:f>
        <x:v>668</x:v>
      </x:c>
      <x:c r="O753" s="30">
        <x:f t="shared" si="69"/>
        <x:v>9</x:v>
      </x:c>
      <x:c r="P753" s="30">
        <x:f t="shared" si="71"/>
        <x:v>6</x:v>
      </x:c>
      <x:c r="Q753" s="30">
        <x:f>COUNTIF($P$3:P753,"=3")</x:f>
        <x:v>84</x:v>
      </x:c>
      <x:c r="R753" s="29">
        <x:f>WORKDAY(기본입력!$H$2,Q753-1,공휴일)</x:f>
        <x:v>46048</x:v>
      </x:c>
    </x:row>
    <x:row r="754" spans="1:18">
      <x:c r="A754" s="145" t="str">
        <x:f t="shared" si="70"/>
        <x:v>20260126</x:v>
      </x:c>
      <x:c r="B754" s="8" t="s">
        <x:v>5</x:v>
      </x:c>
      <x:c r="C754" s="8">
        <x:v>1740</x:v>
      </x:c>
      <x:c r="D754" s="7" t="s">
        <x:v>1</x:v>
      </x:c>
      <x:c r="E754" s="8" t="s">
        <x:v>0</x:v>
      </x:c>
      <x:c r="F754" s="8" t="s">
        <x:v>41</x:v>
      </x:c>
      <x:c r="G754" s="15" t="str">
        <x:f>IF(OR(N754="",N754&gt;기본입력!$C$34),"",VLOOKUP(O754,기본입력!$A$9:$F$33,5))</x:f>
        <x:v/>
      </x:c>
      <x:c r="H754" s="15" t="str">
        <x:f>IF(OR(N754="",N754&gt;기본입력!$C$34),"",기본입력!$C$6)</x:f>
        <x:v/>
      </x:c>
      <x:c r="I754" s="15" t="str">
        <x:f>IF(OR(O754="",N754&gt;기본입력!$C$34),"",VLOOKUP(O754,기본입력!$A$9:$F$33,6,FALSE))</x:f>
        <x:v/>
      </x:c>
      <x:c r="J754" s="38" t="str">
        <x:f t="shared" ref="J754:J817" si="72">IF(F754="2","",LEFT(I754,FIND("_",I754,2)-1))</x:f>
        <x:v/>
      </x:c>
      <x:c r="K754" s="38" t="str">
        <x:f t="shared" ref="K754:K817" si="73">IF(F754="2","",LEFT(H754,FIND("_",H754,2)-1))</x:f>
        <x:v/>
      </x:c>
      <x:c r="L754" s="38" t="str">
        <x:f t="shared" ref="L754:L817" si="74">IF(F754="2","",LEFT(G754,FIND("_",G754,2)-1))</x:f>
        <x:v/>
      </x:c>
      <x:c r="M754" s="63"/>
      <x:c r="N754" s="30" t="str">
        <x:f>IF(F754="2","",COUNTIF($F$3:$F754,"=1"))</x:f>
        <x:v/>
      </x:c>
      <x:c r="O754" s="30" t="str">
        <x:f t="shared" si="69"/>
        <x:v/>
      </x:c>
      <x:c r="P754" s="30">
        <x:f t="shared" si="71"/>
        <x:v>7</x:v>
      </x:c>
      <x:c r="Q754" s="30">
        <x:f>COUNTIF($P$3:P754,"=3")</x:f>
        <x:v>84</x:v>
      </x:c>
      <x:c r="R754" s="29">
        <x:f>WORKDAY(기본입력!$H$2,Q754-1,공휴일)</x:f>
        <x:v>46048</x:v>
      </x:c>
    </x:row>
    <x:row r="755" spans="1:18">
      <x:c r="A755" s="145" t="str">
        <x:f t="shared" si="70"/>
        <x:v>20260126</x:v>
      </x:c>
      <x:c r="B755" s="8" t="s">
        <x:v>5</x:v>
      </x:c>
      <x:c r="C755" s="8">
        <x:v>1740</x:v>
      </x:c>
      <x:c r="D755" s="7" t="s">
        <x:v>1</x:v>
      </x:c>
      <x:c r="E755" s="8">
        <x:v>1340</x:v>
      </x:c>
      <x:c r="F755" s="8" t="s">
        <x:v>40</x:v>
      </x:c>
      <x:c r="G755" s="15" t="str">
        <x:f>IF(OR(N755="",N755&gt;기본입력!$C$34),"",VLOOKUP(O755,기본입력!$A$9:$F$33,5))</x:f>
        <x:v>양현수_53778</x:v>
      </x:c>
      <x:c r="H755" s="15" t="str">
        <x:f>IF(OR(N755="",N755&gt;기본입력!$C$34),"",기본입력!$C$6)</x:f>
        <x:v>1교육실(실습겸용강의실)_243089</x:v>
      </x:c>
      <x:c r="I755" s="15" t="str">
        <x:f>IF(OR(O755="",N755&gt;기본입력!$C$34),"",VLOOKUP(O755,기본입력!$A$9:$F$33,6,FALSE))</x:f>
        <x:v>빅데이터 플랫폼 개발__8</x:v>
      </x:c>
      <x:c r="J755" s="38" t="str">
        <x:f t="shared" si="72"/>
        <x:v>빅데이터 플랫폼 개발</x:v>
      </x:c>
      <x:c r="K755" s="38" t="str">
        <x:f t="shared" si="73"/>
        <x:v>1교육실(실습겸용강의실)</x:v>
      </x:c>
      <x:c r="L755" s="38" t="str">
        <x:f t="shared" si="74"/>
        <x:v>양현수</x:v>
      </x:c>
      <x:c r="M755" s="63"/>
      <x:c r="N755" s="30">
        <x:f>IF(F755="2","",COUNTIF($F$3:$F755,"=1"))</x:f>
        <x:v>669</x:v>
      </x:c>
      <x:c r="O755" s="30">
        <x:f t="shared" si="69"/>
        <x:v>9</x:v>
      </x:c>
      <x:c r="P755" s="30">
        <x:f t="shared" si="71"/>
        <x:v>8</x:v>
      </x:c>
      <x:c r="Q755" s="30">
        <x:f>COUNTIF($P$3:P755,"=3")</x:f>
        <x:v>84</x:v>
      </x:c>
      <x:c r="R755" s="29">
        <x:f>WORKDAY(기본입력!$H$2,Q755-1,공휴일)</x:f>
        <x:v>46048</x:v>
      </x:c>
    </x:row>
    <x:row r="756" spans="1:18">
      <x:c r="A756" s="145" t="str">
        <x:f t="shared" si="70"/>
        <x:v>20260126</x:v>
      </x:c>
      <x:c r="B756" s="8" t="s">
        <x:v>5</x:v>
      </x:c>
      <x:c r="C756" s="8">
        <x:v>1740</x:v>
      </x:c>
      <x:c r="D756" s="7" t="s">
        <x:v>1</x:v>
      </x:c>
      <x:c r="E756" s="8">
        <x:v>1440</x:v>
      </x:c>
      <x:c r="F756" s="8" t="s">
        <x:v>40</x:v>
      </x:c>
      <x:c r="G756" s="15" t="str">
        <x:f>IF(OR(N756="",N756&gt;기본입력!$C$34),"",VLOOKUP(O756,기본입력!$A$9:$F$33,5))</x:f>
        <x:v>양현수_53778</x:v>
      </x:c>
      <x:c r="H756" s="15" t="str">
        <x:f>IF(OR(N756="",N756&gt;기본입력!$C$34),"",기본입력!$C$6)</x:f>
        <x:v>1교육실(실습겸용강의실)_243089</x:v>
      </x:c>
      <x:c r="I756" s="15" t="str">
        <x:f>IF(OR(O756="",N756&gt;기본입력!$C$34),"",VLOOKUP(O756,기본입력!$A$9:$F$33,6,FALSE))</x:f>
        <x:v>빅데이터 플랫폼 개발__8</x:v>
      </x:c>
      <x:c r="J756" s="38" t="str">
        <x:f t="shared" si="72"/>
        <x:v>빅데이터 플랫폼 개발</x:v>
      </x:c>
      <x:c r="K756" s="38" t="str">
        <x:f t="shared" si="73"/>
        <x:v>1교육실(실습겸용강의실)</x:v>
      </x:c>
      <x:c r="L756" s="38" t="str">
        <x:f t="shared" si="74"/>
        <x:v>양현수</x:v>
      </x:c>
      <x:c r="M756" s="63"/>
      <x:c r="N756" s="30">
        <x:f>IF(F756="2","",COUNTIF($F$3:$F756,"=1"))</x:f>
        <x:v>670</x:v>
      </x:c>
      <x:c r="O756" s="30">
        <x:f t="shared" si="69"/>
        <x:v>9</x:v>
      </x:c>
      <x:c r="P756" s="30">
        <x:f t="shared" si="71"/>
        <x:v>0</x:v>
      </x:c>
      <x:c r="Q756" s="30">
        <x:f>COUNTIF($P$3:P756,"=3")</x:f>
        <x:v>84</x:v>
      </x:c>
      <x:c r="R756" s="29">
        <x:f>WORKDAY(기본입력!$H$2,Q756-1,공휴일)</x:f>
        <x:v>46048</x:v>
      </x:c>
    </x:row>
    <x:row r="757" spans="1:18">
      <x:c r="A757" s="145" t="str">
        <x:f t="shared" si="70"/>
        <x:v>20260126</x:v>
      </x:c>
      <x:c r="B757" s="8" t="s">
        <x:v>5</x:v>
      </x:c>
      <x:c r="C757" s="8">
        <x:v>1740</x:v>
      </x:c>
      <x:c r="D757" s="7" t="s">
        <x:v>1</x:v>
      </x:c>
      <x:c r="E757" s="8">
        <x:v>1540</x:v>
      </x:c>
      <x:c r="F757" s="8" t="s">
        <x:v>40</x:v>
      </x:c>
      <x:c r="G757" s="15" t="str">
        <x:f>IF(OR(N757="",N757&gt;기본입력!$C$34),"",VLOOKUP(O757,기본입력!$A$9:$F$33,5))</x:f>
        <x:v>양현수_53778</x:v>
      </x:c>
      <x:c r="H757" s="15" t="str">
        <x:f>IF(OR(N757="",N757&gt;기본입력!$C$34),"",기본입력!$C$6)</x:f>
        <x:v>1교육실(실습겸용강의실)_243089</x:v>
      </x:c>
      <x:c r="I757" s="15" t="str">
        <x:f>IF(OR(O757="",N757&gt;기본입력!$C$34),"",VLOOKUP(O757,기본입력!$A$9:$F$33,6,FALSE))</x:f>
        <x:v>빅데이터 플랫폼 개발__8</x:v>
      </x:c>
      <x:c r="J757" s="38" t="str">
        <x:f t="shared" si="72"/>
        <x:v>빅데이터 플랫폼 개발</x:v>
      </x:c>
      <x:c r="K757" s="38" t="str">
        <x:f t="shared" si="73"/>
        <x:v>1교육실(실습겸용강의실)</x:v>
      </x:c>
      <x:c r="L757" s="38" t="str">
        <x:f t="shared" si="74"/>
        <x:v>양현수</x:v>
      </x:c>
      <x:c r="M757" s="63"/>
      <x:c r="N757" s="30">
        <x:f>IF(F757="2","",COUNTIF($F$3:$F757,"=1"))</x:f>
        <x:v>671</x:v>
      </x:c>
      <x:c r="O757" s="30">
        <x:f t="shared" si="69"/>
        <x:v>9</x:v>
      </x:c>
      <x:c r="P757" s="30">
        <x:f t="shared" si="71"/>
        <x:v>1</x:v>
      </x:c>
      <x:c r="Q757" s="30">
        <x:f>COUNTIF($P$3:P757,"=3")</x:f>
        <x:v>84</x:v>
      </x:c>
      <x:c r="R757" s="29">
        <x:f>WORKDAY(기본입력!$H$2,Q757-1,공휴일)</x:f>
        <x:v>46048</x:v>
      </x:c>
    </x:row>
    <x:row r="758" spans="1:18">
      <x:c r="A758" s="145" t="str">
        <x:f t="shared" si="70"/>
        <x:v>20260126</x:v>
      </x:c>
      <x:c r="B758" s="8" t="s">
        <x:v>5</x:v>
      </x:c>
      <x:c r="C758" s="8">
        <x:v>1740</x:v>
      </x:c>
      <x:c r="D758" s="7" t="s">
        <x:v>1</x:v>
      </x:c>
      <x:c r="E758" s="8">
        <x:v>1640</x:v>
      </x:c>
      <x:c r="F758" s="8" t="s">
        <x:v>40</x:v>
      </x:c>
      <x:c r="G758" s="15" t="str">
        <x:f>IF(OR(N758="",N758&gt;기본입력!$C$34),"",VLOOKUP(O758,기본입력!$A$9:$F$33,5))</x:f>
        <x:v>양현수_53778</x:v>
      </x:c>
      <x:c r="H758" s="15" t="str">
        <x:f>IF(OR(N758="",N758&gt;기본입력!$C$34),"",기본입력!$C$6)</x:f>
        <x:v>1교육실(실습겸용강의실)_243089</x:v>
      </x:c>
      <x:c r="I758" s="15" t="str">
        <x:f>IF(OR(O758="",N758&gt;기본입력!$C$34),"",VLOOKUP(O758,기본입력!$A$9:$F$33,6,FALSE))</x:f>
        <x:v>빅데이터 플랫폼 개발__8</x:v>
      </x:c>
      <x:c r="J758" s="38" t="str">
        <x:f t="shared" si="72"/>
        <x:v>빅데이터 플랫폼 개발</x:v>
      </x:c>
      <x:c r="K758" s="38" t="str">
        <x:f t="shared" si="73"/>
        <x:v>1교육실(실습겸용강의실)</x:v>
      </x:c>
      <x:c r="L758" s="38" t="str">
        <x:f t="shared" si="74"/>
        <x:v>양현수</x:v>
      </x:c>
      <x:c r="M758" s="63"/>
      <x:c r="N758" s="30">
        <x:f>IF(F758="2","",COUNTIF($F$3:$F758,"=1"))</x:f>
        <x:v>672</x:v>
      </x:c>
      <x:c r="O758" s="30">
        <x:f t="shared" si="69"/>
        <x:v>9</x:v>
      </x:c>
      <x:c r="P758" s="30">
        <x:f t="shared" si="71"/>
        <x:v>2</x:v>
      </x:c>
      <x:c r="Q758" s="30">
        <x:f>COUNTIF($P$3:P758,"=3")</x:f>
        <x:v>84</x:v>
      </x:c>
      <x:c r="R758" s="29">
        <x:f>WORKDAY(기본입력!$H$2,Q758-1,공휴일)</x:f>
        <x:v>46048</x:v>
      </x:c>
    </x:row>
    <x:row r="759" spans="1:18">
      <x:c r="A759" s="144" t="str">
        <x:f t="shared" si="70"/>
        <x:v>20260127</x:v>
      </x:c>
      <x:c r="B759" s="6" t="s">
        <x:v>5</x:v>
      </x:c>
      <x:c r="C759" s="6">
        <x:v>1740</x:v>
      </x:c>
      <x:c r="D759" s="5" t="s">
        <x:v>1</x:v>
      </x:c>
      <x:c r="E759" s="6" t="s">
        <x:v>5</x:v>
      </x:c>
      <x:c r="F759" s="6" t="s">
        <x:v>40</x:v>
      </x:c>
      <x:c r="G759" s="14" t="str">
        <x:f>IF(OR(N759="",N759&gt;기본입력!$C$34),"",VLOOKUP(O759,기본입력!$A$9:$F$33,5))</x:f>
        <x:v>양현수_53778</x:v>
      </x:c>
      <x:c r="H759" s="14" t="str">
        <x:f>IF(OR(N759="",N759&gt;기본입력!$C$34),"",기본입력!$C$6)</x:f>
        <x:v>1교육실(실습겸용강의실)_243089</x:v>
      </x:c>
      <x:c r="I759" s="14" t="str">
        <x:f>IF(OR(O759="",N759&gt;기본입력!$C$34),"",VLOOKUP(O759,기본입력!$A$9:$F$33,6,FALSE))</x:f>
        <x:v>빅데이터 플랫폼 개발__8</x:v>
      </x:c>
      <x:c r="J759" s="38" t="str">
        <x:f t="shared" si="72"/>
        <x:v>빅데이터 플랫폼 개발</x:v>
      </x:c>
      <x:c r="K759" s="38" t="str">
        <x:f t="shared" si="73"/>
        <x:v>1교육실(실습겸용강의실)</x:v>
      </x:c>
      <x:c r="L759" s="38" t="str">
        <x:f t="shared" si="74"/>
        <x:v>양현수</x:v>
      </x:c>
      <x:c r="M759" s="63"/>
      <x:c r="N759" s="30">
        <x:f>IF(F759="2","",COUNTIF($F$3:$F759,"=1"))</x:f>
        <x:v>673</x:v>
      </x:c>
      <x:c r="O759" s="30">
        <x:f t="shared" si="69"/>
        <x:v>9</x:v>
      </x:c>
      <x:c r="P759" s="30">
        <x:f t="shared" si="71"/>
        <x:v>3</x:v>
      </x:c>
      <x:c r="Q759" s="30">
        <x:f>COUNTIF($P$3:P759,"=3")</x:f>
        <x:v>85</x:v>
      </x:c>
      <x:c r="R759" s="29">
        <x:f>WORKDAY(기본입력!$H$2,Q759-1,공휴일)</x:f>
        <x:v>46049</x:v>
      </x:c>
    </x:row>
    <x:row r="760" spans="1:18">
      <x:c r="A760" s="144" t="str">
        <x:f t="shared" si="70"/>
        <x:v>20260127</x:v>
      </x:c>
      <x:c r="B760" s="6" t="s">
        <x:v>5</x:v>
      </x:c>
      <x:c r="C760" s="6">
        <x:v>1740</x:v>
      </x:c>
      <x:c r="D760" s="5" t="s">
        <x:v>1</x:v>
      </x:c>
      <x:c r="E760" s="6" t="s">
        <x:v>117</x:v>
      </x:c>
      <x:c r="F760" s="6" t="s">
        <x:v>40</x:v>
      </x:c>
      <x:c r="G760" s="14" t="str">
        <x:f>IF(OR(N760="",N760&gt;기본입력!$C$34),"",VLOOKUP(O760,기본입력!$A$9:$F$33,5))</x:f>
        <x:v>양현수_53778</x:v>
      </x:c>
      <x:c r="H760" s="14" t="str">
        <x:f>IF(OR(N760="",N760&gt;기본입력!$C$34),"",기본입력!$C$6)</x:f>
        <x:v>1교육실(실습겸용강의실)_243089</x:v>
      </x:c>
      <x:c r="I760" s="14" t="str">
        <x:f>IF(OR(O760="",N760&gt;기본입력!$C$34),"",VLOOKUP(O760,기본입력!$A$9:$F$33,6,FALSE))</x:f>
        <x:v>빅데이터 플랫폼 개발__8</x:v>
      </x:c>
      <x:c r="J760" s="38" t="str">
        <x:f t="shared" si="72"/>
        <x:v>빅데이터 플랫폼 개발</x:v>
      </x:c>
      <x:c r="K760" s="38" t="str">
        <x:f t="shared" si="73"/>
        <x:v>1교육실(실습겸용강의실)</x:v>
      </x:c>
      <x:c r="L760" s="38" t="str">
        <x:f t="shared" si="74"/>
        <x:v>양현수</x:v>
      </x:c>
      <x:c r="M760" s="63"/>
      <x:c r="N760" s="30">
        <x:f>IF(F760="2","",COUNTIF($F$3:$F760,"=1"))</x:f>
        <x:v>674</x:v>
      </x:c>
      <x:c r="O760" s="30">
        <x:f t="shared" si="69"/>
        <x:v>9</x:v>
      </x:c>
      <x:c r="P760" s="30">
        <x:f t="shared" si="71"/>
        <x:v>4</x:v>
      </x:c>
      <x:c r="Q760" s="30">
        <x:f>COUNTIF($P$3:P760,"=3")</x:f>
        <x:v>85</x:v>
      </x:c>
      <x:c r="R760" s="29">
        <x:f>WORKDAY(기본입력!$H$2,Q760-1,공휴일)</x:f>
        <x:v>46049</x:v>
      </x:c>
    </x:row>
    <x:row r="761" spans="1:18">
      <x:c r="A761" s="144" t="str">
        <x:f t="shared" si="70"/>
        <x:v>20260127</x:v>
      </x:c>
      <x:c r="B761" s="6" t="s">
        <x:v>5</x:v>
      </x:c>
      <x:c r="C761" s="6">
        <x:v>1740</x:v>
      </x:c>
      <x:c r="D761" s="5" t="s">
        <x:v>1</x:v>
      </x:c>
      <x:c r="E761" s="6" t="s">
        <x:v>87</x:v>
      </x:c>
      <x:c r="F761" s="6" t="s">
        <x:v>40</x:v>
      </x:c>
      <x:c r="G761" s="14" t="str">
        <x:f>IF(OR(N761="",N761&gt;기본입력!$C$34),"",VLOOKUP(O761,기본입력!$A$9:$F$33,5))</x:f>
        <x:v>양현수_53778</x:v>
      </x:c>
      <x:c r="H761" s="14" t="str">
        <x:f>IF(OR(N761="",N761&gt;기본입력!$C$34),"",기본입력!$C$6)</x:f>
        <x:v>1교육실(실습겸용강의실)_243089</x:v>
      </x:c>
      <x:c r="I761" s="14" t="str">
        <x:f>IF(OR(O761="",N761&gt;기본입력!$C$34),"",VLOOKUP(O761,기본입력!$A$9:$F$33,6,FALSE))</x:f>
        <x:v>빅데이터 플랫폼 개발__8</x:v>
      </x:c>
      <x:c r="J761" s="38" t="str">
        <x:f t="shared" si="72"/>
        <x:v>빅데이터 플랫폼 개발</x:v>
      </x:c>
      <x:c r="K761" s="38" t="str">
        <x:f t="shared" si="73"/>
        <x:v>1교육실(실습겸용강의실)</x:v>
      </x:c>
      <x:c r="L761" s="38" t="str">
        <x:f t="shared" si="74"/>
        <x:v>양현수</x:v>
      </x:c>
      <x:c r="M761" s="63"/>
      <x:c r="N761" s="30">
        <x:f>IF(F761="2","",COUNTIF($F$3:$F761,"=1"))</x:f>
        <x:v>675</x:v>
      </x:c>
      <x:c r="O761" s="30">
        <x:f t="shared" si="69"/>
        <x:v>9</x:v>
      </x:c>
      <x:c r="P761" s="30">
        <x:f t="shared" si="71"/>
        <x:v>5</x:v>
      </x:c>
      <x:c r="Q761" s="30">
        <x:f>COUNTIF($P$3:P761,"=3")</x:f>
        <x:v>85</x:v>
      </x:c>
      <x:c r="R761" s="29">
        <x:f>WORKDAY(기본입력!$H$2,Q761-1,공휴일)</x:f>
        <x:v>46049</x:v>
      </x:c>
    </x:row>
    <x:row r="762" spans="1:18">
      <x:c r="A762" s="144" t="str">
        <x:f t="shared" si="70"/>
        <x:v>20260127</x:v>
      </x:c>
      <x:c r="B762" s="6" t="s">
        <x:v>5</x:v>
      </x:c>
      <x:c r="C762" s="6">
        <x:v>1740</x:v>
      </x:c>
      <x:c r="D762" s="5" t="s">
        <x:v>1</x:v>
      </x:c>
      <x:c r="E762" s="6" t="s">
        <x:v>88</x:v>
      </x:c>
      <x:c r="F762" s="6" t="s">
        <x:v>40</x:v>
      </x:c>
      <x:c r="G762" s="14" t="str">
        <x:f>IF(OR(N762="",N762&gt;기본입력!$C$34),"",VLOOKUP(O762,기본입력!$A$9:$F$33,5))</x:f>
        <x:v>양현수_53778</x:v>
      </x:c>
      <x:c r="H762" s="14" t="str">
        <x:f>IF(OR(N762="",N762&gt;기본입력!$C$34),"",기본입력!$C$6)</x:f>
        <x:v>1교육실(실습겸용강의실)_243089</x:v>
      </x:c>
      <x:c r="I762" s="14" t="str">
        <x:f>IF(OR(O762="",N762&gt;기본입력!$C$34),"",VLOOKUP(O762,기본입력!$A$9:$F$33,6,FALSE))</x:f>
        <x:v>빅데이터 플랫폼 개발__8</x:v>
      </x:c>
      <x:c r="J762" s="38" t="str">
        <x:f t="shared" si="72"/>
        <x:v>빅데이터 플랫폼 개발</x:v>
      </x:c>
      <x:c r="K762" s="38" t="str">
        <x:f t="shared" si="73"/>
        <x:v>1교육실(실습겸용강의실)</x:v>
      </x:c>
      <x:c r="L762" s="38" t="str">
        <x:f t="shared" si="74"/>
        <x:v>양현수</x:v>
      </x:c>
      <x:c r="M762" s="63"/>
      <x:c r="N762" s="30">
        <x:f>IF(F762="2","",COUNTIF($F$3:$F762,"=1"))</x:f>
        <x:v>676</x:v>
      </x:c>
      <x:c r="O762" s="30">
        <x:f t="shared" si="69"/>
        <x:v>9</x:v>
      </x:c>
      <x:c r="P762" s="30">
        <x:f t="shared" si="71"/>
        <x:v>6</x:v>
      </x:c>
      <x:c r="Q762" s="30">
        <x:f>COUNTIF($P$3:P762,"=3")</x:f>
        <x:v>85</x:v>
      </x:c>
      <x:c r="R762" s="29">
        <x:f>WORKDAY(기본입력!$H$2,Q762-1,공휴일)</x:f>
        <x:v>46049</x:v>
      </x:c>
    </x:row>
    <x:row r="763" spans="1:18">
      <x:c r="A763" s="144" t="str">
        <x:f t="shared" si="70"/>
        <x:v>20260127</x:v>
      </x:c>
      <x:c r="B763" s="6" t="s">
        <x:v>5</x:v>
      </x:c>
      <x:c r="C763" s="6">
        <x:v>1740</x:v>
      </x:c>
      <x:c r="D763" s="5" t="s">
        <x:v>1</x:v>
      </x:c>
      <x:c r="E763" s="6" t="s">
        <x:v>0</x:v>
      </x:c>
      <x:c r="F763" s="6" t="s">
        <x:v>41</x:v>
      </x:c>
      <x:c r="G763" s="14" t="str">
        <x:f>IF(OR(N763="",N763&gt;기본입력!$C$34),"",VLOOKUP(O763,기본입력!$A$9:$F$33,5))</x:f>
        <x:v/>
      </x:c>
      <x:c r="H763" s="14" t="str">
        <x:f>IF(OR(N763="",N763&gt;기본입력!$C$34),"",기본입력!$C$6)</x:f>
        <x:v/>
      </x:c>
      <x:c r="I763" s="14" t="str">
        <x:f>IF(OR(O763="",N763&gt;기본입력!$C$34),"",VLOOKUP(O763,기본입력!$A$9:$F$33,6,FALSE))</x:f>
        <x:v/>
      </x:c>
      <x:c r="J763" s="38" t="str">
        <x:f t="shared" si="72"/>
        <x:v/>
      </x:c>
      <x:c r="K763" s="38" t="str">
        <x:f t="shared" si="73"/>
        <x:v/>
      </x:c>
      <x:c r="L763" s="38" t="str">
        <x:f t="shared" si="74"/>
        <x:v/>
      </x:c>
      <x:c r="M763" s="63"/>
      <x:c r="N763" s="30" t="str">
        <x:f>IF(F763="2","",COUNTIF($F$3:$F763,"=1"))</x:f>
        <x:v/>
      </x:c>
      <x:c r="O763" s="30" t="str">
        <x:f t="shared" si="69"/>
        <x:v/>
      </x:c>
      <x:c r="P763" s="30">
        <x:f t="shared" si="71"/>
        <x:v>7</x:v>
      </x:c>
      <x:c r="Q763" s="30">
        <x:f>COUNTIF($P$3:P763,"=3")</x:f>
        <x:v>85</x:v>
      </x:c>
      <x:c r="R763" s="29">
        <x:f>WORKDAY(기본입력!$H$2,Q763-1,공휴일)</x:f>
        <x:v>46049</x:v>
      </x:c>
    </x:row>
    <x:row r="764" spans="1:18">
      <x:c r="A764" s="144" t="str">
        <x:f t="shared" si="70"/>
        <x:v>20260127</x:v>
      </x:c>
      <x:c r="B764" s="6" t="s">
        <x:v>5</x:v>
      </x:c>
      <x:c r="C764" s="6">
        <x:v>1740</x:v>
      </x:c>
      <x:c r="D764" s="5" t="s">
        <x:v>1</x:v>
      </x:c>
      <x:c r="E764" s="6">
        <x:v>1340</x:v>
      </x:c>
      <x:c r="F764" s="6" t="s">
        <x:v>40</x:v>
      </x:c>
      <x:c r="G764" s="14" t="str">
        <x:f>IF(OR(N764="",N764&gt;기본입력!$C$34),"",VLOOKUP(O764,기본입력!$A$9:$F$33,5))</x:f>
        <x:v>양현수_53778</x:v>
      </x:c>
      <x:c r="H764" s="14" t="str">
        <x:f>IF(OR(N764="",N764&gt;기본입력!$C$34),"",기본입력!$C$6)</x:f>
        <x:v>1교육실(실습겸용강의실)_243089</x:v>
      </x:c>
      <x:c r="I764" s="14" t="str">
        <x:f>IF(OR(O764="",N764&gt;기본입력!$C$34),"",VLOOKUP(O764,기본입력!$A$9:$F$33,6,FALSE))</x:f>
        <x:v>빅데이터 플랫폼 개발__8</x:v>
      </x:c>
      <x:c r="J764" s="38" t="str">
        <x:f t="shared" si="72"/>
        <x:v>빅데이터 플랫폼 개발</x:v>
      </x:c>
      <x:c r="K764" s="38" t="str">
        <x:f t="shared" si="73"/>
        <x:v>1교육실(실습겸용강의실)</x:v>
      </x:c>
      <x:c r="L764" s="38" t="str">
        <x:f t="shared" si="74"/>
        <x:v>양현수</x:v>
      </x:c>
      <x:c r="M764" s="63"/>
      <x:c r="N764" s="30">
        <x:f>IF(F764="2","",COUNTIF($F$3:$F764,"=1"))</x:f>
        <x:v>677</x:v>
      </x:c>
      <x:c r="O764" s="30">
        <x:f t="shared" si="69"/>
        <x:v>9</x:v>
      </x:c>
      <x:c r="P764" s="30">
        <x:f t="shared" si="71"/>
        <x:v>8</x:v>
      </x:c>
      <x:c r="Q764" s="30">
        <x:f>COUNTIF($P$3:P764,"=3")</x:f>
        <x:v>85</x:v>
      </x:c>
      <x:c r="R764" s="29">
        <x:f>WORKDAY(기본입력!$H$2,Q764-1,공휴일)</x:f>
        <x:v>46049</x:v>
      </x:c>
    </x:row>
    <x:row r="765" spans="1:18">
      <x:c r="A765" s="144" t="str">
        <x:f t="shared" si="70"/>
        <x:v>20260127</x:v>
      </x:c>
      <x:c r="B765" s="6" t="s">
        <x:v>5</x:v>
      </x:c>
      <x:c r="C765" s="6">
        <x:v>1740</x:v>
      </x:c>
      <x:c r="D765" s="5" t="s">
        <x:v>1</x:v>
      </x:c>
      <x:c r="E765" s="6">
        <x:v>1440</x:v>
      </x:c>
      <x:c r="F765" s="6" t="s">
        <x:v>40</x:v>
      </x:c>
      <x:c r="G765" s="14" t="str">
        <x:f>IF(OR(N765="",N765&gt;기본입력!$C$34),"",VLOOKUP(O765,기본입력!$A$9:$F$33,5))</x:f>
        <x:v>양현수_53778</x:v>
      </x:c>
      <x:c r="H765" s="14" t="str">
        <x:f>IF(OR(N765="",N765&gt;기본입력!$C$34),"",기본입력!$C$6)</x:f>
        <x:v>1교육실(실습겸용강의실)_243089</x:v>
      </x:c>
      <x:c r="I765" s="14" t="str">
        <x:f>IF(OR(O765="",N765&gt;기본입력!$C$34),"",VLOOKUP(O765,기본입력!$A$9:$F$33,6,FALSE))</x:f>
        <x:v>빅데이터 플랫폼 개발__8</x:v>
      </x:c>
      <x:c r="J765" s="38" t="str">
        <x:f t="shared" si="72"/>
        <x:v>빅데이터 플랫폼 개발</x:v>
      </x:c>
      <x:c r="K765" s="38" t="str">
        <x:f t="shared" si="73"/>
        <x:v>1교육실(실습겸용강의실)</x:v>
      </x:c>
      <x:c r="L765" s="38" t="str">
        <x:f t="shared" si="74"/>
        <x:v>양현수</x:v>
      </x:c>
      <x:c r="M765" s="63"/>
      <x:c r="N765" s="30">
        <x:f>IF(F765="2","",COUNTIF($F$3:$F765,"=1"))</x:f>
        <x:v>678</x:v>
      </x:c>
      <x:c r="O765" s="30">
        <x:f t="shared" si="69"/>
        <x:v>9</x:v>
      </x:c>
      <x:c r="P765" s="30">
        <x:f t="shared" si="71"/>
        <x:v>0</x:v>
      </x:c>
      <x:c r="Q765" s="30">
        <x:f>COUNTIF($P$3:P765,"=3")</x:f>
        <x:v>85</x:v>
      </x:c>
      <x:c r="R765" s="29">
        <x:f>WORKDAY(기본입력!$H$2,Q765-1,공휴일)</x:f>
        <x:v>46049</x:v>
      </x:c>
    </x:row>
    <x:row r="766" spans="1:18">
      <x:c r="A766" s="144" t="str">
        <x:f t="shared" si="70"/>
        <x:v>20260127</x:v>
      </x:c>
      <x:c r="B766" s="6" t="s">
        <x:v>5</x:v>
      </x:c>
      <x:c r="C766" s="6">
        <x:v>1740</x:v>
      </x:c>
      <x:c r="D766" s="5" t="s">
        <x:v>1</x:v>
      </x:c>
      <x:c r="E766" s="6">
        <x:v>1540</x:v>
      </x:c>
      <x:c r="F766" s="6" t="s">
        <x:v>40</x:v>
      </x:c>
      <x:c r="G766" s="14" t="str">
        <x:f>IF(OR(N766="",N766&gt;기본입력!$C$34),"",VLOOKUP(O766,기본입력!$A$9:$F$33,5))</x:f>
        <x:v>양현수_53778</x:v>
      </x:c>
      <x:c r="H766" s="14" t="str">
        <x:f>IF(OR(N766="",N766&gt;기본입력!$C$34),"",기본입력!$C$6)</x:f>
        <x:v>1교육실(실습겸용강의실)_243089</x:v>
      </x:c>
      <x:c r="I766" s="14" t="str">
        <x:f>IF(OR(O766="",N766&gt;기본입력!$C$34),"",VLOOKUP(O766,기본입력!$A$9:$F$33,6,FALSE))</x:f>
        <x:v>빅데이터 플랫폼 개발__8</x:v>
      </x:c>
      <x:c r="J766" s="38" t="str">
        <x:f t="shared" si="72"/>
        <x:v>빅데이터 플랫폼 개발</x:v>
      </x:c>
      <x:c r="K766" s="38" t="str">
        <x:f t="shared" si="73"/>
        <x:v>1교육실(실습겸용강의실)</x:v>
      </x:c>
      <x:c r="L766" s="38" t="str">
        <x:f t="shared" si="74"/>
        <x:v>양현수</x:v>
      </x:c>
      <x:c r="M766" s="63"/>
      <x:c r="N766" s="30">
        <x:f>IF(F766="2","",COUNTIF($F$3:$F766,"=1"))</x:f>
        <x:v>679</x:v>
      </x:c>
      <x:c r="O766" s="30">
        <x:f t="shared" si="69"/>
        <x:v>9</x:v>
      </x:c>
      <x:c r="P766" s="30">
        <x:f t="shared" si="71"/>
        <x:v>1</x:v>
      </x:c>
      <x:c r="Q766" s="30">
        <x:f>COUNTIF($P$3:P766,"=3")</x:f>
        <x:v>85</x:v>
      </x:c>
      <x:c r="R766" s="29">
        <x:f>WORKDAY(기본입력!$H$2,Q766-1,공휴일)</x:f>
        <x:v>46049</x:v>
      </x:c>
    </x:row>
    <x:row r="767" spans="1:18">
      <x:c r="A767" s="144" t="str">
        <x:f t="shared" si="70"/>
        <x:v>20260127</x:v>
      </x:c>
      <x:c r="B767" s="6" t="s">
        <x:v>5</x:v>
      </x:c>
      <x:c r="C767" s="6">
        <x:v>1740</x:v>
      </x:c>
      <x:c r="D767" s="5" t="s">
        <x:v>1</x:v>
      </x:c>
      <x:c r="E767" s="6">
        <x:v>1640</x:v>
      </x:c>
      <x:c r="F767" s="6" t="s">
        <x:v>40</x:v>
      </x:c>
      <x:c r="G767" s="14" t="str">
        <x:f>IF(OR(N767="",N767&gt;기본입력!$C$34),"",VLOOKUP(O767,기본입력!$A$9:$F$33,5))</x:f>
        <x:v>양현수_53778</x:v>
      </x:c>
      <x:c r="H767" s="14" t="str">
        <x:f>IF(OR(N767="",N767&gt;기본입력!$C$34),"",기본입력!$C$6)</x:f>
        <x:v>1교육실(실습겸용강의실)_243089</x:v>
      </x:c>
      <x:c r="I767" s="14" t="str">
        <x:f>IF(OR(O767="",N767&gt;기본입력!$C$34),"",VLOOKUP(O767,기본입력!$A$9:$F$33,6,FALSE))</x:f>
        <x:v>빅데이터 플랫폼 개발__8</x:v>
      </x:c>
      <x:c r="J767" s="38" t="str">
        <x:f t="shared" si="72"/>
        <x:v>빅데이터 플랫폼 개발</x:v>
      </x:c>
      <x:c r="K767" s="38" t="str">
        <x:f t="shared" si="73"/>
        <x:v>1교육실(실습겸용강의실)</x:v>
      </x:c>
      <x:c r="L767" s="38" t="str">
        <x:f t="shared" si="74"/>
        <x:v>양현수</x:v>
      </x:c>
      <x:c r="M767" s="63"/>
      <x:c r="N767" s="30">
        <x:f>IF(F767="2","",COUNTIF($F$3:$F767,"=1"))</x:f>
        <x:v>680</x:v>
      </x:c>
      <x:c r="O767" s="30">
        <x:f t="shared" si="69"/>
        <x:v>9</x:v>
      </x:c>
      <x:c r="P767" s="30">
        <x:f t="shared" si="71"/>
        <x:v>2</x:v>
      </x:c>
      <x:c r="Q767" s="30">
        <x:f>COUNTIF($P$3:P767,"=3")</x:f>
        <x:v>85</x:v>
      </x:c>
      <x:c r="R767" s="29">
        <x:f>WORKDAY(기본입력!$H$2,Q767-1,공휴일)</x:f>
        <x:v>46049</x:v>
      </x:c>
    </x:row>
    <x:row r="768" spans="1:18">
      <x:c r="A768" s="145" t="str">
        <x:f t="shared" si="70"/>
        <x:v>20260128</x:v>
      </x:c>
      <x:c r="B768" s="8" t="s">
        <x:v>5</x:v>
      </x:c>
      <x:c r="C768" s="8">
        <x:v>1740</x:v>
      </x:c>
      <x:c r="D768" s="7" t="s">
        <x:v>1</x:v>
      </x:c>
      <x:c r="E768" s="8" t="s">
        <x:v>5</x:v>
      </x:c>
      <x:c r="F768" s="8" t="s">
        <x:v>40</x:v>
      </x:c>
      <x:c r="G768" s="15" t="str">
        <x:f>IF(OR(N768="",N768&gt;기본입력!$C$34),"",VLOOKUP(O768,기본입력!$A$9:$F$33,5))</x:f>
        <x:v>양현수_53778</x:v>
      </x:c>
      <x:c r="H768" s="15" t="str">
        <x:f>IF(OR(N768="",N768&gt;기본입력!$C$34),"",기본입력!$C$6)</x:f>
        <x:v>1교육실(실습겸용강의실)_243089</x:v>
      </x:c>
      <x:c r="I768" s="15" t="str">
        <x:f>IF(OR(O768="",N768&gt;기본입력!$C$34),"",VLOOKUP(O768,기본입력!$A$9:$F$33,6,FALSE))</x:f>
        <x:v>빅데이터 플랫폼 개발__8</x:v>
      </x:c>
      <x:c r="J768" s="38" t="str">
        <x:f t="shared" si="72"/>
        <x:v>빅데이터 플랫폼 개발</x:v>
      </x:c>
      <x:c r="K768" s="38" t="str">
        <x:f t="shared" si="73"/>
        <x:v>1교육실(실습겸용강의실)</x:v>
      </x:c>
      <x:c r="L768" s="38" t="str">
        <x:f t="shared" si="74"/>
        <x:v>양현수</x:v>
      </x:c>
      <x:c r="M768" s="63"/>
      <x:c r="N768" s="30">
        <x:f>IF(F768="2","",COUNTIF($F$3:$F768,"=1"))</x:f>
        <x:v>681</x:v>
      </x:c>
      <x:c r="O768" s="30">
        <x:f t="shared" si="69"/>
        <x:v>9</x:v>
      </x:c>
      <x:c r="P768" s="30">
        <x:f t="shared" si="71"/>
        <x:v>3</x:v>
      </x:c>
      <x:c r="Q768" s="30">
        <x:f>COUNTIF($P$3:P768,"=3")</x:f>
        <x:v>86</x:v>
      </x:c>
      <x:c r="R768" s="29">
        <x:f>WORKDAY(기본입력!$H$2,Q768-1,공휴일)</x:f>
        <x:v>46050</x:v>
      </x:c>
    </x:row>
    <x:row r="769" spans="1:18">
      <x:c r="A769" s="145" t="str">
        <x:f t="shared" si="70"/>
        <x:v>20260128</x:v>
      </x:c>
      <x:c r="B769" s="8" t="s">
        <x:v>5</x:v>
      </x:c>
      <x:c r="C769" s="8">
        <x:v>1740</x:v>
      </x:c>
      <x:c r="D769" s="7" t="s">
        <x:v>1</x:v>
      </x:c>
      <x:c r="E769" s="8" t="s">
        <x:v>117</x:v>
      </x:c>
      <x:c r="F769" s="8" t="s">
        <x:v>40</x:v>
      </x:c>
      <x:c r="G769" s="15" t="str">
        <x:f>IF(OR(N769="",N769&gt;기본입력!$C$34),"",VLOOKUP(O769,기본입력!$A$9:$F$33,5))</x:f>
        <x:v>양현수_53778</x:v>
      </x:c>
      <x:c r="H769" s="15" t="str">
        <x:f>IF(OR(N769="",N769&gt;기본입력!$C$34),"",기본입력!$C$6)</x:f>
        <x:v>1교육실(실습겸용강의실)_243089</x:v>
      </x:c>
      <x:c r="I769" s="15" t="str">
        <x:f>IF(OR(O769="",N769&gt;기본입력!$C$34),"",VLOOKUP(O769,기본입력!$A$9:$F$33,6,FALSE))</x:f>
        <x:v>빅데이터 플랫폼 개발__8</x:v>
      </x:c>
      <x:c r="J769" s="38" t="str">
        <x:f t="shared" si="72"/>
        <x:v>빅데이터 플랫폼 개발</x:v>
      </x:c>
      <x:c r="K769" s="38" t="str">
        <x:f t="shared" si="73"/>
        <x:v>1교육실(실습겸용강의실)</x:v>
      </x:c>
      <x:c r="L769" s="38" t="str">
        <x:f t="shared" si="74"/>
        <x:v>양현수</x:v>
      </x:c>
      <x:c r="M769" s="63"/>
      <x:c r="N769" s="30">
        <x:f>IF(F769="2","",COUNTIF($F$3:$F769,"=1"))</x:f>
        <x:v>682</x:v>
      </x:c>
      <x:c r="O769" s="30">
        <x:f t="shared" si="69"/>
        <x:v>9</x:v>
      </x:c>
      <x:c r="P769" s="30">
        <x:f t="shared" si="71"/>
        <x:v>4</x:v>
      </x:c>
      <x:c r="Q769" s="30">
        <x:f>COUNTIF($P$3:P769,"=3")</x:f>
        <x:v>86</x:v>
      </x:c>
      <x:c r="R769" s="29">
        <x:f>WORKDAY(기본입력!$H$2,Q769-1,공휴일)</x:f>
        <x:v>46050</x:v>
      </x:c>
    </x:row>
    <x:row r="770" spans="1:18">
      <x:c r="A770" s="145" t="str">
        <x:f t="shared" si="70"/>
        <x:v>20260128</x:v>
      </x:c>
      <x:c r="B770" s="8" t="s">
        <x:v>5</x:v>
      </x:c>
      <x:c r="C770" s="8">
        <x:v>1740</x:v>
      </x:c>
      <x:c r="D770" s="7" t="s">
        <x:v>1</x:v>
      </x:c>
      <x:c r="E770" s="8" t="s">
        <x:v>87</x:v>
      </x:c>
      <x:c r="F770" s="8" t="s">
        <x:v>40</x:v>
      </x:c>
      <x:c r="G770" s="15" t="str">
        <x:f>IF(OR(N770="",N770&gt;기본입력!$C$34),"",VLOOKUP(O770,기본입력!$A$9:$F$33,5))</x:f>
        <x:v>양현수_53778</x:v>
      </x:c>
      <x:c r="H770" s="15" t="str">
        <x:f>IF(OR(N770="",N770&gt;기본입력!$C$34),"",기본입력!$C$6)</x:f>
        <x:v>1교육실(실습겸용강의실)_243089</x:v>
      </x:c>
      <x:c r="I770" s="15" t="str">
        <x:f>IF(OR(O770="",N770&gt;기본입력!$C$34),"",VLOOKUP(O770,기본입력!$A$9:$F$33,6,FALSE))</x:f>
        <x:v>빅데이터 플랫폼 개발__8</x:v>
      </x:c>
      <x:c r="J770" s="38" t="str">
        <x:f t="shared" si="72"/>
        <x:v>빅데이터 플랫폼 개발</x:v>
      </x:c>
      <x:c r="K770" s="38" t="str">
        <x:f t="shared" si="73"/>
        <x:v>1교육실(실습겸용강의실)</x:v>
      </x:c>
      <x:c r="L770" s="38" t="str">
        <x:f t="shared" si="74"/>
        <x:v>양현수</x:v>
      </x:c>
      <x:c r="M770" s="63"/>
      <x:c r="N770" s="30">
        <x:f>IF(F770="2","",COUNTIF($F$3:$F770,"=1"))</x:f>
        <x:v>683</x:v>
      </x:c>
      <x:c r="O770" s="30">
        <x:f t="shared" si="69"/>
        <x:v>9</x:v>
      </x:c>
      <x:c r="P770" s="30">
        <x:f t="shared" si="71"/>
        <x:v>5</x:v>
      </x:c>
      <x:c r="Q770" s="30">
        <x:f>COUNTIF($P$3:P770,"=3")</x:f>
        <x:v>86</x:v>
      </x:c>
      <x:c r="R770" s="29">
        <x:f>WORKDAY(기본입력!$H$2,Q770-1,공휴일)</x:f>
        <x:v>46050</x:v>
      </x:c>
    </x:row>
    <x:row r="771" spans="1:18">
      <x:c r="A771" s="145" t="str">
        <x:f t="shared" si="70"/>
        <x:v>20260128</x:v>
      </x:c>
      <x:c r="B771" s="8" t="s">
        <x:v>5</x:v>
      </x:c>
      <x:c r="C771" s="8">
        <x:v>1740</x:v>
      </x:c>
      <x:c r="D771" s="7" t="s">
        <x:v>1</x:v>
      </x:c>
      <x:c r="E771" s="8" t="s">
        <x:v>88</x:v>
      </x:c>
      <x:c r="F771" s="8" t="s">
        <x:v>40</x:v>
      </x:c>
      <x:c r="G771" s="15" t="str">
        <x:f>IF(OR(N771="",N771&gt;기본입력!$C$34),"",VLOOKUP(O771,기본입력!$A$9:$F$33,5))</x:f>
        <x:v>양현수_53778</x:v>
      </x:c>
      <x:c r="H771" s="15" t="str">
        <x:f>IF(OR(N771="",N771&gt;기본입력!$C$34),"",기본입력!$C$6)</x:f>
        <x:v>1교육실(실습겸용강의실)_243089</x:v>
      </x:c>
      <x:c r="I771" s="15" t="str">
        <x:f>IF(OR(O771="",N771&gt;기본입력!$C$34),"",VLOOKUP(O771,기본입력!$A$9:$F$33,6,FALSE))</x:f>
        <x:v>빅데이터 플랫폼 개발__8</x:v>
      </x:c>
      <x:c r="J771" s="38" t="str">
        <x:f t="shared" si="72"/>
        <x:v>빅데이터 플랫폼 개발</x:v>
      </x:c>
      <x:c r="K771" s="38" t="str">
        <x:f t="shared" si="73"/>
        <x:v>1교육실(실습겸용강의실)</x:v>
      </x:c>
      <x:c r="L771" s="38" t="str">
        <x:f t="shared" si="74"/>
        <x:v>양현수</x:v>
      </x:c>
      <x:c r="M771" s="63"/>
      <x:c r="N771" s="30">
        <x:f>IF(F771="2","",COUNTIF($F$3:$F771,"=1"))</x:f>
        <x:v>684</x:v>
      </x:c>
      <x:c r="O771" s="30">
        <x:f t="shared" ref="O771:O834" si="75">IF(F771="2","",IF(N771&lt;=누적시수1,1,IF(N771&lt;=누적시수2,2,IF(N771&lt;=누적시수3,3,IF(N771&lt;=누적시수4,4,IF(N771&lt;=누적시수5,5,IF(N771&lt;=누적시수6,6,IF(N771&lt;=누적시수7,7,IF(N771&lt;=누적시수8,8,IF(N771&lt;=누적시수9,9,IF(N771&lt;=누적시수10,10,IF(N771&lt;=누적시수11,11,IF(N771&lt;=누적시수12,12,IF(N771&lt;=누적시수13,13,IF(N771&lt;=누적시수14,14,IF(N771&lt;=누적시수15,15,IF(N771&lt;=누적시수16,16,IF(N771&lt;=누적시수17,17,IF(N771&lt;=누적시수18,18,IF(N771&lt;=누적시수19,19,IF(N771&lt;=누적시수20,20,IF(N771&lt;=누적시수21,21,IF(N771&lt;=누적시수22,22,IF(N771&lt;=누적시수23,23,IF(N771&lt;=누적시수24,24,IF(N771&lt;=누적시수25,25,0))))))))))))))))))))))))))</x:f>
        <x:v>9</x:v>
      </x:c>
      <x:c r="P771" s="30">
        <x:f t="shared" si="71"/>
        <x:v>6</x:v>
      </x:c>
      <x:c r="Q771" s="30">
        <x:f>COUNTIF($P$3:P771,"=3")</x:f>
        <x:v>86</x:v>
      </x:c>
      <x:c r="R771" s="29">
        <x:f>WORKDAY(기본입력!$H$2,Q771-1,공휴일)</x:f>
        <x:v>46050</x:v>
      </x:c>
    </x:row>
    <x:row r="772" spans="1:18">
      <x:c r="A772" s="145" t="str">
        <x:f t="shared" ref="A772:A835" si="76">TEXT(R772,"yyyymmdd")</x:f>
        <x:v>20260128</x:v>
      </x:c>
      <x:c r="B772" s="8" t="s">
        <x:v>5</x:v>
      </x:c>
      <x:c r="C772" s="8">
        <x:v>1740</x:v>
      </x:c>
      <x:c r="D772" s="7" t="s">
        <x:v>1</x:v>
      </x:c>
      <x:c r="E772" s="8" t="s">
        <x:v>0</x:v>
      </x:c>
      <x:c r="F772" s="8" t="s">
        <x:v>41</x:v>
      </x:c>
      <x:c r="G772" s="15" t="str">
        <x:f>IF(OR(N772="",N772&gt;기본입력!$C$34),"",VLOOKUP(O772,기본입력!$A$9:$F$33,5))</x:f>
        <x:v/>
      </x:c>
      <x:c r="H772" s="15" t="str">
        <x:f>IF(OR(N772="",N772&gt;기본입력!$C$34),"",기본입력!$C$6)</x:f>
        <x:v/>
      </x:c>
      <x:c r="I772" s="15" t="str">
        <x:f>IF(OR(O772="",N772&gt;기본입력!$C$34),"",VLOOKUP(O772,기본입력!$A$9:$F$33,6,FALSE))</x:f>
        <x:v/>
      </x:c>
      <x:c r="J772" s="38" t="str">
        <x:f t="shared" si="72"/>
        <x:v/>
      </x:c>
      <x:c r="K772" s="38" t="str">
        <x:f t="shared" si="73"/>
        <x:v/>
      </x:c>
      <x:c r="L772" s="38" t="str">
        <x:f t="shared" si="74"/>
        <x:v/>
      </x:c>
      <x:c r="M772" s="63"/>
      <x:c r="N772" s="30" t="str">
        <x:f>IF(F772="2","",COUNTIF($F$3:$F772,"=1"))</x:f>
        <x:v/>
      </x:c>
      <x:c r="O772" s="30" t="str">
        <x:f t="shared" si="75"/>
        <x:v/>
      </x:c>
      <x:c r="P772" s="30">
        <x:f t="shared" ref="P772:P835" si="77">MOD(ROW(),9)</x:f>
        <x:v>7</x:v>
      </x:c>
      <x:c r="Q772" s="30">
        <x:f>COUNTIF($P$3:P772,"=3")</x:f>
        <x:v>86</x:v>
      </x:c>
      <x:c r="R772" s="29">
        <x:f>WORKDAY(기본입력!$H$2,Q772-1,공휴일)</x:f>
        <x:v>46050</x:v>
      </x:c>
    </x:row>
    <x:row r="773" spans="1:18">
      <x:c r="A773" s="145" t="str">
        <x:f t="shared" si="76"/>
        <x:v>20260128</x:v>
      </x:c>
      <x:c r="B773" s="8" t="s">
        <x:v>5</x:v>
      </x:c>
      <x:c r="C773" s="8">
        <x:v>1740</x:v>
      </x:c>
      <x:c r="D773" s="7" t="s">
        <x:v>1</x:v>
      </x:c>
      <x:c r="E773" s="8">
        <x:v>1340</x:v>
      </x:c>
      <x:c r="F773" s="8" t="s">
        <x:v>40</x:v>
      </x:c>
      <x:c r="G773" s="15" t="str">
        <x:f>IF(OR(N773="",N773&gt;기본입력!$C$34),"",VLOOKUP(O773,기본입력!$A$9:$F$33,5))</x:f>
        <x:v>양현수_53778</x:v>
      </x:c>
      <x:c r="H773" s="15" t="str">
        <x:f>IF(OR(N773="",N773&gt;기본입력!$C$34),"",기본입력!$C$6)</x:f>
        <x:v>1교육실(실습겸용강의실)_243089</x:v>
      </x:c>
      <x:c r="I773" s="15" t="str">
        <x:f>IF(OR(O773="",N773&gt;기본입력!$C$34),"",VLOOKUP(O773,기본입력!$A$9:$F$33,6,FALSE))</x:f>
        <x:v>빅데이터 플랫폼 개발__8</x:v>
      </x:c>
      <x:c r="J773" s="38" t="str">
        <x:f t="shared" si="72"/>
        <x:v>빅데이터 플랫폼 개발</x:v>
      </x:c>
      <x:c r="K773" s="38" t="str">
        <x:f t="shared" si="73"/>
        <x:v>1교육실(실습겸용강의실)</x:v>
      </x:c>
      <x:c r="L773" s="38" t="str">
        <x:f t="shared" si="74"/>
        <x:v>양현수</x:v>
      </x:c>
      <x:c r="M773" s="63"/>
      <x:c r="N773" s="30">
        <x:f>IF(F773="2","",COUNTIF($F$3:$F773,"=1"))</x:f>
        <x:v>685</x:v>
      </x:c>
      <x:c r="O773" s="30">
        <x:f t="shared" si="75"/>
        <x:v>9</x:v>
      </x:c>
      <x:c r="P773" s="30">
        <x:f t="shared" si="77"/>
        <x:v>8</x:v>
      </x:c>
      <x:c r="Q773" s="30">
        <x:f>COUNTIF($P$3:P773,"=3")</x:f>
        <x:v>86</x:v>
      </x:c>
      <x:c r="R773" s="29">
        <x:f>WORKDAY(기본입력!$H$2,Q773-1,공휴일)</x:f>
        <x:v>46050</x:v>
      </x:c>
    </x:row>
    <x:row r="774" spans="1:18">
      <x:c r="A774" s="145" t="str">
        <x:f t="shared" si="76"/>
        <x:v>20260128</x:v>
      </x:c>
      <x:c r="B774" s="8" t="s">
        <x:v>5</x:v>
      </x:c>
      <x:c r="C774" s="8">
        <x:v>1740</x:v>
      </x:c>
      <x:c r="D774" s="7" t="s">
        <x:v>1</x:v>
      </x:c>
      <x:c r="E774" s="8">
        <x:v>1440</x:v>
      </x:c>
      <x:c r="F774" s="8" t="s">
        <x:v>40</x:v>
      </x:c>
      <x:c r="G774" s="15" t="str">
        <x:f>IF(OR(N774="",N774&gt;기본입력!$C$34),"",VLOOKUP(O774,기본입력!$A$9:$F$33,5))</x:f>
        <x:v>양현수_53778</x:v>
      </x:c>
      <x:c r="H774" s="15" t="str">
        <x:f>IF(OR(N774="",N774&gt;기본입력!$C$34),"",기본입력!$C$6)</x:f>
        <x:v>1교육실(실습겸용강의실)_243089</x:v>
      </x:c>
      <x:c r="I774" s="15" t="str">
        <x:f>IF(OR(O774="",N774&gt;기본입력!$C$34),"",VLOOKUP(O774,기본입력!$A$9:$F$33,6,FALSE))</x:f>
        <x:v>빅데이터 플랫폼 개발__8</x:v>
      </x:c>
      <x:c r="J774" s="38" t="str">
        <x:f t="shared" si="72"/>
        <x:v>빅데이터 플랫폼 개발</x:v>
      </x:c>
      <x:c r="K774" s="38" t="str">
        <x:f t="shared" si="73"/>
        <x:v>1교육실(실습겸용강의실)</x:v>
      </x:c>
      <x:c r="L774" s="38" t="str">
        <x:f t="shared" si="74"/>
        <x:v>양현수</x:v>
      </x:c>
      <x:c r="M774" s="63"/>
      <x:c r="N774" s="30">
        <x:f>IF(F774="2","",COUNTIF($F$3:$F774,"=1"))</x:f>
        <x:v>686</x:v>
      </x:c>
      <x:c r="O774" s="30">
        <x:f t="shared" si="75"/>
        <x:v>9</x:v>
      </x:c>
      <x:c r="P774" s="30">
        <x:f t="shared" si="77"/>
        <x:v>0</x:v>
      </x:c>
      <x:c r="Q774" s="30">
        <x:f>COUNTIF($P$3:P774,"=3")</x:f>
        <x:v>86</x:v>
      </x:c>
      <x:c r="R774" s="29">
        <x:f>WORKDAY(기본입력!$H$2,Q774-1,공휴일)</x:f>
        <x:v>46050</x:v>
      </x:c>
    </x:row>
    <x:row r="775" spans="1:18">
      <x:c r="A775" s="145" t="str">
        <x:f t="shared" si="76"/>
        <x:v>20260128</x:v>
      </x:c>
      <x:c r="B775" s="8" t="s">
        <x:v>5</x:v>
      </x:c>
      <x:c r="C775" s="8">
        <x:v>1740</x:v>
      </x:c>
      <x:c r="D775" s="7" t="s">
        <x:v>1</x:v>
      </x:c>
      <x:c r="E775" s="8">
        <x:v>1540</x:v>
      </x:c>
      <x:c r="F775" s="8" t="s">
        <x:v>40</x:v>
      </x:c>
      <x:c r="G775" s="15" t="str">
        <x:f>IF(OR(N775="",N775&gt;기본입력!$C$34),"",VLOOKUP(O775,기본입력!$A$9:$F$33,5))</x:f>
        <x:v>양현수_53778</x:v>
      </x:c>
      <x:c r="H775" s="15" t="str">
        <x:f>IF(OR(N775="",N775&gt;기본입력!$C$34),"",기본입력!$C$6)</x:f>
        <x:v>1교육실(실습겸용강의실)_243089</x:v>
      </x:c>
      <x:c r="I775" s="15" t="str">
        <x:f>IF(OR(O775="",N775&gt;기본입력!$C$34),"",VLOOKUP(O775,기본입력!$A$9:$F$33,6,FALSE))</x:f>
        <x:v>빅데이터 플랫폼 개발__8</x:v>
      </x:c>
      <x:c r="J775" s="38" t="str">
        <x:f t="shared" si="72"/>
        <x:v>빅데이터 플랫폼 개발</x:v>
      </x:c>
      <x:c r="K775" s="38" t="str">
        <x:f t="shared" si="73"/>
        <x:v>1교육실(실습겸용강의실)</x:v>
      </x:c>
      <x:c r="L775" s="38" t="str">
        <x:f t="shared" si="74"/>
        <x:v>양현수</x:v>
      </x:c>
      <x:c r="M775" s="63"/>
      <x:c r="N775" s="30">
        <x:f>IF(F775="2","",COUNTIF($F$3:$F775,"=1"))</x:f>
        <x:v>687</x:v>
      </x:c>
      <x:c r="O775" s="30">
        <x:f t="shared" si="75"/>
        <x:v>9</x:v>
      </x:c>
      <x:c r="P775" s="30">
        <x:f t="shared" si="77"/>
        <x:v>1</x:v>
      </x:c>
      <x:c r="Q775" s="30">
        <x:f>COUNTIF($P$3:P775,"=3")</x:f>
        <x:v>86</x:v>
      </x:c>
      <x:c r="R775" s="29">
        <x:f>WORKDAY(기본입력!$H$2,Q775-1,공휴일)</x:f>
        <x:v>46050</x:v>
      </x:c>
    </x:row>
    <x:row r="776" spans="1:18">
      <x:c r="A776" s="145" t="str">
        <x:f t="shared" si="76"/>
        <x:v>20260128</x:v>
      </x:c>
      <x:c r="B776" s="8" t="s">
        <x:v>5</x:v>
      </x:c>
      <x:c r="C776" s="8">
        <x:v>1740</x:v>
      </x:c>
      <x:c r="D776" s="7" t="s">
        <x:v>1</x:v>
      </x:c>
      <x:c r="E776" s="8">
        <x:v>1640</x:v>
      </x:c>
      <x:c r="F776" s="8" t="s">
        <x:v>40</x:v>
      </x:c>
      <x:c r="G776" s="15" t="str">
        <x:f>IF(OR(N776="",N776&gt;기본입력!$C$34),"",VLOOKUP(O776,기본입력!$A$9:$F$33,5))</x:f>
        <x:v>양현수_53778</x:v>
      </x:c>
      <x:c r="H776" s="15" t="str">
        <x:f>IF(OR(N776="",N776&gt;기본입력!$C$34),"",기본입력!$C$6)</x:f>
        <x:v>1교육실(실습겸용강의실)_243089</x:v>
      </x:c>
      <x:c r="I776" s="15" t="str">
        <x:f>IF(OR(O776="",N776&gt;기본입력!$C$34),"",VLOOKUP(O776,기본입력!$A$9:$F$33,6,FALSE))</x:f>
        <x:v>빅데이터 플랫폼 개발__8</x:v>
      </x:c>
      <x:c r="J776" s="38" t="str">
        <x:f t="shared" si="72"/>
        <x:v>빅데이터 플랫폼 개발</x:v>
      </x:c>
      <x:c r="K776" s="38" t="str">
        <x:f t="shared" si="73"/>
        <x:v>1교육실(실습겸용강의실)</x:v>
      </x:c>
      <x:c r="L776" s="38" t="str">
        <x:f t="shared" si="74"/>
        <x:v>양현수</x:v>
      </x:c>
      <x:c r="M776" s="63"/>
      <x:c r="N776" s="30">
        <x:f>IF(F776="2","",COUNTIF($F$3:$F776,"=1"))</x:f>
        <x:v>688</x:v>
      </x:c>
      <x:c r="O776" s="30">
        <x:f t="shared" si="75"/>
        <x:v>9</x:v>
      </x:c>
      <x:c r="P776" s="30">
        <x:f t="shared" si="77"/>
        <x:v>2</x:v>
      </x:c>
      <x:c r="Q776" s="30">
        <x:f>COUNTIF($P$3:P776,"=3")</x:f>
        <x:v>86</x:v>
      </x:c>
      <x:c r="R776" s="29">
        <x:f>WORKDAY(기본입력!$H$2,Q776-1,공휴일)</x:f>
        <x:v>46050</x:v>
      </x:c>
    </x:row>
    <x:row r="777" spans="1:18">
      <x:c r="A777" s="144" t="str">
        <x:f t="shared" si="76"/>
        <x:v>20260129</x:v>
      </x:c>
      <x:c r="B777" s="6" t="s">
        <x:v>5</x:v>
      </x:c>
      <x:c r="C777" s="6">
        <x:v>1740</x:v>
      </x:c>
      <x:c r="D777" s="5" t="s">
        <x:v>1</x:v>
      </x:c>
      <x:c r="E777" s="6" t="s">
        <x:v>5</x:v>
      </x:c>
      <x:c r="F777" s="6" t="s">
        <x:v>40</x:v>
      </x:c>
      <x:c r="G777" s="14" t="str">
        <x:f>IF(OR(N777="",N777&gt;기본입력!$C$34),"",VLOOKUP(O777,기본입력!$A$9:$F$33,5))</x:f>
        <x:v>양현수_53778</x:v>
      </x:c>
      <x:c r="H777" s="14" t="str">
        <x:f>IF(OR(N777="",N777&gt;기본입력!$C$34),"",기본입력!$C$6)</x:f>
        <x:v>1교육실(실습겸용강의실)_243089</x:v>
      </x:c>
      <x:c r="I777" s="14" t="str">
        <x:f>IF(OR(O777="",N777&gt;기본입력!$C$34),"",VLOOKUP(O777,기본입력!$A$9:$F$33,6,FALSE))</x:f>
        <x:v>빅데이터 플랫폼 개발__8</x:v>
      </x:c>
      <x:c r="J777" s="38" t="str">
        <x:f t="shared" si="72"/>
        <x:v>빅데이터 플랫폼 개발</x:v>
      </x:c>
      <x:c r="K777" s="38" t="str">
        <x:f t="shared" si="73"/>
        <x:v>1교육실(실습겸용강의실)</x:v>
      </x:c>
      <x:c r="L777" s="38" t="str">
        <x:f t="shared" si="74"/>
        <x:v>양현수</x:v>
      </x:c>
      <x:c r="M777" s="63"/>
      <x:c r="N777" s="30">
        <x:f>IF(F777="2","",COUNTIF($F$3:$F777,"=1"))</x:f>
        <x:v>689</x:v>
      </x:c>
      <x:c r="O777" s="30">
        <x:f t="shared" si="75"/>
        <x:v>9</x:v>
      </x:c>
      <x:c r="P777" s="30">
        <x:f t="shared" si="77"/>
        <x:v>3</x:v>
      </x:c>
      <x:c r="Q777" s="30">
        <x:f>COUNTIF($P$3:P777,"=3")</x:f>
        <x:v>87</x:v>
      </x:c>
      <x:c r="R777" s="29">
        <x:f>WORKDAY(기본입력!$H$2,Q777-1,공휴일)</x:f>
        <x:v>46051</x:v>
      </x:c>
    </x:row>
    <x:row r="778" spans="1:18">
      <x:c r="A778" s="144" t="str">
        <x:f t="shared" si="76"/>
        <x:v>20260129</x:v>
      </x:c>
      <x:c r="B778" s="6" t="s">
        <x:v>5</x:v>
      </x:c>
      <x:c r="C778" s="6">
        <x:v>1740</x:v>
      </x:c>
      <x:c r="D778" s="5" t="s">
        <x:v>1</x:v>
      </x:c>
      <x:c r="E778" s="6" t="s">
        <x:v>117</x:v>
      </x:c>
      <x:c r="F778" s="6" t="s">
        <x:v>40</x:v>
      </x:c>
      <x:c r="G778" s="14" t="str">
        <x:f>IF(OR(N778="",N778&gt;기본입력!$C$34),"",VLOOKUP(O778,기본입력!$A$9:$F$33,5))</x:f>
        <x:v>양현수_53778</x:v>
      </x:c>
      <x:c r="H778" s="14" t="str">
        <x:f>IF(OR(N778="",N778&gt;기본입력!$C$34),"",기본입력!$C$6)</x:f>
        <x:v>1교육실(실습겸용강의실)_243089</x:v>
      </x:c>
      <x:c r="I778" s="14" t="str">
        <x:f>IF(OR(O778="",N778&gt;기본입력!$C$34),"",VLOOKUP(O778,기본입력!$A$9:$F$33,6,FALSE))</x:f>
        <x:v>빅데이터 플랫폼 개발__8</x:v>
      </x:c>
      <x:c r="J778" s="38" t="str">
        <x:f t="shared" si="72"/>
        <x:v>빅데이터 플랫폼 개발</x:v>
      </x:c>
      <x:c r="K778" s="38" t="str">
        <x:f t="shared" si="73"/>
        <x:v>1교육실(실습겸용강의실)</x:v>
      </x:c>
      <x:c r="L778" s="38" t="str">
        <x:f t="shared" si="74"/>
        <x:v>양현수</x:v>
      </x:c>
      <x:c r="M778" s="63"/>
      <x:c r="N778" s="30">
        <x:f>IF(F778="2","",COUNTIF($F$3:$F778,"=1"))</x:f>
        <x:v>690</x:v>
      </x:c>
      <x:c r="O778" s="30">
        <x:f t="shared" si="75"/>
        <x:v>9</x:v>
      </x:c>
      <x:c r="P778" s="30">
        <x:f t="shared" si="77"/>
        <x:v>4</x:v>
      </x:c>
      <x:c r="Q778" s="30">
        <x:f>COUNTIF($P$3:P778,"=3")</x:f>
        <x:v>87</x:v>
      </x:c>
      <x:c r="R778" s="29">
        <x:f>WORKDAY(기본입력!$H$2,Q778-1,공휴일)</x:f>
        <x:v>46051</x:v>
      </x:c>
    </x:row>
    <x:row r="779" spans="1:18">
      <x:c r="A779" s="144" t="str">
        <x:f t="shared" si="76"/>
        <x:v>20260129</x:v>
      </x:c>
      <x:c r="B779" s="6" t="s">
        <x:v>5</x:v>
      </x:c>
      <x:c r="C779" s="6">
        <x:v>1740</x:v>
      </x:c>
      <x:c r="D779" s="5" t="s">
        <x:v>1</x:v>
      </x:c>
      <x:c r="E779" s="6" t="s">
        <x:v>87</x:v>
      </x:c>
      <x:c r="F779" s="6" t="s">
        <x:v>40</x:v>
      </x:c>
      <x:c r="G779" s="14" t="str">
        <x:f>IF(OR(N779="",N779&gt;기본입력!$C$34),"",VLOOKUP(O779,기본입력!$A$9:$F$33,5))</x:f>
        <x:v>양현수_53778</x:v>
      </x:c>
      <x:c r="H779" s="14" t="str">
        <x:f>IF(OR(N779="",N779&gt;기본입력!$C$34),"",기본입력!$C$6)</x:f>
        <x:v>1교육실(실습겸용강의실)_243089</x:v>
      </x:c>
      <x:c r="I779" s="14" t="str">
        <x:f>IF(OR(O779="",N779&gt;기본입력!$C$34),"",VLOOKUP(O779,기본입력!$A$9:$F$33,6,FALSE))</x:f>
        <x:v>빅데이터 플랫폼 개발__8</x:v>
      </x:c>
      <x:c r="J779" s="38" t="str">
        <x:f t="shared" si="72"/>
        <x:v>빅데이터 플랫폼 개발</x:v>
      </x:c>
      <x:c r="K779" s="38" t="str">
        <x:f t="shared" si="73"/>
        <x:v>1교육실(실습겸용강의실)</x:v>
      </x:c>
      <x:c r="L779" s="38" t="str">
        <x:f t="shared" si="74"/>
        <x:v>양현수</x:v>
      </x:c>
      <x:c r="M779" s="63"/>
      <x:c r="N779" s="30">
        <x:f>IF(F779="2","",COUNTIF($F$3:$F779,"=1"))</x:f>
        <x:v>691</x:v>
      </x:c>
      <x:c r="O779" s="30">
        <x:f t="shared" si="75"/>
        <x:v>9</x:v>
      </x:c>
      <x:c r="P779" s="30">
        <x:f t="shared" si="77"/>
        <x:v>5</x:v>
      </x:c>
      <x:c r="Q779" s="30">
        <x:f>COUNTIF($P$3:P779,"=3")</x:f>
        <x:v>87</x:v>
      </x:c>
      <x:c r="R779" s="29">
        <x:f>WORKDAY(기본입력!$H$2,Q779-1,공휴일)</x:f>
        <x:v>46051</x:v>
      </x:c>
    </x:row>
    <x:row r="780" spans="1:18">
      <x:c r="A780" s="144" t="str">
        <x:f t="shared" si="76"/>
        <x:v>20260129</x:v>
      </x:c>
      <x:c r="B780" s="6" t="s">
        <x:v>5</x:v>
      </x:c>
      <x:c r="C780" s="6">
        <x:v>1740</x:v>
      </x:c>
      <x:c r="D780" s="5" t="s">
        <x:v>1</x:v>
      </x:c>
      <x:c r="E780" s="6" t="s">
        <x:v>88</x:v>
      </x:c>
      <x:c r="F780" s="6" t="s">
        <x:v>40</x:v>
      </x:c>
      <x:c r="G780" s="14" t="str">
        <x:f>IF(OR(N780="",N780&gt;기본입력!$C$34),"",VLOOKUP(O780,기본입력!$A$9:$F$33,5))</x:f>
        <x:v>양현수_53778</x:v>
      </x:c>
      <x:c r="H780" s="14" t="str">
        <x:f>IF(OR(N780="",N780&gt;기본입력!$C$34),"",기본입력!$C$6)</x:f>
        <x:v>1교육실(실습겸용강의실)_243089</x:v>
      </x:c>
      <x:c r="I780" s="14" t="str">
        <x:f>IF(OR(O780="",N780&gt;기본입력!$C$34),"",VLOOKUP(O780,기본입력!$A$9:$F$33,6,FALSE))</x:f>
        <x:v>빅데이터 플랫폼 개발__8</x:v>
      </x:c>
      <x:c r="J780" s="38" t="str">
        <x:f t="shared" si="72"/>
        <x:v>빅데이터 플랫폼 개발</x:v>
      </x:c>
      <x:c r="K780" s="38" t="str">
        <x:f t="shared" si="73"/>
        <x:v>1교육실(실습겸용강의실)</x:v>
      </x:c>
      <x:c r="L780" s="38" t="str">
        <x:f t="shared" si="74"/>
        <x:v>양현수</x:v>
      </x:c>
      <x:c r="M780" s="63"/>
      <x:c r="N780" s="30">
        <x:f>IF(F780="2","",COUNTIF($F$3:$F780,"=1"))</x:f>
        <x:v>692</x:v>
      </x:c>
      <x:c r="O780" s="30">
        <x:f t="shared" si="75"/>
        <x:v>9</x:v>
      </x:c>
      <x:c r="P780" s="30">
        <x:f t="shared" si="77"/>
        <x:v>6</x:v>
      </x:c>
      <x:c r="Q780" s="30">
        <x:f>COUNTIF($P$3:P780,"=3")</x:f>
        <x:v>87</x:v>
      </x:c>
      <x:c r="R780" s="29">
        <x:f>WORKDAY(기본입력!$H$2,Q780-1,공휴일)</x:f>
        <x:v>46051</x:v>
      </x:c>
    </x:row>
    <x:row r="781" spans="1:18">
      <x:c r="A781" s="144" t="str">
        <x:f t="shared" si="76"/>
        <x:v>20260129</x:v>
      </x:c>
      <x:c r="B781" s="6" t="s">
        <x:v>5</x:v>
      </x:c>
      <x:c r="C781" s="6">
        <x:v>1740</x:v>
      </x:c>
      <x:c r="D781" s="5" t="s">
        <x:v>1</x:v>
      </x:c>
      <x:c r="E781" s="6" t="s">
        <x:v>0</x:v>
      </x:c>
      <x:c r="F781" s="6" t="s">
        <x:v>41</x:v>
      </x:c>
      <x:c r="G781" s="14" t="str">
        <x:f>IF(OR(N781="",N781&gt;기본입력!$C$34),"",VLOOKUP(O781,기본입력!$A$9:$F$33,5))</x:f>
        <x:v/>
      </x:c>
      <x:c r="H781" s="14" t="str">
        <x:f>IF(OR(N781="",N781&gt;기본입력!$C$34),"",기본입력!$C$6)</x:f>
        <x:v/>
      </x:c>
      <x:c r="I781" s="14" t="str">
        <x:f>IF(OR(O781="",N781&gt;기본입력!$C$34),"",VLOOKUP(O781,기본입력!$A$9:$F$33,6,FALSE))</x:f>
        <x:v/>
      </x:c>
      <x:c r="J781" s="38" t="str">
        <x:f t="shared" si="72"/>
        <x:v/>
      </x:c>
      <x:c r="K781" s="38" t="str">
        <x:f t="shared" si="73"/>
        <x:v/>
      </x:c>
      <x:c r="L781" s="38" t="str">
        <x:f t="shared" si="74"/>
        <x:v/>
      </x:c>
      <x:c r="M781" s="63"/>
      <x:c r="N781" s="30" t="str">
        <x:f>IF(F781="2","",COUNTIF($F$3:$F781,"=1"))</x:f>
        <x:v/>
      </x:c>
      <x:c r="O781" s="30" t="str">
        <x:f t="shared" si="75"/>
        <x:v/>
      </x:c>
      <x:c r="P781" s="30">
        <x:f t="shared" si="77"/>
        <x:v>7</x:v>
      </x:c>
      <x:c r="Q781" s="30">
        <x:f>COUNTIF($P$3:P781,"=3")</x:f>
        <x:v>87</x:v>
      </x:c>
      <x:c r="R781" s="29">
        <x:f>WORKDAY(기본입력!$H$2,Q781-1,공휴일)</x:f>
        <x:v>46051</x:v>
      </x:c>
    </x:row>
    <x:row r="782" spans="1:18">
      <x:c r="A782" s="144" t="str">
        <x:f t="shared" si="76"/>
        <x:v>20260129</x:v>
      </x:c>
      <x:c r="B782" s="6" t="s">
        <x:v>5</x:v>
      </x:c>
      <x:c r="C782" s="6">
        <x:v>1740</x:v>
      </x:c>
      <x:c r="D782" s="5" t="s">
        <x:v>1</x:v>
      </x:c>
      <x:c r="E782" s="6">
        <x:v>1340</x:v>
      </x:c>
      <x:c r="F782" s="6" t="s">
        <x:v>40</x:v>
      </x:c>
      <x:c r="G782" s="14" t="str">
        <x:f>IF(OR(N782="",N782&gt;기본입력!$C$34),"",VLOOKUP(O782,기본입력!$A$9:$F$33,5))</x:f>
        <x:v>양현수_53778</x:v>
      </x:c>
      <x:c r="H782" s="14" t="str">
        <x:f>IF(OR(N782="",N782&gt;기본입력!$C$34),"",기본입력!$C$6)</x:f>
        <x:v>1교육실(실습겸용강의실)_243089</x:v>
      </x:c>
      <x:c r="I782" s="14" t="str">
        <x:f>IF(OR(O782="",N782&gt;기본입력!$C$34),"",VLOOKUP(O782,기본입력!$A$9:$F$33,6,FALSE))</x:f>
        <x:v>빅데이터 플랫폼 개발__8</x:v>
      </x:c>
      <x:c r="J782" s="38" t="str">
        <x:f t="shared" si="72"/>
        <x:v>빅데이터 플랫폼 개발</x:v>
      </x:c>
      <x:c r="K782" s="38" t="str">
        <x:f t="shared" si="73"/>
        <x:v>1교육실(실습겸용강의실)</x:v>
      </x:c>
      <x:c r="L782" s="38" t="str">
        <x:f t="shared" si="74"/>
        <x:v>양현수</x:v>
      </x:c>
      <x:c r="M782" s="63"/>
      <x:c r="N782" s="30">
        <x:f>IF(F782="2","",COUNTIF($F$3:$F782,"=1"))</x:f>
        <x:v>693</x:v>
      </x:c>
      <x:c r="O782" s="30">
        <x:f t="shared" si="75"/>
        <x:v>9</x:v>
      </x:c>
      <x:c r="P782" s="30">
        <x:f t="shared" si="77"/>
        <x:v>8</x:v>
      </x:c>
      <x:c r="Q782" s="30">
        <x:f>COUNTIF($P$3:P782,"=3")</x:f>
        <x:v>87</x:v>
      </x:c>
      <x:c r="R782" s="29">
        <x:f>WORKDAY(기본입력!$H$2,Q782-1,공휴일)</x:f>
        <x:v>46051</x:v>
      </x:c>
    </x:row>
    <x:row r="783" spans="1:18">
      <x:c r="A783" s="144" t="str">
        <x:f t="shared" si="76"/>
        <x:v>20260129</x:v>
      </x:c>
      <x:c r="B783" s="6" t="s">
        <x:v>5</x:v>
      </x:c>
      <x:c r="C783" s="6">
        <x:v>1740</x:v>
      </x:c>
      <x:c r="D783" s="5" t="s">
        <x:v>1</x:v>
      </x:c>
      <x:c r="E783" s="6">
        <x:v>1440</x:v>
      </x:c>
      <x:c r="F783" s="6" t="s">
        <x:v>40</x:v>
      </x:c>
      <x:c r="G783" s="14" t="str">
        <x:f>IF(OR(N783="",N783&gt;기본입력!$C$34),"",VLOOKUP(O783,기본입력!$A$9:$F$33,5))</x:f>
        <x:v>양현수_53778</x:v>
      </x:c>
      <x:c r="H783" s="14" t="str">
        <x:f>IF(OR(N783="",N783&gt;기본입력!$C$34),"",기본입력!$C$6)</x:f>
        <x:v>1교육실(실습겸용강의실)_243089</x:v>
      </x:c>
      <x:c r="I783" s="14" t="str">
        <x:f>IF(OR(O783="",N783&gt;기본입력!$C$34),"",VLOOKUP(O783,기본입력!$A$9:$F$33,6,FALSE))</x:f>
        <x:v>빅데이터 플랫폼 개발__8</x:v>
      </x:c>
      <x:c r="J783" s="38" t="str">
        <x:f t="shared" si="72"/>
        <x:v>빅데이터 플랫폼 개발</x:v>
      </x:c>
      <x:c r="K783" s="38" t="str">
        <x:f t="shared" si="73"/>
        <x:v>1교육실(실습겸용강의실)</x:v>
      </x:c>
      <x:c r="L783" s="38" t="str">
        <x:f t="shared" si="74"/>
        <x:v>양현수</x:v>
      </x:c>
      <x:c r="M783" s="63"/>
      <x:c r="N783" s="30">
        <x:f>IF(F783="2","",COUNTIF($F$3:$F783,"=1"))</x:f>
        <x:v>694</x:v>
      </x:c>
      <x:c r="O783" s="30">
        <x:f t="shared" si="75"/>
        <x:v>9</x:v>
      </x:c>
      <x:c r="P783" s="30">
        <x:f t="shared" si="77"/>
        <x:v>0</x:v>
      </x:c>
      <x:c r="Q783" s="30">
        <x:f>COUNTIF($P$3:P783,"=3")</x:f>
        <x:v>87</x:v>
      </x:c>
      <x:c r="R783" s="29">
        <x:f>WORKDAY(기본입력!$H$2,Q783-1,공휴일)</x:f>
        <x:v>46051</x:v>
      </x:c>
    </x:row>
    <x:row r="784" spans="1:18">
      <x:c r="A784" s="144" t="str">
        <x:f t="shared" si="76"/>
        <x:v>20260129</x:v>
      </x:c>
      <x:c r="B784" s="6" t="s">
        <x:v>5</x:v>
      </x:c>
      <x:c r="C784" s="6">
        <x:v>1740</x:v>
      </x:c>
      <x:c r="D784" s="5" t="s">
        <x:v>1</x:v>
      </x:c>
      <x:c r="E784" s="6">
        <x:v>1540</x:v>
      </x:c>
      <x:c r="F784" s="6" t="s">
        <x:v>40</x:v>
      </x:c>
      <x:c r="G784" s="14" t="str">
        <x:f>IF(OR(N784="",N784&gt;기본입력!$C$34),"",VLOOKUP(O784,기본입력!$A$9:$F$33,5))</x:f>
        <x:v>양현수_53778</x:v>
      </x:c>
      <x:c r="H784" s="14" t="str">
        <x:f>IF(OR(N784="",N784&gt;기본입력!$C$34),"",기본입력!$C$6)</x:f>
        <x:v>1교육실(실습겸용강의실)_243089</x:v>
      </x:c>
      <x:c r="I784" s="14" t="str">
        <x:f>IF(OR(O784="",N784&gt;기본입력!$C$34),"",VLOOKUP(O784,기본입력!$A$9:$F$33,6,FALSE))</x:f>
        <x:v>빅데이터 플랫폼 개발__8</x:v>
      </x:c>
      <x:c r="J784" s="38" t="str">
        <x:f t="shared" si="72"/>
        <x:v>빅데이터 플랫폼 개발</x:v>
      </x:c>
      <x:c r="K784" s="38" t="str">
        <x:f t="shared" si="73"/>
        <x:v>1교육실(실습겸용강의실)</x:v>
      </x:c>
      <x:c r="L784" s="38" t="str">
        <x:f t="shared" si="74"/>
        <x:v>양현수</x:v>
      </x:c>
      <x:c r="M784" s="63"/>
      <x:c r="N784" s="30">
        <x:f>IF(F784="2","",COUNTIF($F$3:$F784,"=1"))</x:f>
        <x:v>695</x:v>
      </x:c>
      <x:c r="O784" s="30">
        <x:f t="shared" si="75"/>
        <x:v>9</x:v>
      </x:c>
      <x:c r="P784" s="30">
        <x:f t="shared" si="77"/>
        <x:v>1</x:v>
      </x:c>
      <x:c r="Q784" s="30">
        <x:f>COUNTIF($P$3:P784,"=3")</x:f>
        <x:v>87</x:v>
      </x:c>
      <x:c r="R784" s="29">
        <x:f>WORKDAY(기본입력!$H$2,Q784-1,공휴일)</x:f>
        <x:v>46051</x:v>
      </x:c>
    </x:row>
    <x:row r="785" spans="1:18">
      <x:c r="A785" s="144" t="str">
        <x:f t="shared" si="76"/>
        <x:v>20260129</x:v>
      </x:c>
      <x:c r="B785" s="6" t="s">
        <x:v>5</x:v>
      </x:c>
      <x:c r="C785" s="6">
        <x:v>1740</x:v>
      </x:c>
      <x:c r="D785" s="5" t="s">
        <x:v>1</x:v>
      </x:c>
      <x:c r="E785" s="6">
        <x:v>1640</x:v>
      </x:c>
      <x:c r="F785" s="6" t="s">
        <x:v>40</x:v>
      </x:c>
      <x:c r="G785" s="14" t="str">
        <x:f>IF(OR(N785="",N785&gt;기본입력!$C$34),"",VLOOKUP(O785,기본입력!$A$9:$F$33,5))</x:f>
        <x:v>양현수_53778</x:v>
      </x:c>
      <x:c r="H785" s="14" t="str">
        <x:f>IF(OR(N785="",N785&gt;기본입력!$C$34),"",기본입력!$C$6)</x:f>
        <x:v>1교육실(실습겸용강의실)_243089</x:v>
      </x:c>
      <x:c r="I785" s="14" t="str">
        <x:f>IF(OR(O785="",N785&gt;기본입력!$C$34),"",VLOOKUP(O785,기본입력!$A$9:$F$33,6,FALSE))</x:f>
        <x:v>빅데이터 플랫폼 개발__8</x:v>
      </x:c>
      <x:c r="J785" s="38" t="str">
        <x:f t="shared" si="72"/>
        <x:v>빅데이터 플랫폼 개발</x:v>
      </x:c>
      <x:c r="K785" s="38" t="str">
        <x:f t="shared" si="73"/>
        <x:v>1교육실(실습겸용강의실)</x:v>
      </x:c>
      <x:c r="L785" s="38" t="str">
        <x:f t="shared" si="74"/>
        <x:v>양현수</x:v>
      </x:c>
      <x:c r="M785" s="63"/>
      <x:c r="N785" s="30">
        <x:f>IF(F785="2","",COUNTIF($F$3:$F785,"=1"))</x:f>
        <x:v>696</x:v>
      </x:c>
      <x:c r="O785" s="30">
        <x:f t="shared" si="75"/>
        <x:v>9</x:v>
      </x:c>
      <x:c r="P785" s="30">
        <x:f t="shared" si="77"/>
        <x:v>2</x:v>
      </x:c>
      <x:c r="Q785" s="30">
        <x:f>COUNTIF($P$3:P785,"=3")</x:f>
        <x:v>87</x:v>
      </x:c>
      <x:c r="R785" s="29">
        <x:f>WORKDAY(기본입력!$H$2,Q785-1,공휴일)</x:f>
        <x:v>46051</x:v>
      </x:c>
    </x:row>
    <x:row r="786" spans="1:18">
      <x:c r="A786" s="145" t="str">
        <x:f t="shared" si="76"/>
        <x:v>20260130</x:v>
      </x:c>
      <x:c r="B786" s="8" t="s">
        <x:v>5</x:v>
      </x:c>
      <x:c r="C786" s="8">
        <x:v>1740</x:v>
      </x:c>
      <x:c r="D786" s="7" t="s">
        <x:v>1</x:v>
      </x:c>
      <x:c r="E786" s="8" t="s">
        <x:v>5</x:v>
      </x:c>
      <x:c r="F786" s="8" t="s">
        <x:v>40</x:v>
      </x:c>
      <x:c r="G786" s="15" t="str">
        <x:f>IF(OR(N786="",N786&gt;기본입력!$C$34),"",VLOOKUP(O786,기본입력!$A$9:$F$33,5))</x:f>
        <x:v>양현수_53778</x:v>
      </x:c>
      <x:c r="H786" s="15" t="str">
        <x:f>IF(OR(N786="",N786&gt;기본입력!$C$34),"",기본입력!$C$6)</x:f>
        <x:v>1교육실(실습겸용강의실)_243089</x:v>
      </x:c>
      <x:c r="I786" s="15" t="str">
        <x:f>IF(OR(O786="",N786&gt;기본입력!$C$34),"",VLOOKUP(O786,기본입력!$A$9:$F$33,6,FALSE))</x:f>
        <x:v>빅데이터 플랫폼 개발__8</x:v>
      </x:c>
      <x:c r="J786" s="38" t="str">
        <x:f t="shared" si="72"/>
        <x:v>빅데이터 플랫폼 개발</x:v>
      </x:c>
      <x:c r="K786" s="38" t="str">
        <x:f t="shared" si="73"/>
        <x:v>1교육실(실습겸용강의실)</x:v>
      </x:c>
      <x:c r="L786" s="38" t="str">
        <x:f t="shared" si="74"/>
        <x:v>양현수</x:v>
      </x:c>
      <x:c r="M786" s="63"/>
      <x:c r="N786" s="30">
        <x:f>IF(F786="2","",COUNTIF($F$3:$F786,"=1"))</x:f>
        <x:v>697</x:v>
      </x:c>
      <x:c r="O786" s="30">
        <x:f t="shared" si="75"/>
        <x:v>9</x:v>
      </x:c>
      <x:c r="P786" s="30">
        <x:f t="shared" si="77"/>
        <x:v>3</x:v>
      </x:c>
      <x:c r="Q786" s="30">
        <x:f>COUNTIF($P$3:P786,"=3")</x:f>
        <x:v>88</x:v>
      </x:c>
      <x:c r="R786" s="29">
        <x:f>WORKDAY(기본입력!$H$2,Q786-1,공휴일)</x:f>
        <x:v>46052</x:v>
      </x:c>
    </x:row>
    <x:row r="787" spans="1:18">
      <x:c r="A787" s="145" t="str">
        <x:f t="shared" si="76"/>
        <x:v>20260130</x:v>
      </x:c>
      <x:c r="B787" s="8" t="s">
        <x:v>5</x:v>
      </x:c>
      <x:c r="C787" s="8">
        <x:v>1740</x:v>
      </x:c>
      <x:c r="D787" s="7" t="s">
        <x:v>1</x:v>
      </x:c>
      <x:c r="E787" s="8" t="s">
        <x:v>117</x:v>
      </x:c>
      <x:c r="F787" s="8" t="s">
        <x:v>40</x:v>
      </x:c>
      <x:c r="G787" s="15" t="str">
        <x:f>IF(OR(N787="",N787&gt;기본입력!$C$34),"",VLOOKUP(O787,기본입력!$A$9:$F$33,5))</x:f>
        <x:v>양현수_53778</x:v>
      </x:c>
      <x:c r="H787" s="15" t="str">
        <x:f>IF(OR(N787="",N787&gt;기본입력!$C$34),"",기본입력!$C$6)</x:f>
        <x:v>1교육실(실습겸용강의실)_243089</x:v>
      </x:c>
      <x:c r="I787" s="15" t="str">
        <x:f>IF(OR(O787="",N787&gt;기본입력!$C$34),"",VLOOKUP(O787,기본입력!$A$9:$F$33,6,FALSE))</x:f>
        <x:v>빅데이터 플랫폼 개발__8</x:v>
      </x:c>
      <x:c r="J787" s="38" t="str">
        <x:f t="shared" si="72"/>
        <x:v>빅데이터 플랫폼 개발</x:v>
      </x:c>
      <x:c r="K787" s="38" t="str">
        <x:f t="shared" si="73"/>
        <x:v>1교육실(실습겸용강의실)</x:v>
      </x:c>
      <x:c r="L787" s="38" t="str">
        <x:f t="shared" si="74"/>
        <x:v>양현수</x:v>
      </x:c>
      <x:c r="M787" s="63"/>
      <x:c r="N787" s="30">
        <x:f>IF(F787="2","",COUNTIF($F$3:$F787,"=1"))</x:f>
        <x:v>698</x:v>
      </x:c>
      <x:c r="O787" s="30">
        <x:f t="shared" si="75"/>
        <x:v>9</x:v>
      </x:c>
      <x:c r="P787" s="30">
        <x:f t="shared" si="77"/>
        <x:v>4</x:v>
      </x:c>
      <x:c r="Q787" s="30">
        <x:f>COUNTIF($P$3:P787,"=3")</x:f>
        <x:v>88</x:v>
      </x:c>
      <x:c r="R787" s="29">
        <x:f>WORKDAY(기본입력!$H$2,Q787-1,공휴일)</x:f>
        <x:v>46052</x:v>
      </x:c>
    </x:row>
    <x:row r="788" spans="1:18">
      <x:c r="A788" s="145" t="str">
        <x:f t="shared" si="76"/>
        <x:v>20260130</x:v>
      </x:c>
      <x:c r="B788" s="8" t="s">
        <x:v>5</x:v>
      </x:c>
      <x:c r="C788" s="8">
        <x:v>1740</x:v>
      </x:c>
      <x:c r="D788" s="7" t="s">
        <x:v>1</x:v>
      </x:c>
      <x:c r="E788" s="8" t="s">
        <x:v>87</x:v>
      </x:c>
      <x:c r="F788" s="8" t="s">
        <x:v>40</x:v>
      </x:c>
      <x:c r="G788" s="15" t="str">
        <x:f>IF(OR(N788="",N788&gt;기본입력!$C$34),"",VLOOKUP(O788,기본입력!$A$9:$F$33,5))</x:f>
        <x:v>양현수_53778</x:v>
      </x:c>
      <x:c r="H788" s="15" t="str">
        <x:f>IF(OR(N788="",N788&gt;기본입력!$C$34),"",기본입력!$C$6)</x:f>
        <x:v>1교육실(실습겸용강의실)_243089</x:v>
      </x:c>
      <x:c r="I788" s="15" t="str">
        <x:f>IF(OR(O788="",N788&gt;기본입력!$C$34),"",VLOOKUP(O788,기본입력!$A$9:$F$33,6,FALSE))</x:f>
        <x:v>빅데이터 플랫폼 개발__8</x:v>
      </x:c>
      <x:c r="J788" s="38" t="str">
        <x:f t="shared" si="72"/>
        <x:v>빅데이터 플랫폼 개발</x:v>
      </x:c>
      <x:c r="K788" s="38" t="str">
        <x:f t="shared" si="73"/>
        <x:v>1교육실(실습겸용강의실)</x:v>
      </x:c>
      <x:c r="L788" s="38" t="str">
        <x:f t="shared" si="74"/>
        <x:v>양현수</x:v>
      </x:c>
      <x:c r="M788" s="63"/>
      <x:c r="N788" s="30">
        <x:f>IF(F788="2","",COUNTIF($F$3:$F788,"=1"))</x:f>
        <x:v>699</x:v>
      </x:c>
      <x:c r="O788" s="30">
        <x:f t="shared" si="75"/>
        <x:v>9</x:v>
      </x:c>
      <x:c r="P788" s="30">
        <x:f t="shared" si="77"/>
        <x:v>5</x:v>
      </x:c>
      <x:c r="Q788" s="30">
        <x:f>COUNTIF($P$3:P788,"=3")</x:f>
        <x:v>88</x:v>
      </x:c>
      <x:c r="R788" s="29">
        <x:f>WORKDAY(기본입력!$H$2,Q788-1,공휴일)</x:f>
        <x:v>46052</x:v>
      </x:c>
    </x:row>
    <x:row r="789" spans="1:18">
      <x:c r="A789" s="145" t="str">
        <x:f t="shared" si="76"/>
        <x:v>20260130</x:v>
      </x:c>
      <x:c r="B789" s="8" t="s">
        <x:v>5</x:v>
      </x:c>
      <x:c r="C789" s="8">
        <x:v>1740</x:v>
      </x:c>
      <x:c r="D789" s="7" t="s">
        <x:v>1</x:v>
      </x:c>
      <x:c r="E789" s="8" t="s">
        <x:v>88</x:v>
      </x:c>
      <x:c r="F789" s="8" t="s">
        <x:v>40</x:v>
      </x:c>
      <x:c r="G789" s="15" t="str">
        <x:f>IF(OR(N789="",N789&gt;기본입력!$C$34),"",VLOOKUP(O789,기본입력!$A$9:$F$33,5))</x:f>
        <x:v>양현수_53778</x:v>
      </x:c>
      <x:c r="H789" s="15" t="str">
        <x:f>IF(OR(N789="",N789&gt;기본입력!$C$34),"",기본입력!$C$6)</x:f>
        <x:v>1교육실(실습겸용강의실)_243089</x:v>
      </x:c>
      <x:c r="I789" s="15" t="str">
        <x:f>IF(OR(O789="",N789&gt;기본입력!$C$34),"",VLOOKUP(O789,기본입력!$A$9:$F$33,6,FALSE))</x:f>
        <x:v>빅데이터 플랫폼 개발__8</x:v>
      </x:c>
      <x:c r="J789" s="38" t="str">
        <x:f t="shared" si="72"/>
        <x:v>빅데이터 플랫폼 개발</x:v>
      </x:c>
      <x:c r="K789" s="38" t="str">
        <x:f t="shared" si="73"/>
        <x:v>1교육실(실습겸용강의실)</x:v>
      </x:c>
      <x:c r="L789" s="38" t="str">
        <x:f t="shared" si="74"/>
        <x:v>양현수</x:v>
      </x:c>
      <x:c r="M789" s="63"/>
      <x:c r="N789" s="30">
        <x:f>IF(F789="2","",COUNTIF($F$3:$F789,"=1"))</x:f>
        <x:v>700</x:v>
      </x:c>
      <x:c r="O789" s="30">
        <x:f t="shared" si="75"/>
        <x:v>9</x:v>
      </x:c>
      <x:c r="P789" s="30">
        <x:f t="shared" si="77"/>
        <x:v>6</x:v>
      </x:c>
      <x:c r="Q789" s="30">
        <x:f>COUNTIF($P$3:P789,"=3")</x:f>
        <x:v>88</x:v>
      </x:c>
      <x:c r="R789" s="29">
        <x:f>WORKDAY(기본입력!$H$2,Q789-1,공휴일)</x:f>
        <x:v>46052</x:v>
      </x:c>
    </x:row>
    <x:row r="790" spans="1:18">
      <x:c r="A790" s="145" t="str">
        <x:f t="shared" si="76"/>
        <x:v>20260130</x:v>
      </x:c>
      <x:c r="B790" s="8" t="s">
        <x:v>5</x:v>
      </x:c>
      <x:c r="C790" s="8">
        <x:v>1740</x:v>
      </x:c>
      <x:c r="D790" s="7" t="s">
        <x:v>1</x:v>
      </x:c>
      <x:c r="E790" s="8" t="s">
        <x:v>0</x:v>
      </x:c>
      <x:c r="F790" s="8" t="s">
        <x:v>41</x:v>
      </x:c>
      <x:c r="G790" s="15" t="str">
        <x:f>IF(OR(N790="",N790&gt;기본입력!$C$34),"",VLOOKUP(O790,기본입력!$A$9:$F$33,5))</x:f>
        <x:v/>
      </x:c>
      <x:c r="H790" s="15" t="str">
        <x:f>IF(OR(N790="",N790&gt;기본입력!$C$34),"",기본입력!$C$6)</x:f>
        <x:v/>
      </x:c>
      <x:c r="I790" s="15" t="str">
        <x:f>IF(OR(O790="",N790&gt;기본입력!$C$34),"",VLOOKUP(O790,기본입력!$A$9:$F$33,6,FALSE))</x:f>
        <x:v/>
      </x:c>
      <x:c r="J790" s="38" t="str">
        <x:f t="shared" si="72"/>
        <x:v/>
      </x:c>
      <x:c r="K790" s="38" t="str">
        <x:f t="shared" si="73"/>
        <x:v/>
      </x:c>
      <x:c r="L790" s="38" t="str">
        <x:f t="shared" si="74"/>
        <x:v/>
      </x:c>
      <x:c r="M790" s="63"/>
      <x:c r="N790" s="30" t="str">
        <x:f>IF(F790="2","",COUNTIF($F$3:$F790,"=1"))</x:f>
        <x:v/>
      </x:c>
      <x:c r="O790" s="30" t="str">
        <x:f t="shared" si="75"/>
        <x:v/>
      </x:c>
      <x:c r="P790" s="30">
        <x:f t="shared" si="77"/>
        <x:v>7</x:v>
      </x:c>
      <x:c r="Q790" s="30">
        <x:f>COUNTIF($P$3:P790,"=3")</x:f>
        <x:v>88</x:v>
      </x:c>
      <x:c r="R790" s="29">
        <x:f>WORKDAY(기본입력!$H$2,Q790-1,공휴일)</x:f>
        <x:v>46052</x:v>
      </x:c>
    </x:row>
    <x:row r="791" spans="1:18">
      <x:c r="A791" s="145" t="str">
        <x:f t="shared" si="76"/>
        <x:v>20260130</x:v>
      </x:c>
      <x:c r="B791" s="8" t="s">
        <x:v>5</x:v>
      </x:c>
      <x:c r="C791" s="8">
        <x:v>1740</x:v>
      </x:c>
      <x:c r="D791" s="7" t="s">
        <x:v>1</x:v>
      </x:c>
      <x:c r="E791" s="8">
        <x:v>1340</x:v>
      </x:c>
      <x:c r="F791" s="8" t="s">
        <x:v>40</x:v>
      </x:c>
      <x:c r="G791" s="15" t="str">
        <x:f>IF(OR(N791="",N791&gt;기본입력!$C$34),"",VLOOKUP(O791,기본입력!$A$9:$F$33,5))</x:f>
        <x:v>양현수_53778</x:v>
      </x:c>
      <x:c r="H791" s="15" t="str">
        <x:f>IF(OR(N791="",N791&gt;기본입력!$C$34),"",기본입력!$C$6)</x:f>
        <x:v>1교육실(실습겸용강의실)_243089</x:v>
      </x:c>
      <x:c r="I791" s="15" t="str">
        <x:f>IF(OR(O791="",N791&gt;기본입력!$C$34),"",VLOOKUP(O791,기본입력!$A$9:$F$33,6,FALSE))</x:f>
        <x:v>빅데이터 플랫폼 개발__8</x:v>
      </x:c>
      <x:c r="J791" s="38" t="str">
        <x:f t="shared" si="72"/>
        <x:v>빅데이터 플랫폼 개발</x:v>
      </x:c>
      <x:c r="K791" s="38" t="str">
        <x:f t="shared" si="73"/>
        <x:v>1교육실(실습겸용강의실)</x:v>
      </x:c>
      <x:c r="L791" s="38" t="str">
        <x:f t="shared" si="74"/>
        <x:v>양현수</x:v>
      </x:c>
      <x:c r="M791" s="63"/>
      <x:c r="N791" s="30">
        <x:f>IF(F791="2","",COUNTIF($F$3:$F791,"=1"))</x:f>
        <x:v>701</x:v>
      </x:c>
      <x:c r="O791" s="30">
        <x:f t="shared" si="75"/>
        <x:v>9</x:v>
      </x:c>
      <x:c r="P791" s="30">
        <x:f t="shared" si="77"/>
        <x:v>8</x:v>
      </x:c>
      <x:c r="Q791" s="30">
        <x:f>COUNTIF($P$3:P791,"=3")</x:f>
        <x:v>88</x:v>
      </x:c>
      <x:c r="R791" s="29">
        <x:f>WORKDAY(기본입력!$H$2,Q791-1,공휴일)</x:f>
        <x:v>46052</x:v>
      </x:c>
    </x:row>
    <x:row r="792" spans="1:18">
      <x:c r="A792" s="145" t="str">
        <x:f t="shared" si="76"/>
        <x:v>20260130</x:v>
      </x:c>
      <x:c r="B792" s="8" t="s">
        <x:v>5</x:v>
      </x:c>
      <x:c r="C792" s="8">
        <x:v>1740</x:v>
      </x:c>
      <x:c r="D792" s="7" t="s">
        <x:v>1</x:v>
      </x:c>
      <x:c r="E792" s="8">
        <x:v>1440</x:v>
      </x:c>
      <x:c r="F792" s="8" t="s">
        <x:v>40</x:v>
      </x:c>
      <x:c r="G792" s="15" t="str">
        <x:f>IF(OR(N792="",N792&gt;기본입력!$C$34),"",VLOOKUP(O792,기본입력!$A$9:$F$33,5))</x:f>
        <x:v>양현수_53778</x:v>
      </x:c>
      <x:c r="H792" s="15" t="str">
        <x:f>IF(OR(N792="",N792&gt;기본입력!$C$34),"",기본입력!$C$6)</x:f>
        <x:v>1교육실(실습겸용강의실)_243089</x:v>
      </x:c>
      <x:c r="I792" s="15" t="str">
        <x:f>IF(OR(O792="",N792&gt;기본입력!$C$34),"",VLOOKUP(O792,기본입력!$A$9:$F$33,6,FALSE))</x:f>
        <x:v>빅데이터 플랫폼 개발__8</x:v>
      </x:c>
      <x:c r="J792" s="38" t="str">
        <x:f t="shared" si="72"/>
        <x:v>빅데이터 플랫폼 개발</x:v>
      </x:c>
      <x:c r="K792" s="38" t="str">
        <x:f t="shared" si="73"/>
        <x:v>1교육실(실습겸용강의실)</x:v>
      </x:c>
      <x:c r="L792" s="38" t="str">
        <x:f t="shared" si="74"/>
        <x:v>양현수</x:v>
      </x:c>
      <x:c r="M792" s="63"/>
      <x:c r="N792" s="30">
        <x:f>IF(F792="2","",COUNTIF($F$3:$F792,"=1"))</x:f>
        <x:v>702</x:v>
      </x:c>
      <x:c r="O792" s="30">
        <x:f t="shared" si="75"/>
        <x:v>9</x:v>
      </x:c>
      <x:c r="P792" s="30">
        <x:f t="shared" si="77"/>
        <x:v>0</x:v>
      </x:c>
      <x:c r="Q792" s="30">
        <x:f>COUNTIF($P$3:P792,"=3")</x:f>
        <x:v>88</x:v>
      </x:c>
      <x:c r="R792" s="29">
        <x:f>WORKDAY(기본입력!$H$2,Q792-1,공휴일)</x:f>
        <x:v>46052</x:v>
      </x:c>
    </x:row>
    <x:row r="793" spans="1:18">
      <x:c r="A793" s="145" t="str">
        <x:f t="shared" si="76"/>
        <x:v>20260130</x:v>
      </x:c>
      <x:c r="B793" s="8" t="s">
        <x:v>5</x:v>
      </x:c>
      <x:c r="C793" s="8">
        <x:v>1740</x:v>
      </x:c>
      <x:c r="D793" s="7" t="s">
        <x:v>1</x:v>
      </x:c>
      <x:c r="E793" s="8">
        <x:v>1540</x:v>
      </x:c>
      <x:c r="F793" s="8" t="s">
        <x:v>40</x:v>
      </x:c>
      <x:c r="G793" s="15" t="str">
        <x:f>IF(OR(N793="",N793&gt;기본입력!$C$34),"",VLOOKUP(O793,기본입력!$A$9:$F$33,5))</x:f>
        <x:v>양현수_53778</x:v>
      </x:c>
      <x:c r="H793" s="15" t="str">
        <x:f>IF(OR(N793="",N793&gt;기본입력!$C$34),"",기본입력!$C$6)</x:f>
        <x:v>1교육실(실습겸용강의실)_243089</x:v>
      </x:c>
      <x:c r="I793" s="15" t="str">
        <x:f>IF(OR(O793="",N793&gt;기본입력!$C$34),"",VLOOKUP(O793,기본입력!$A$9:$F$33,6,FALSE))</x:f>
        <x:v>빅데이터 플랫폼 개발__8</x:v>
      </x:c>
      <x:c r="J793" s="38" t="str">
        <x:f t="shared" si="72"/>
        <x:v>빅데이터 플랫폼 개발</x:v>
      </x:c>
      <x:c r="K793" s="38" t="str">
        <x:f t="shared" si="73"/>
        <x:v>1교육실(실습겸용강의실)</x:v>
      </x:c>
      <x:c r="L793" s="38" t="str">
        <x:f t="shared" si="74"/>
        <x:v>양현수</x:v>
      </x:c>
      <x:c r="M793" s="63"/>
      <x:c r="N793" s="30">
        <x:f>IF(F793="2","",COUNTIF($F$3:$F793,"=1"))</x:f>
        <x:v>703</x:v>
      </x:c>
      <x:c r="O793" s="30">
        <x:f t="shared" si="75"/>
        <x:v>9</x:v>
      </x:c>
      <x:c r="P793" s="30">
        <x:f t="shared" si="77"/>
        <x:v>1</x:v>
      </x:c>
      <x:c r="Q793" s="30">
        <x:f>COUNTIF($P$3:P793,"=3")</x:f>
        <x:v>88</x:v>
      </x:c>
      <x:c r="R793" s="29">
        <x:f>WORKDAY(기본입력!$H$2,Q793-1,공휴일)</x:f>
        <x:v>46052</x:v>
      </x:c>
    </x:row>
    <x:row r="794" spans="1:18">
      <x:c r="A794" s="145" t="str">
        <x:f t="shared" si="76"/>
        <x:v>20260130</x:v>
      </x:c>
      <x:c r="B794" s="8" t="s">
        <x:v>5</x:v>
      </x:c>
      <x:c r="C794" s="8">
        <x:v>1740</x:v>
      </x:c>
      <x:c r="D794" s="7" t="s">
        <x:v>1</x:v>
      </x:c>
      <x:c r="E794" s="8">
        <x:v>1640</x:v>
      </x:c>
      <x:c r="F794" s="8" t="s">
        <x:v>40</x:v>
      </x:c>
      <x:c r="G794" s="15" t="str">
        <x:f>IF(OR(N794="",N794&gt;기본입력!$C$34),"",VLOOKUP(O794,기본입력!$A$9:$F$33,5))</x:f>
        <x:v>양현수_53778</x:v>
      </x:c>
      <x:c r="H794" s="15" t="str">
        <x:f>IF(OR(N794="",N794&gt;기본입력!$C$34),"",기본입력!$C$6)</x:f>
        <x:v>1교육실(실습겸용강의실)_243089</x:v>
      </x:c>
      <x:c r="I794" s="15" t="str">
        <x:f>IF(OR(O794="",N794&gt;기본입력!$C$34),"",VLOOKUP(O794,기본입력!$A$9:$F$33,6,FALSE))</x:f>
        <x:v>빅데이터 플랫폼 개발__8</x:v>
      </x:c>
      <x:c r="J794" s="38" t="str">
        <x:f t="shared" si="72"/>
        <x:v>빅데이터 플랫폼 개발</x:v>
      </x:c>
      <x:c r="K794" s="38" t="str">
        <x:f t="shared" si="73"/>
        <x:v>1교육실(실습겸용강의실)</x:v>
      </x:c>
      <x:c r="L794" s="38" t="str">
        <x:f t="shared" si="74"/>
        <x:v>양현수</x:v>
      </x:c>
      <x:c r="M794" s="63"/>
      <x:c r="N794" s="30">
        <x:f>IF(F794="2","",COUNTIF($F$3:$F794,"=1"))</x:f>
        <x:v>704</x:v>
      </x:c>
      <x:c r="O794" s="30">
        <x:f t="shared" si="75"/>
        <x:v>9</x:v>
      </x:c>
      <x:c r="P794" s="30">
        <x:f t="shared" si="77"/>
        <x:v>2</x:v>
      </x:c>
      <x:c r="Q794" s="30">
        <x:f>COUNTIF($P$3:P794,"=3")</x:f>
        <x:v>88</x:v>
      </x:c>
      <x:c r="R794" s="29">
        <x:f>WORKDAY(기본입력!$H$2,Q794-1,공휴일)</x:f>
        <x:v>46052</x:v>
      </x:c>
    </x:row>
    <x:row r="795" spans="1:18">
      <x:c r="A795" s="144" t="str">
        <x:f t="shared" si="76"/>
        <x:v>20260202</x:v>
      </x:c>
      <x:c r="B795" s="6" t="s">
        <x:v>5</x:v>
      </x:c>
      <x:c r="C795" s="6">
        <x:v>1740</x:v>
      </x:c>
      <x:c r="D795" s="5" t="s">
        <x:v>1</x:v>
      </x:c>
      <x:c r="E795" s="6" t="s">
        <x:v>5</x:v>
      </x:c>
      <x:c r="F795" s="6" t="s">
        <x:v>40</x:v>
      </x:c>
      <x:c r="G795" s="14" t="str">
        <x:f>IF(OR(N795="",N795&gt;기본입력!$C$34),"",VLOOKUP(O795,기본입력!$A$9:$F$33,5))</x:f>
        <x:v>양현수_53778</x:v>
      </x:c>
      <x:c r="H795" s="14" t="str">
        <x:f>IF(OR(N795="",N795&gt;기본입력!$C$34),"",기본입력!$C$6)</x:f>
        <x:v>1교육실(실습겸용강의실)_243089</x:v>
      </x:c>
      <x:c r="I795" s="14" t="str">
        <x:f>IF(OR(O795="",N795&gt;기본입력!$C$34),"",VLOOKUP(O795,기본입력!$A$9:$F$33,6,FALSE))</x:f>
        <x:v>Final 프로젝트__10</x:v>
      </x:c>
      <x:c r="J795" s="38" t="str">
        <x:f t="shared" si="72"/>
        <x:v>Final 프로젝트</x:v>
      </x:c>
      <x:c r="K795" s="38" t="str">
        <x:f t="shared" si="73"/>
        <x:v>1교육실(실습겸용강의실)</x:v>
      </x:c>
      <x:c r="L795" s="38" t="str">
        <x:f t="shared" si="74"/>
        <x:v>양현수</x:v>
      </x:c>
      <x:c r="M795" s="63"/>
      <x:c r="N795" s="30">
        <x:f>IF(F795="2","",COUNTIF($F$3:$F795,"=1"))</x:f>
        <x:v>705</x:v>
      </x:c>
      <x:c r="O795" s="30">
        <x:f t="shared" si="75"/>
        <x:v>10</x:v>
      </x:c>
      <x:c r="P795" s="30">
        <x:f t="shared" si="77"/>
        <x:v>3</x:v>
      </x:c>
      <x:c r="Q795" s="30">
        <x:f>COUNTIF($P$3:P795,"=3")</x:f>
        <x:v>89</x:v>
      </x:c>
      <x:c r="R795" s="29">
        <x:f>WORKDAY(기본입력!$H$2,Q795-1,공휴일)</x:f>
        <x:v>46055</x:v>
      </x:c>
    </x:row>
    <x:row r="796" spans="1:18">
      <x:c r="A796" s="144" t="str">
        <x:f t="shared" si="76"/>
        <x:v>20260202</x:v>
      </x:c>
      <x:c r="B796" s="6" t="s">
        <x:v>5</x:v>
      </x:c>
      <x:c r="C796" s="6">
        <x:v>1740</x:v>
      </x:c>
      <x:c r="D796" s="5" t="s">
        <x:v>1</x:v>
      </x:c>
      <x:c r="E796" s="6" t="s">
        <x:v>117</x:v>
      </x:c>
      <x:c r="F796" s="6" t="s">
        <x:v>40</x:v>
      </x:c>
      <x:c r="G796" s="14" t="str">
        <x:f>IF(OR(N796="",N796&gt;기본입력!$C$34),"",VLOOKUP(O796,기본입력!$A$9:$F$33,5))</x:f>
        <x:v>양현수_53778</x:v>
      </x:c>
      <x:c r="H796" s="14" t="str">
        <x:f>IF(OR(N796="",N796&gt;기본입력!$C$34),"",기본입력!$C$6)</x:f>
        <x:v>1교육실(실습겸용강의실)_243089</x:v>
      </x:c>
      <x:c r="I796" s="14" t="str">
        <x:f>IF(OR(O796="",N796&gt;기본입력!$C$34),"",VLOOKUP(O796,기본입력!$A$9:$F$33,6,FALSE))</x:f>
        <x:v>Final 프로젝트__10</x:v>
      </x:c>
      <x:c r="J796" s="38" t="str">
        <x:f t="shared" si="72"/>
        <x:v>Final 프로젝트</x:v>
      </x:c>
      <x:c r="K796" s="38" t="str">
        <x:f t="shared" si="73"/>
        <x:v>1교육실(실습겸용강의실)</x:v>
      </x:c>
      <x:c r="L796" s="38" t="str">
        <x:f t="shared" si="74"/>
        <x:v>양현수</x:v>
      </x:c>
      <x:c r="M796" s="63"/>
      <x:c r="N796" s="30">
        <x:f>IF(F796="2","",COUNTIF($F$3:$F796,"=1"))</x:f>
        <x:v>706</x:v>
      </x:c>
      <x:c r="O796" s="30">
        <x:f t="shared" si="75"/>
        <x:v>10</x:v>
      </x:c>
      <x:c r="P796" s="30">
        <x:f t="shared" si="77"/>
        <x:v>4</x:v>
      </x:c>
      <x:c r="Q796" s="30">
        <x:f>COUNTIF($P$3:P796,"=3")</x:f>
        <x:v>89</x:v>
      </x:c>
      <x:c r="R796" s="29">
        <x:f>WORKDAY(기본입력!$H$2,Q796-1,공휴일)</x:f>
        <x:v>46055</x:v>
      </x:c>
    </x:row>
    <x:row r="797" spans="1:18">
      <x:c r="A797" s="144" t="str">
        <x:f t="shared" si="76"/>
        <x:v>20260202</x:v>
      </x:c>
      <x:c r="B797" s="6" t="s">
        <x:v>5</x:v>
      </x:c>
      <x:c r="C797" s="6">
        <x:v>1740</x:v>
      </x:c>
      <x:c r="D797" s="5" t="s">
        <x:v>1</x:v>
      </x:c>
      <x:c r="E797" s="6" t="s">
        <x:v>87</x:v>
      </x:c>
      <x:c r="F797" s="6" t="s">
        <x:v>40</x:v>
      </x:c>
      <x:c r="G797" s="14" t="str">
        <x:f>IF(OR(N797="",N797&gt;기본입력!$C$34),"",VLOOKUP(O797,기본입력!$A$9:$F$33,5))</x:f>
        <x:v>양현수_53778</x:v>
      </x:c>
      <x:c r="H797" s="14" t="str">
        <x:f>IF(OR(N797="",N797&gt;기본입력!$C$34),"",기본입력!$C$6)</x:f>
        <x:v>1교육실(실습겸용강의실)_243089</x:v>
      </x:c>
      <x:c r="I797" s="14" t="str">
        <x:f>IF(OR(O797="",N797&gt;기본입력!$C$34),"",VLOOKUP(O797,기본입력!$A$9:$F$33,6,FALSE))</x:f>
        <x:v>Final 프로젝트__10</x:v>
      </x:c>
      <x:c r="J797" s="38" t="str">
        <x:f t="shared" si="72"/>
        <x:v>Final 프로젝트</x:v>
      </x:c>
      <x:c r="K797" s="38" t="str">
        <x:f t="shared" si="73"/>
        <x:v>1교육실(실습겸용강의실)</x:v>
      </x:c>
      <x:c r="L797" s="38" t="str">
        <x:f t="shared" si="74"/>
        <x:v>양현수</x:v>
      </x:c>
      <x:c r="M797" s="63"/>
      <x:c r="N797" s="30">
        <x:f>IF(F797="2","",COUNTIF($F$3:$F797,"=1"))</x:f>
        <x:v>707</x:v>
      </x:c>
      <x:c r="O797" s="30">
        <x:f t="shared" si="75"/>
        <x:v>10</x:v>
      </x:c>
      <x:c r="P797" s="30">
        <x:f t="shared" si="77"/>
        <x:v>5</x:v>
      </x:c>
      <x:c r="Q797" s="30">
        <x:f>COUNTIF($P$3:P797,"=3")</x:f>
        <x:v>89</x:v>
      </x:c>
      <x:c r="R797" s="29">
        <x:f>WORKDAY(기본입력!$H$2,Q797-1,공휴일)</x:f>
        <x:v>46055</x:v>
      </x:c>
    </x:row>
    <x:row r="798" spans="1:18">
      <x:c r="A798" s="144" t="str">
        <x:f t="shared" si="76"/>
        <x:v>20260202</x:v>
      </x:c>
      <x:c r="B798" s="6" t="s">
        <x:v>5</x:v>
      </x:c>
      <x:c r="C798" s="6">
        <x:v>1740</x:v>
      </x:c>
      <x:c r="D798" s="5" t="s">
        <x:v>1</x:v>
      </x:c>
      <x:c r="E798" s="6" t="s">
        <x:v>88</x:v>
      </x:c>
      <x:c r="F798" s="6" t="s">
        <x:v>40</x:v>
      </x:c>
      <x:c r="G798" s="14" t="str">
        <x:f>IF(OR(N798="",N798&gt;기본입력!$C$34),"",VLOOKUP(O798,기본입력!$A$9:$F$33,5))</x:f>
        <x:v>양현수_53778</x:v>
      </x:c>
      <x:c r="H798" s="14" t="str">
        <x:f>IF(OR(N798="",N798&gt;기본입력!$C$34),"",기본입력!$C$6)</x:f>
        <x:v>1교육실(실습겸용강의실)_243089</x:v>
      </x:c>
      <x:c r="I798" s="14" t="str">
        <x:f>IF(OR(O798="",N798&gt;기본입력!$C$34),"",VLOOKUP(O798,기본입력!$A$9:$F$33,6,FALSE))</x:f>
        <x:v>Final 프로젝트__10</x:v>
      </x:c>
      <x:c r="J798" s="38" t="str">
        <x:f t="shared" si="72"/>
        <x:v>Final 프로젝트</x:v>
      </x:c>
      <x:c r="K798" s="38" t="str">
        <x:f t="shared" si="73"/>
        <x:v>1교육실(실습겸용강의실)</x:v>
      </x:c>
      <x:c r="L798" s="38" t="str">
        <x:f t="shared" si="74"/>
        <x:v>양현수</x:v>
      </x:c>
      <x:c r="M798" s="63"/>
      <x:c r="N798" s="30">
        <x:f>IF(F798="2","",COUNTIF($F$3:$F798,"=1"))</x:f>
        <x:v>708</x:v>
      </x:c>
      <x:c r="O798" s="30">
        <x:f t="shared" si="75"/>
        <x:v>10</x:v>
      </x:c>
      <x:c r="P798" s="30">
        <x:f t="shared" si="77"/>
        <x:v>6</x:v>
      </x:c>
      <x:c r="Q798" s="30">
        <x:f>COUNTIF($P$3:P798,"=3")</x:f>
        <x:v>89</x:v>
      </x:c>
      <x:c r="R798" s="29">
        <x:f>WORKDAY(기본입력!$H$2,Q798-1,공휴일)</x:f>
        <x:v>46055</x:v>
      </x:c>
    </x:row>
    <x:row r="799" spans="1:18">
      <x:c r="A799" s="144" t="str">
        <x:f t="shared" si="76"/>
        <x:v>20260202</x:v>
      </x:c>
      <x:c r="B799" s="6" t="s">
        <x:v>5</x:v>
      </x:c>
      <x:c r="C799" s="6">
        <x:v>1740</x:v>
      </x:c>
      <x:c r="D799" s="5" t="s">
        <x:v>1</x:v>
      </x:c>
      <x:c r="E799" s="6" t="s">
        <x:v>0</x:v>
      </x:c>
      <x:c r="F799" s="6" t="s">
        <x:v>41</x:v>
      </x:c>
      <x:c r="G799" s="14" t="str">
        <x:f>IF(OR(N799="",N799&gt;기본입력!$C$34),"",VLOOKUP(O799,기본입력!$A$9:$F$33,5))</x:f>
        <x:v/>
      </x:c>
      <x:c r="H799" s="14" t="str">
        <x:f>IF(OR(N799="",N799&gt;기본입력!$C$34),"",기본입력!$C$6)</x:f>
        <x:v/>
      </x:c>
      <x:c r="I799" s="14" t="str">
        <x:f>IF(OR(O799="",N799&gt;기본입력!$C$34),"",VLOOKUP(O799,기본입력!$A$9:$F$33,6,FALSE))</x:f>
        <x:v/>
      </x:c>
      <x:c r="J799" s="38" t="str">
        <x:f t="shared" si="72"/>
        <x:v/>
      </x:c>
      <x:c r="K799" s="38" t="str">
        <x:f t="shared" si="73"/>
        <x:v/>
      </x:c>
      <x:c r="L799" s="38" t="str">
        <x:f t="shared" si="74"/>
        <x:v/>
      </x:c>
      <x:c r="M799" s="63"/>
      <x:c r="N799" s="30" t="str">
        <x:f>IF(F799="2","",COUNTIF($F$3:$F799,"=1"))</x:f>
        <x:v/>
      </x:c>
      <x:c r="O799" s="30" t="str">
        <x:f t="shared" si="75"/>
        <x:v/>
      </x:c>
      <x:c r="P799" s="30">
        <x:f t="shared" si="77"/>
        <x:v>7</x:v>
      </x:c>
      <x:c r="Q799" s="30">
        <x:f>COUNTIF($P$3:P799,"=3")</x:f>
        <x:v>89</x:v>
      </x:c>
      <x:c r="R799" s="29">
        <x:f>WORKDAY(기본입력!$H$2,Q799-1,공휴일)</x:f>
        <x:v>46055</x:v>
      </x:c>
    </x:row>
    <x:row r="800" spans="1:18">
      <x:c r="A800" s="144" t="str">
        <x:f t="shared" si="76"/>
        <x:v>20260202</x:v>
      </x:c>
      <x:c r="B800" s="6" t="s">
        <x:v>5</x:v>
      </x:c>
      <x:c r="C800" s="6">
        <x:v>1740</x:v>
      </x:c>
      <x:c r="D800" s="5" t="s">
        <x:v>1</x:v>
      </x:c>
      <x:c r="E800" s="6">
        <x:v>1340</x:v>
      </x:c>
      <x:c r="F800" s="6" t="s">
        <x:v>40</x:v>
      </x:c>
      <x:c r="G800" s="14" t="str">
        <x:f>IF(OR(N800="",N800&gt;기본입력!$C$34),"",VLOOKUP(O800,기본입력!$A$9:$F$33,5))</x:f>
        <x:v>양현수_53778</x:v>
      </x:c>
      <x:c r="H800" s="14" t="str">
        <x:f>IF(OR(N800="",N800&gt;기본입력!$C$34),"",기본입력!$C$6)</x:f>
        <x:v>1교육실(실습겸용강의실)_243089</x:v>
      </x:c>
      <x:c r="I800" s="14" t="str">
        <x:f>IF(OR(O800="",N800&gt;기본입력!$C$34),"",VLOOKUP(O800,기본입력!$A$9:$F$33,6,FALSE))</x:f>
        <x:v>Final 프로젝트__10</x:v>
      </x:c>
      <x:c r="J800" s="38" t="str">
        <x:f t="shared" si="72"/>
        <x:v>Final 프로젝트</x:v>
      </x:c>
      <x:c r="K800" s="38" t="str">
        <x:f t="shared" si="73"/>
        <x:v>1교육실(실습겸용강의실)</x:v>
      </x:c>
      <x:c r="L800" s="38" t="str">
        <x:f t="shared" si="74"/>
        <x:v>양현수</x:v>
      </x:c>
      <x:c r="M800" s="63"/>
      <x:c r="N800" s="30">
        <x:f>IF(F800="2","",COUNTIF($F$3:$F800,"=1"))</x:f>
        <x:v>709</x:v>
      </x:c>
      <x:c r="O800" s="30">
        <x:f t="shared" si="75"/>
        <x:v>10</x:v>
      </x:c>
      <x:c r="P800" s="30">
        <x:f t="shared" si="77"/>
        <x:v>8</x:v>
      </x:c>
      <x:c r="Q800" s="30">
        <x:f>COUNTIF($P$3:P800,"=3")</x:f>
        <x:v>89</x:v>
      </x:c>
      <x:c r="R800" s="29">
        <x:f>WORKDAY(기본입력!$H$2,Q800-1,공휴일)</x:f>
        <x:v>46055</x:v>
      </x:c>
    </x:row>
    <x:row r="801" spans="1:18">
      <x:c r="A801" s="144" t="str">
        <x:f t="shared" si="76"/>
        <x:v>20260202</x:v>
      </x:c>
      <x:c r="B801" s="6" t="s">
        <x:v>5</x:v>
      </x:c>
      <x:c r="C801" s="6">
        <x:v>1740</x:v>
      </x:c>
      <x:c r="D801" s="5" t="s">
        <x:v>1</x:v>
      </x:c>
      <x:c r="E801" s="6">
        <x:v>1440</x:v>
      </x:c>
      <x:c r="F801" s="6" t="s">
        <x:v>40</x:v>
      </x:c>
      <x:c r="G801" s="14" t="str">
        <x:f>IF(OR(N801="",N801&gt;기본입력!$C$34),"",VLOOKUP(O801,기본입력!$A$9:$F$33,5))</x:f>
        <x:v>양현수_53778</x:v>
      </x:c>
      <x:c r="H801" s="14" t="str">
        <x:f>IF(OR(N801="",N801&gt;기본입력!$C$34),"",기본입력!$C$6)</x:f>
        <x:v>1교육실(실습겸용강의실)_243089</x:v>
      </x:c>
      <x:c r="I801" s="14" t="str">
        <x:f>IF(OR(O801="",N801&gt;기본입력!$C$34),"",VLOOKUP(O801,기본입력!$A$9:$F$33,6,FALSE))</x:f>
        <x:v>Final 프로젝트__10</x:v>
      </x:c>
      <x:c r="J801" s="38" t="str">
        <x:f t="shared" si="72"/>
        <x:v>Final 프로젝트</x:v>
      </x:c>
      <x:c r="K801" s="38" t="str">
        <x:f t="shared" si="73"/>
        <x:v>1교육실(실습겸용강의실)</x:v>
      </x:c>
      <x:c r="L801" s="38" t="str">
        <x:f t="shared" si="74"/>
        <x:v>양현수</x:v>
      </x:c>
      <x:c r="M801" s="63"/>
      <x:c r="N801" s="30">
        <x:f>IF(F801="2","",COUNTIF($F$3:$F801,"=1"))</x:f>
        <x:v>710</x:v>
      </x:c>
      <x:c r="O801" s="30">
        <x:f t="shared" si="75"/>
        <x:v>10</x:v>
      </x:c>
      <x:c r="P801" s="30">
        <x:f t="shared" si="77"/>
        <x:v>0</x:v>
      </x:c>
      <x:c r="Q801" s="30">
        <x:f>COUNTIF($P$3:P801,"=3")</x:f>
        <x:v>89</x:v>
      </x:c>
      <x:c r="R801" s="29">
        <x:f>WORKDAY(기본입력!$H$2,Q801-1,공휴일)</x:f>
        <x:v>46055</x:v>
      </x:c>
    </x:row>
    <x:row r="802" spans="1:18">
      <x:c r="A802" s="144" t="str">
        <x:f t="shared" si="76"/>
        <x:v>20260202</x:v>
      </x:c>
      <x:c r="B802" s="6" t="s">
        <x:v>5</x:v>
      </x:c>
      <x:c r="C802" s="6">
        <x:v>1740</x:v>
      </x:c>
      <x:c r="D802" s="5" t="s">
        <x:v>1</x:v>
      </x:c>
      <x:c r="E802" s="6">
        <x:v>1540</x:v>
      </x:c>
      <x:c r="F802" s="6" t="s">
        <x:v>40</x:v>
      </x:c>
      <x:c r="G802" s="14" t="str">
        <x:f>IF(OR(N802="",N802&gt;기본입력!$C$34),"",VLOOKUP(O802,기본입력!$A$9:$F$33,5))</x:f>
        <x:v>양현수_53778</x:v>
      </x:c>
      <x:c r="H802" s="14" t="str">
        <x:f>IF(OR(N802="",N802&gt;기본입력!$C$34),"",기본입력!$C$6)</x:f>
        <x:v>1교육실(실습겸용강의실)_243089</x:v>
      </x:c>
      <x:c r="I802" s="14" t="str">
        <x:f>IF(OR(O802="",N802&gt;기본입력!$C$34),"",VLOOKUP(O802,기본입력!$A$9:$F$33,6,FALSE))</x:f>
        <x:v>Final 프로젝트__10</x:v>
      </x:c>
      <x:c r="J802" s="38" t="str">
        <x:f t="shared" si="72"/>
        <x:v>Final 프로젝트</x:v>
      </x:c>
      <x:c r="K802" s="38" t="str">
        <x:f t="shared" si="73"/>
        <x:v>1교육실(실습겸용강의실)</x:v>
      </x:c>
      <x:c r="L802" s="38" t="str">
        <x:f t="shared" si="74"/>
        <x:v>양현수</x:v>
      </x:c>
      <x:c r="M802" s="63"/>
      <x:c r="N802" s="30">
        <x:f>IF(F802="2","",COUNTIF($F$3:$F802,"=1"))</x:f>
        <x:v>711</x:v>
      </x:c>
      <x:c r="O802" s="30">
        <x:f t="shared" si="75"/>
        <x:v>10</x:v>
      </x:c>
      <x:c r="P802" s="30">
        <x:f t="shared" si="77"/>
        <x:v>1</x:v>
      </x:c>
      <x:c r="Q802" s="30">
        <x:f>COUNTIF($P$3:P802,"=3")</x:f>
        <x:v>89</x:v>
      </x:c>
      <x:c r="R802" s="29">
        <x:f>WORKDAY(기본입력!$H$2,Q802-1,공휴일)</x:f>
        <x:v>46055</x:v>
      </x:c>
    </x:row>
    <x:row r="803" spans="1:18">
      <x:c r="A803" s="144" t="str">
        <x:f t="shared" si="76"/>
        <x:v>20260202</x:v>
      </x:c>
      <x:c r="B803" s="6" t="s">
        <x:v>5</x:v>
      </x:c>
      <x:c r="C803" s="6">
        <x:v>1740</x:v>
      </x:c>
      <x:c r="D803" s="5" t="s">
        <x:v>1</x:v>
      </x:c>
      <x:c r="E803" s="6">
        <x:v>1640</x:v>
      </x:c>
      <x:c r="F803" s="6" t="s">
        <x:v>40</x:v>
      </x:c>
      <x:c r="G803" s="14" t="str">
        <x:f>IF(OR(N803="",N803&gt;기본입력!$C$34),"",VLOOKUP(O803,기본입력!$A$9:$F$33,5))</x:f>
        <x:v>양현수_53778</x:v>
      </x:c>
      <x:c r="H803" s="14" t="str">
        <x:f>IF(OR(N803="",N803&gt;기본입력!$C$34),"",기본입력!$C$6)</x:f>
        <x:v>1교육실(실습겸용강의실)_243089</x:v>
      </x:c>
      <x:c r="I803" s="14" t="str">
        <x:f>IF(OR(O803="",N803&gt;기본입력!$C$34),"",VLOOKUP(O803,기본입력!$A$9:$F$33,6,FALSE))</x:f>
        <x:v>Final 프로젝트__10</x:v>
      </x:c>
      <x:c r="J803" s="38" t="str">
        <x:f t="shared" si="72"/>
        <x:v>Final 프로젝트</x:v>
      </x:c>
      <x:c r="K803" s="38" t="str">
        <x:f t="shared" si="73"/>
        <x:v>1교육실(실습겸용강의실)</x:v>
      </x:c>
      <x:c r="L803" s="38" t="str">
        <x:f t="shared" si="74"/>
        <x:v>양현수</x:v>
      </x:c>
      <x:c r="M803" s="63"/>
      <x:c r="N803" s="30">
        <x:f>IF(F803="2","",COUNTIF($F$3:$F803,"=1"))</x:f>
        <x:v>712</x:v>
      </x:c>
      <x:c r="O803" s="30">
        <x:f t="shared" si="75"/>
        <x:v>10</x:v>
      </x:c>
      <x:c r="P803" s="30">
        <x:f t="shared" si="77"/>
        <x:v>2</x:v>
      </x:c>
      <x:c r="Q803" s="30">
        <x:f>COUNTIF($P$3:P803,"=3")</x:f>
        <x:v>89</x:v>
      </x:c>
      <x:c r="R803" s="29">
        <x:f>WORKDAY(기본입력!$H$2,Q803-1,공휴일)</x:f>
        <x:v>46055</x:v>
      </x:c>
    </x:row>
    <x:row r="804" spans="1:18">
      <x:c r="A804" s="145" t="str">
        <x:f t="shared" si="76"/>
        <x:v>20260203</x:v>
      </x:c>
      <x:c r="B804" s="8" t="s">
        <x:v>5</x:v>
      </x:c>
      <x:c r="C804" s="8">
        <x:v>1740</x:v>
      </x:c>
      <x:c r="D804" s="7" t="s">
        <x:v>1</x:v>
      </x:c>
      <x:c r="E804" s="8" t="s">
        <x:v>5</x:v>
      </x:c>
      <x:c r="F804" s="8" t="s">
        <x:v>40</x:v>
      </x:c>
      <x:c r="G804" s="15" t="str">
        <x:f>IF(OR(N804="",N804&gt;기본입력!$C$34),"",VLOOKUP(O804,기본입력!$A$9:$F$33,5))</x:f>
        <x:v>양현수_53778</x:v>
      </x:c>
      <x:c r="H804" s="15" t="str">
        <x:f>IF(OR(N804="",N804&gt;기본입력!$C$34),"",기본입력!$C$6)</x:f>
        <x:v>1교육실(실습겸용강의실)_243089</x:v>
      </x:c>
      <x:c r="I804" s="15" t="str">
        <x:f>IF(OR(O804="",N804&gt;기본입력!$C$34),"",VLOOKUP(O804,기본입력!$A$9:$F$33,6,FALSE))</x:f>
        <x:v>Final 프로젝트__10</x:v>
      </x:c>
      <x:c r="J804" s="38" t="str">
        <x:f t="shared" si="72"/>
        <x:v>Final 프로젝트</x:v>
      </x:c>
      <x:c r="K804" s="38" t="str">
        <x:f t="shared" si="73"/>
        <x:v>1교육실(실습겸용강의실)</x:v>
      </x:c>
      <x:c r="L804" s="38" t="str">
        <x:f t="shared" si="74"/>
        <x:v>양현수</x:v>
      </x:c>
      <x:c r="M804" s="63"/>
      <x:c r="N804" s="30">
        <x:f>IF(F804="2","",COUNTIF($F$3:$F804,"=1"))</x:f>
        <x:v>713</x:v>
      </x:c>
      <x:c r="O804" s="30">
        <x:f t="shared" si="75"/>
        <x:v>10</x:v>
      </x:c>
      <x:c r="P804" s="30">
        <x:f t="shared" si="77"/>
        <x:v>3</x:v>
      </x:c>
      <x:c r="Q804" s="30">
        <x:f>COUNTIF($P$3:P804,"=3")</x:f>
        <x:v>90</x:v>
      </x:c>
      <x:c r="R804" s="29">
        <x:f>WORKDAY(기본입력!$H$2,Q804-1,공휴일)</x:f>
        <x:v>46056</x:v>
      </x:c>
    </x:row>
    <x:row r="805" spans="1:18">
      <x:c r="A805" s="145" t="str">
        <x:f t="shared" si="76"/>
        <x:v>20260203</x:v>
      </x:c>
      <x:c r="B805" s="8" t="s">
        <x:v>5</x:v>
      </x:c>
      <x:c r="C805" s="8">
        <x:v>1740</x:v>
      </x:c>
      <x:c r="D805" s="7" t="s">
        <x:v>1</x:v>
      </x:c>
      <x:c r="E805" s="8" t="s">
        <x:v>117</x:v>
      </x:c>
      <x:c r="F805" s="8" t="s">
        <x:v>40</x:v>
      </x:c>
      <x:c r="G805" s="15" t="str">
        <x:f>IF(OR(N805="",N805&gt;기본입력!$C$34),"",VLOOKUP(O805,기본입력!$A$9:$F$33,5))</x:f>
        <x:v>양현수_53778</x:v>
      </x:c>
      <x:c r="H805" s="15" t="str">
        <x:f>IF(OR(N805="",N805&gt;기본입력!$C$34),"",기본입력!$C$6)</x:f>
        <x:v>1교육실(실습겸용강의실)_243089</x:v>
      </x:c>
      <x:c r="I805" s="15" t="str">
        <x:f>IF(OR(O805="",N805&gt;기본입력!$C$34),"",VLOOKUP(O805,기본입력!$A$9:$F$33,6,FALSE))</x:f>
        <x:v>Final 프로젝트__10</x:v>
      </x:c>
      <x:c r="J805" s="38" t="str">
        <x:f t="shared" si="72"/>
        <x:v>Final 프로젝트</x:v>
      </x:c>
      <x:c r="K805" s="38" t="str">
        <x:f t="shared" si="73"/>
        <x:v>1교육실(실습겸용강의실)</x:v>
      </x:c>
      <x:c r="L805" s="38" t="str">
        <x:f t="shared" si="74"/>
        <x:v>양현수</x:v>
      </x:c>
      <x:c r="M805" s="63"/>
      <x:c r="N805" s="30">
        <x:f>IF(F805="2","",COUNTIF($F$3:$F805,"=1"))</x:f>
        <x:v>714</x:v>
      </x:c>
      <x:c r="O805" s="30">
        <x:f t="shared" si="75"/>
        <x:v>10</x:v>
      </x:c>
      <x:c r="P805" s="30">
        <x:f t="shared" si="77"/>
        <x:v>4</x:v>
      </x:c>
      <x:c r="Q805" s="30">
        <x:f>COUNTIF($P$3:P805,"=3")</x:f>
        <x:v>90</x:v>
      </x:c>
      <x:c r="R805" s="29">
        <x:f>WORKDAY(기본입력!$H$2,Q805-1,공휴일)</x:f>
        <x:v>46056</x:v>
      </x:c>
    </x:row>
    <x:row r="806" spans="1:18">
      <x:c r="A806" s="145" t="str">
        <x:f t="shared" si="76"/>
        <x:v>20260203</x:v>
      </x:c>
      <x:c r="B806" s="8" t="s">
        <x:v>5</x:v>
      </x:c>
      <x:c r="C806" s="8">
        <x:v>1740</x:v>
      </x:c>
      <x:c r="D806" s="7" t="s">
        <x:v>1</x:v>
      </x:c>
      <x:c r="E806" s="8" t="s">
        <x:v>87</x:v>
      </x:c>
      <x:c r="F806" s="8" t="s">
        <x:v>40</x:v>
      </x:c>
      <x:c r="G806" s="15" t="str">
        <x:f>IF(OR(N806="",N806&gt;기본입력!$C$34),"",VLOOKUP(O806,기본입력!$A$9:$F$33,5))</x:f>
        <x:v>양현수_53778</x:v>
      </x:c>
      <x:c r="H806" s="15" t="str">
        <x:f>IF(OR(N806="",N806&gt;기본입력!$C$34),"",기본입력!$C$6)</x:f>
        <x:v>1교육실(실습겸용강의실)_243089</x:v>
      </x:c>
      <x:c r="I806" s="15" t="str">
        <x:f>IF(OR(O806="",N806&gt;기본입력!$C$34),"",VLOOKUP(O806,기본입력!$A$9:$F$33,6,FALSE))</x:f>
        <x:v>Final 프로젝트__10</x:v>
      </x:c>
      <x:c r="J806" s="38" t="str">
        <x:f t="shared" si="72"/>
        <x:v>Final 프로젝트</x:v>
      </x:c>
      <x:c r="K806" s="38" t="str">
        <x:f t="shared" si="73"/>
        <x:v>1교육실(실습겸용강의실)</x:v>
      </x:c>
      <x:c r="L806" s="38" t="str">
        <x:f t="shared" si="74"/>
        <x:v>양현수</x:v>
      </x:c>
      <x:c r="M806" s="63"/>
      <x:c r="N806" s="30">
        <x:f>IF(F806="2","",COUNTIF($F$3:$F806,"=1"))</x:f>
        <x:v>715</x:v>
      </x:c>
      <x:c r="O806" s="30">
        <x:f t="shared" si="75"/>
        <x:v>10</x:v>
      </x:c>
      <x:c r="P806" s="30">
        <x:f t="shared" si="77"/>
        <x:v>5</x:v>
      </x:c>
      <x:c r="Q806" s="30">
        <x:f>COUNTIF($P$3:P806,"=3")</x:f>
        <x:v>90</x:v>
      </x:c>
      <x:c r="R806" s="29">
        <x:f>WORKDAY(기본입력!$H$2,Q806-1,공휴일)</x:f>
        <x:v>46056</x:v>
      </x:c>
    </x:row>
    <x:row r="807" spans="1:18">
      <x:c r="A807" s="145" t="str">
        <x:f t="shared" si="76"/>
        <x:v>20260203</x:v>
      </x:c>
      <x:c r="B807" s="8" t="s">
        <x:v>5</x:v>
      </x:c>
      <x:c r="C807" s="8">
        <x:v>1740</x:v>
      </x:c>
      <x:c r="D807" s="7" t="s">
        <x:v>1</x:v>
      </x:c>
      <x:c r="E807" s="8" t="s">
        <x:v>88</x:v>
      </x:c>
      <x:c r="F807" s="8" t="s">
        <x:v>40</x:v>
      </x:c>
      <x:c r="G807" s="15" t="str">
        <x:f>IF(OR(N807="",N807&gt;기본입력!$C$34),"",VLOOKUP(O807,기본입력!$A$9:$F$33,5))</x:f>
        <x:v>양현수_53778</x:v>
      </x:c>
      <x:c r="H807" s="15" t="str">
        <x:f>IF(OR(N807="",N807&gt;기본입력!$C$34),"",기본입력!$C$6)</x:f>
        <x:v>1교육실(실습겸용강의실)_243089</x:v>
      </x:c>
      <x:c r="I807" s="15" t="str">
        <x:f>IF(OR(O807="",N807&gt;기본입력!$C$34),"",VLOOKUP(O807,기본입력!$A$9:$F$33,6,FALSE))</x:f>
        <x:v>Final 프로젝트__10</x:v>
      </x:c>
      <x:c r="J807" s="38" t="str">
        <x:f t="shared" si="72"/>
        <x:v>Final 프로젝트</x:v>
      </x:c>
      <x:c r="K807" s="38" t="str">
        <x:f t="shared" si="73"/>
        <x:v>1교육실(실습겸용강의실)</x:v>
      </x:c>
      <x:c r="L807" s="38" t="str">
        <x:f t="shared" si="74"/>
        <x:v>양현수</x:v>
      </x:c>
      <x:c r="M807" s="63"/>
      <x:c r="N807" s="30">
        <x:f>IF(F807="2","",COUNTIF($F$3:$F807,"=1"))</x:f>
        <x:v>716</x:v>
      </x:c>
      <x:c r="O807" s="30">
        <x:f t="shared" si="75"/>
        <x:v>10</x:v>
      </x:c>
      <x:c r="P807" s="30">
        <x:f t="shared" si="77"/>
        <x:v>6</x:v>
      </x:c>
      <x:c r="Q807" s="30">
        <x:f>COUNTIF($P$3:P807,"=3")</x:f>
        <x:v>90</x:v>
      </x:c>
      <x:c r="R807" s="29">
        <x:f>WORKDAY(기본입력!$H$2,Q807-1,공휴일)</x:f>
        <x:v>46056</x:v>
      </x:c>
    </x:row>
    <x:row r="808" spans="1:18">
      <x:c r="A808" s="145" t="str">
        <x:f t="shared" si="76"/>
        <x:v>20260203</x:v>
      </x:c>
      <x:c r="B808" s="8" t="s">
        <x:v>5</x:v>
      </x:c>
      <x:c r="C808" s="8">
        <x:v>1740</x:v>
      </x:c>
      <x:c r="D808" s="7" t="s">
        <x:v>1</x:v>
      </x:c>
      <x:c r="E808" s="8" t="s">
        <x:v>0</x:v>
      </x:c>
      <x:c r="F808" s="8" t="s">
        <x:v>41</x:v>
      </x:c>
      <x:c r="G808" s="15" t="str">
        <x:f>IF(OR(N808="",N808&gt;기본입력!$C$34),"",VLOOKUP(O808,기본입력!$A$9:$F$33,5))</x:f>
        <x:v/>
      </x:c>
      <x:c r="H808" s="15" t="str">
        <x:f>IF(OR(N808="",N808&gt;기본입력!$C$34),"",기본입력!$C$6)</x:f>
        <x:v/>
      </x:c>
      <x:c r="I808" s="15" t="str">
        <x:f>IF(OR(O808="",N808&gt;기본입력!$C$34),"",VLOOKUP(O808,기본입력!$A$9:$F$33,6,FALSE))</x:f>
        <x:v/>
      </x:c>
      <x:c r="J808" s="38" t="str">
        <x:f t="shared" si="72"/>
        <x:v/>
      </x:c>
      <x:c r="K808" s="38" t="str">
        <x:f t="shared" si="73"/>
        <x:v/>
      </x:c>
      <x:c r="L808" s="38" t="str">
        <x:f t="shared" si="74"/>
        <x:v/>
      </x:c>
      <x:c r="M808" s="63"/>
      <x:c r="N808" s="30" t="str">
        <x:f>IF(F808="2","",COUNTIF($F$3:$F808,"=1"))</x:f>
        <x:v/>
      </x:c>
      <x:c r="O808" s="30" t="str">
        <x:f t="shared" si="75"/>
        <x:v/>
      </x:c>
      <x:c r="P808" s="30">
        <x:f t="shared" si="77"/>
        <x:v>7</x:v>
      </x:c>
      <x:c r="Q808" s="30">
        <x:f>COUNTIF($P$3:P808,"=3")</x:f>
        <x:v>90</x:v>
      </x:c>
      <x:c r="R808" s="29">
        <x:f>WORKDAY(기본입력!$H$2,Q808-1,공휴일)</x:f>
        <x:v>46056</x:v>
      </x:c>
    </x:row>
    <x:row r="809" spans="1:18">
      <x:c r="A809" s="145" t="str">
        <x:f t="shared" si="76"/>
        <x:v>20260203</x:v>
      </x:c>
      <x:c r="B809" s="8" t="s">
        <x:v>5</x:v>
      </x:c>
      <x:c r="C809" s="8">
        <x:v>1740</x:v>
      </x:c>
      <x:c r="D809" s="7" t="s">
        <x:v>1</x:v>
      </x:c>
      <x:c r="E809" s="8">
        <x:v>1340</x:v>
      </x:c>
      <x:c r="F809" s="8" t="s">
        <x:v>40</x:v>
      </x:c>
      <x:c r="G809" s="15" t="str">
        <x:f>IF(OR(N809="",N809&gt;기본입력!$C$34),"",VLOOKUP(O809,기본입력!$A$9:$F$33,5))</x:f>
        <x:v>양현수_53778</x:v>
      </x:c>
      <x:c r="H809" s="15" t="str">
        <x:f>IF(OR(N809="",N809&gt;기본입력!$C$34),"",기본입력!$C$6)</x:f>
        <x:v>1교육실(실습겸용강의실)_243089</x:v>
      </x:c>
      <x:c r="I809" s="15" t="str">
        <x:f>IF(OR(O809="",N809&gt;기본입력!$C$34),"",VLOOKUP(O809,기본입력!$A$9:$F$33,6,FALSE))</x:f>
        <x:v>Final 프로젝트__10</x:v>
      </x:c>
      <x:c r="J809" s="38" t="str">
        <x:f t="shared" si="72"/>
        <x:v>Final 프로젝트</x:v>
      </x:c>
      <x:c r="K809" s="38" t="str">
        <x:f t="shared" si="73"/>
        <x:v>1교육실(실습겸용강의실)</x:v>
      </x:c>
      <x:c r="L809" s="38" t="str">
        <x:f t="shared" si="74"/>
        <x:v>양현수</x:v>
      </x:c>
      <x:c r="M809" s="63"/>
      <x:c r="N809" s="30">
        <x:f>IF(F809="2","",COUNTIF($F$3:$F809,"=1"))</x:f>
        <x:v>717</x:v>
      </x:c>
      <x:c r="O809" s="30">
        <x:f t="shared" si="75"/>
        <x:v>10</x:v>
      </x:c>
      <x:c r="P809" s="30">
        <x:f t="shared" si="77"/>
        <x:v>8</x:v>
      </x:c>
      <x:c r="Q809" s="30">
        <x:f>COUNTIF($P$3:P809,"=3")</x:f>
        <x:v>90</x:v>
      </x:c>
      <x:c r="R809" s="29">
        <x:f>WORKDAY(기본입력!$H$2,Q809-1,공휴일)</x:f>
        <x:v>46056</x:v>
      </x:c>
    </x:row>
    <x:row r="810" spans="1:18">
      <x:c r="A810" s="145" t="str">
        <x:f t="shared" si="76"/>
        <x:v>20260203</x:v>
      </x:c>
      <x:c r="B810" s="8" t="s">
        <x:v>5</x:v>
      </x:c>
      <x:c r="C810" s="8">
        <x:v>1740</x:v>
      </x:c>
      <x:c r="D810" s="7" t="s">
        <x:v>1</x:v>
      </x:c>
      <x:c r="E810" s="8">
        <x:v>1440</x:v>
      </x:c>
      <x:c r="F810" s="8" t="s">
        <x:v>40</x:v>
      </x:c>
      <x:c r="G810" s="15" t="str">
        <x:f>IF(OR(N810="",N810&gt;기본입력!$C$34),"",VLOOKUP(O810,기본입력!$A$9:$F$33,5))</x:f>
        <x:v>양현수_53778</x:v>
      </x:c>
      <x:c r="H810" s="15" t="str">
        <x:f>IF(OR(N810="",N810&gt;기본입력!$C$34),"",기본입력!$C$6)</x:f>
        <x:v>1교육실(실습겸용강의실)_243089</x:v>
      </x:c>
      <x:c r="I810" s="15" t="str">
        <x:f>IF(OR(O810="",N810&gt;기본입력!$C$34),"",VLOOKUP(O810,기본입력!$A$9:$F$33,6,FALSE))</x:f>
        <x:v>Final 프로젝트__10</x:v>
      </x:c>
      <x:c r="J810" s="38" t="str">
        <x:f t="shared" si="72"/>
        <x:v>Final 프로젝트</x:v>
      </x:c>
      <x:c r="K810" s="38" t="str">
        <x:f t="shared" si="73"/>
        <x:v>1교육실(실습겸용강의실)</x:v>
      </x:c>
      <x:c r="L810" s="38" t="str">
        <x:f t="shared" si="74"/>
        <x:v>양현수</x:v>
      </x:c>
      <x:c r="M810" s="63"/>
      <x:c r="N810" s="30">
        <x:f>IF(F810="2","",COUNTIF($F$3:$F810,"=1"))</x:f>
        <x:v>718</x:v>
      </x:c>
      <x:c r="O810" s="30">
        <x:f t="shared" si="75"/>
        <x:v>10</x:v>
      </x:c>
      <x:c r="P810" s="30">
        <x:f t="shared" si="77"/>
        <x:v>0</x:v>
      </x:c>
      <x:c r="Q810" s="30">
        <x:f>COUNTIF($P$3:P810,"=3")</x:f>
        <x:v>90</x:v>
      </x:c>
      <x:c r="R810" s="29">
        <x:f>WORKDAY(기본입력!$H$2,Q810-1,공휴일)</x:f>
        <x:v>46056</x:v>
      </x:c>
    </x:row>
    <x:row r="811" spans="1:18">
      <x:c r="A811" s="145" t="str">
        <x:f t="shared" si="76"/>
        <x:v>20260203</x:v>
      </x:c>
      <x:c r="B811" s="8" t="s">
        <x:v>5</x:v>
      </x:c>
      <x:c r="C811" s="8">
        <x:v>1740</x:v>
      </x:c>
      <x:c r="D811" s="7" t="s">
        <x:v>1</x:v>
      </x:c>
      <x:c r="E811" s="8">
        <x:v>1540</x:v>
      </x:c>
      <x:c r="F811" s="8" t="s">
        <x:v>40</x:v>
      </x:c>
      <x:c r="G811" s="15" t="str">
        <x:f>IF(OR(N811="",N811&gt;기본입력!$C$34),"",VLOOKUP(O811,기본입력!$A$9:$F$33,5))</x:f>
        <x:v>양현수_53778</x:v>
      </x:c>
      <x:c r="H811" s="15" t="str">
        <x:f>IF(OR(N811="",N811&gt;기본입력!$C$34),"",기본입력!$C$6)</x:f>
        <x:v>1교육실(실습겸용강의실)_243089</x:v>
      </x:c>
      <x:c r="I811" s="15" t="str">
        <x:f>IF(OR(O811="",N811&gt;기본입력!$C$34),"",VLOOKUP(O811,기본입력!$A$9:$F$33,6,FALSE))</x:f>
        <x:v>Final 프로젝트__10</x:v>
      </x:c>
      <x:c r="J811" s="38" t="str">
        <x:f t="shared" si="72"/>
        <x:v>Final 프로젝트</x:v>
      </x:c>
      <x:c r="K811" s="38" t="str">
        <x:f t="shared" si="73"/>
        <x:v>1교육실(실습겸용강의실)</x:v>
      </x:c>
      <x:c r="L811" s="38" t="str">
        <x:f t="shared" si="74"/>
        <x:v>양현수</x:v>
      </x:c>
      <x:c r="M811" s="63"/>
      <x:c r="N811" s="30">
        <x:f>IF(F811="2","",COUNTIF($F$3:$F811,"=1"))</x:f>
        <x:v>719</x:v>
      </x:c>
      <x:c r="O811" s="30">
        <x:f t="shared" si="75"/>
        <x:v>10</x:v>
      </x:c>
      <x:c r="P811" s="30">
        <x:f t="shared" si="77"/>
        <x:v>1</x:v>
      </x:c>
      <x:c r="Q811" s="30">
        <x:f>COUNTIF($P$3:P811,"=3")</x:f>
        <x:v>90</x:v>
      </x:c>
      <x:c r="R811" s="29">
        <x:f>WORKDAY(기본입력!$H$2,Q811-1,공휴일)</x:f>
        <x:v>46056</x:v>
      </x:c>
    </x:row>
    <x:row r="812" spans="1:18">
      <x:c r="A812" s="145" t="str">
        <x:f t="shared" si="76"/>
        <x:v>20260203</x:v>
      </x:c>
      <x:c r="B812" s="8" t="s">
        <x:v>5</x:v>
      </x:c>
      <x:c r="C812" s="8">
        <x:v>1740</x:v>
      </x:c>
      <x:c r="D812" s="7" t="s">
        <x:v>1</x:v>
      </x:c>
      <x:c r="E812" s="8">
        <x:v>1640</x:v>
      </x:c>
      <x:c r="F812" s="8" t="s">
        <x:v>40</x:v>
      </x:c>
      <x:c r="G812" s="15" t="str">
        <x:f>IF(OR(N812="",N812&gt;기본입력!$C$34),"",VLOOKUP(O812,기본입력!$A$9:$F$33,5))</x:f>
        <x:v>양현수_53778</x:v>
      </x:c>
      <x:c r="H812" s="15" t="str">
        <x:f>IF(OR(N812="",N812&gt;기본입력!$C$34),"",기본입력!$C$6)</x:f>
        <x:v>1교육실(실습겸용강의실)_243089</x:v>
      </x:c>
      <x:c r="I812" s="15" t="str">
        <x:f>IF(OR(O812="",N812&gt;기본입력!$C$34),"",VLOOKUP(O812,기본입력!$A$9:$F$33,6,FALSE))</x:f>
        <x:v>Final 프로젝트__10</x:v>
      </x:c>
      <x:c r="J812" s="38" t="str">
        <x:f t="shared" si="72"/>
        <x:v>Final 프로젝트</x:v>
      </x:c>
      <x:c r="K812" s="38" t="str">
        <x:f t="shared" si="73"/>
        <x:v>1교육실(실습겸용강의실)</x:v>
      </x:c>
      <x:c r="L812" s="38" t="str">
        <x:f t="shared" si="74"/>
        <x:v>양현수</x:v>
      </x:c>
      <x:c r="M812" s="63"/>
      <x:c r="N812" s="30">
        <x:f>IF(F812="2","",COUNTIF($F$3:$F812,"=1"))</x:f>
        <x:v>720</x:v>
      </x:c>
      <x:c r="O812" s="30">
        <x:f t="shared" si="75"/>
        <x:v>10</x:v>
      </x:c>
      <x:c r="P812" s="30">
        <x:f t="shared" si="77"/>
        <x:v>2</x:v>
      </x:c>
      <x:c r="Q812" s="30">
        <x:f>COUNTIF($P$3:P812,"=3")</x:f>
        <x:v>90</x:v>
      </x:c>
      <x:c r="R812" s="29">
        <x:f>WORKDAY(기본입력!$H$2,Q812-1,공휴일)</x:f>
        <x:v>46056</x:v>
      </x:c>
    </x:row>
    <x:row r="813" spans="1:18">
      <x:c r="A813" s="144" t="str">
        <x:f t="shared" si="76"/>
        <x:v>20260204</x:v>
      </x:c>
      <x:c r="B813" s="6" t="s">
        <x:v>5</x:v>
      </x:c>
      <x:c r="C813" s="6">
        <x:v>1740</x:v>
      </x:c>
      <x:c r="D813" s="5" t="s">
        <x:v>1</x:v>
      </x:c>
      <x:c r="E813" s="6" t="s">
        <x:v>5</x:v>
      </x:c>
      <x:c r="F813" s="6" t="s">
        <x:v>40</x:v>
      </x:c>
      <x:c r="G813" s="14" t="str">
        <x:f>IF(OR(N813="",N813&gt;기본입력!$C$34),"",VLOOKUP(O813,기본입력!$A$9:$F$33,5))</x:f>
        <x:v>양현수_53778</x:v>
      </x:c>
      <x:c r="H813" s="14" t="str">
        <x:f>IF(OR(N813="",N813&gt;기본입력!$C$34),"",기본입력!$C$6)</x:f>
        <x:v>1교육실(실습겸용강의실)_243089</x:v>
      </x:c>
      <x:c r="I813" s="14" t="str">
        <x:f>IF(OR(O813="",N813&gt;기본입력!$C$34),"",VLOOKUP(O813,기본입력!$A$9:$F$33,6,FALSE))</x:f>
        <x:v>Final 프로젝트__10</x:v>
      </x:c>
      <x:c r="J813" s="38" t="str">
        <x:f t="shared" si="72"/>
        <x:v>Final 프로젝트</x:v>
      </x:c>
      <x:c r="K813" s="38" t="str">
        <x:f t="shared" si="73"/>
        <x:v>1교육실(실습겸용강의실)</x:v>
      </x:c>
      <x:c r="L813" s="38" t="str">
        <x:f t="shared" si="74"/>
        <x:v>양현수</x:v>
      </x:c>
      <x:c r="M813" s="63"/>
      <x:c r="N813" s="30">
        <x:f>IF(F813="2","",COUNTIF($F$3:$F813,"=1"))</x:f>
        <x:v>721</x:v>
      </x:c>
      <x:c r="O813" s="30">
        <x:f t="shared" si="75"/>
        <x:v>10</x:v>
      </x:c>
      <x:c r="P813" s="30">
        <x:f t="shared" si="77"/>
        <x:v>3</x:v>
      </x:c>
      <x:c r="Q813" s="30">
        <x:f>COUNTIF($P$3:P813,"=3")</x:f>
        <x:v>91</x:v>
      </x:c>
      <x:c r="R813" s="29">
        <x:f>WORKDAY(기본입력!$H$2,Q813-1,공휴일)</x:f>
        <x:v>46057</x:v>
      </x:c>
    </x:row>
    <x:row r="814" spans="1:18">
      <x:c r="A814" s="144" t="str">
        <x:f t="shared" si="76"/>
        <x:v>20260204</x:v>
      </x:c>
      <x:c r="B814" s="6" t="s">
        <x:v>5</x:v>
      </x:c>
      <x:c r="C814" s="6">
        <x:v>1740</x:v>
      </x:c>
      <x:c r="D814" s="5" t="s">
        <x:v>1</x:v>
      </x:c>
      <x:c r="E814" s="6" t="s">
        <x:v>117</x:v>
      </x:c>
      <x:c r="F814" s="6" t="s">
        <x:v>40</x:v>
      </x:c>
      <x:c r="G814" s="14" t="str">
        <x:f>IF(OR(N814="",N814&gt;기본입력!$C$34),"",VLOOKUP(O814,기본입력!$A$9:$F$33,5))</x:f>
        <x:v>양현수_53778</x:v>
      </x:c>
      <x:c r="H814" s="14" t="str">
        <x:f>IF(OR(N814="",N814&gt;기본입력!$C$34),"",기본입력!$C$6)</x:f>
        <x:v>1교육실(실습겸용강의실)_243089</x:v>
      </x:c>
      <x:c r="I814" s="14" t="str">
        <x:f>IF(OR(O814="",N814&gt;기본입력!$C$34),"",VLOOKUP(O814,기본입력!$A$9:$F$33,6,FALSE))</x:f>
        <x:v>Final 프로젝트__10</x:v>
      </x:c>
      <x:c r="J814" s="38" t="str">
        <x:f t="shared" si="72"/>
        <x:v>Final 프로젝트</x:v>
      </x:c>
      <x:c r="K814" s="38" t="str">
        <x:f t="shared" si="73"/>
        <x:v>1교육실(실습겸용강의실)</x:v>
      </x:c>
      <x:c r="L814" s="38" t="str">
        <x:f t="shared" si="74"/>
        <x:v>양현수</x:v>
      </x:c>
      <x:c r="M814" s="63"/>
      <x:c r="N814" s="30">
        <x:f>IF(F814="2","",COUNTIF($F$3:$F814,"=1"))</x:f>
        <x:v>722</x:v>
      </x:c>
      <x:c r="O814" s="30">
        <x:f t="shared" si="75"/>
        <x:v>10</x:v>
      </x:c>
      <x:c r="P814" s="30">
        <x:f t="shared" si="77"/>
        <x:v>4</x:v>
      </x:c>
      <x:c r="Q814" s="30">
        <x:f>COUNTIF($P$3:P814,"=3")</x:f>
        <x:v>91</x:v>
      </x:c>
      <x:c r="R814" s="29">
        <x:f>WORKDAY(기본입력!$H$2,Q814-1,공휴일)</x:f>
        <x:v>46057</x:v>
      </x:c>
    </x:row>
    <x:row r="815" spans="1:18">
      <x:c r="A815" s="144" t="str">
        <x:f t="shared" si="76"/>
        <x:v>20260204</x:v>
      </x:c>
      <x:c r="B815" s="6" t="s">
        <x:v>5</x:v>
      </x:c>
      <x:c r="C815" s="6">
        <x:v>1740</x:v>
      </x:c>
      <x:c r="D815" s="5" t="s">
        <x:v>1</x:v>
      </x:c>
      <x:c r="E815" s="6" t="s">
        <x:v>87</x:v>
      </x:c>
      <x:c r="F815" s="6" t="s">
        <x:v>40</x:v>
      </x:c>
      <x:c r="G815" s="14" t="str">
        <x:f>IF(OR(N815="",N815&gt;기본입력!$C$34),"",VLOOKUP(O815,기본입력!$A$9:$F$33,5))</x:f>
        <x:v>양현수_53778</x:v>
      </x:c>
      <x:c r="H815" s="14" t="str">
        <x:f>IF(OR(N815="",N815&gt;기본입력!$C$34),"",기본입력!$C$6)</x:f>
        <x:v>1교육실(실습겸용강의실)_243089</x:v>
      </x:c>
      <x:c r="I815" s="14" t="str">
        <x:f>IF(OR(O815="",N815&gt;기본입력!$C$34),"",VLOOKUP(O815,기본입력!$A$9:$F$33,6,FALSE))</x:f>
        <x:v>Final 프로젝트__10</x:v>
      </x:c>
      <x:c r="J815" s="38" t="str">
        <x:f t="shared" si="72"/>
        <x:v>Final 프로젝트</x:v>
      </x:c>
      <x:c r="K815" s="38" t="str">
        <x:f t="shared" si="73"/>
        <x:v>1교육실(실습겸용강의실)</x:v>
      </x:c>
      <x:c r="L815" s="38" t="str">
        <x:f t="shared" si="74"/>
        <x:v>양현수</x:v>
      </x:c>
      <x:c r="M815" s="63"/>
      <x:c r="N815" s="30">
        <x:f>IF(F815="2","",COUNTIF($F$3:$F815,"=1"))</x:f>
        <x:v>723</x:v>
      </x:c>
      <x:c r="O815" s="30">
        <x:f t="shared" si="75"/>
        <x:v>10</x:v>
      </x:c>
      <x:c r="P815" s="30">
        <x:f t="shared" si="77"/>
        <x:v>5</x:v>
      </x:c>
      <x:c r="Q815" s="30">
        <x:f>COUNTIF($P$3:P815,"=3")</x:f>
        <x:v>91</x:v>
      </x:c>
      <x:c r="R815" s="29">
        <x:f>WORKDAY(기본입력!$H$2,Q815-1,공휴일)</x:f>
        <x:v>46057</x:v>
      </x:c>
    </x:row>
    <x:row r="816" spans="1:18">
      <x:c r="A816" s="144" t="str">
        <x:f t="shared" si="76"/>
        <x:v>20260204</x:v>
      </x:c>
      <x:c r="B816" s="6" t="s">
        <x:v>5</x:v>
      </x:c>
      <x:c r="C816" s="6">
        <x:v>1740</x:v>
      </x:c>
      <x:c r="D816" s="5" t="s">
        <x:v>1</x:v>
      </x:c>
      <x:c r="E816" s="6" t="s">
        <x:v>88</x:v>
      </x:c>
      <x:c r="F816" s="6" t="s">
        <x:v>40</x:v>
      </x:c>
      <x:c r="G816" s="14" t="str">
        <x:f>IF(OR(N816="",N816&gt;기본입력!$C$34),"",VLOOKUP(O816,기본입력!$A$9:$F$33,5))</x:f>
        <x:v>양현수_53778</x:v>
      </x:c>
      <x:c r="H816" s="14" t="str">
        <x:f>IF(OR(N816="",N816&gt;기본입력!$C$34),"",기본입력!$C$6)</x:f>
        <x:v>1교육실(실습겸용강의실)_243089</x:v>
      </x:c>
      <x:c r="I816" s="14" t="str">
        <x:f>IF(OR(O816="",N816&gt;기본입력!$C$34),"",VLOOKUP(O816,기본입력!$A$9:$F$33,6,FALSE))</x:f>
        <x:v>Final 프로젝트__10</x:v>
      </x:c>
      <x:c r="J816" s="38" t="str">
        <x:f t="shared" si="72"/>
        <x:v>Final 프로젝트</x:v>
      </x:c>
      <x:c r="K816" s="38" t="str">
        <x:f t="shared" si="73"/>
        <x:v>1교육실(실습겸용강의실)</x:v>
      </x:c>
      <x:c r="L816" s="38" t="str">
        <x:f t="shared" si="74"/>
        <x:v>양현수</x:v>
      </x:c>
      <x:c r="M816" s="63"/>
      <x:c r="N816" s="30">
        <x:f>IF(F816="2","",COUNTIF($F$3:$F816,"=1"))</x:f>
        <x:v>724</x:v>
      </x:c>
      <x:c r="O816" s="30">
        <x:f t="shared" si="75"/>
        <x:v>10</x:v>
      </x:c>
      <x:c r="P816" s="30">
        <x:f t="shared" si="77"/>
        <x:v>6</x:v>
      </x:c>
      <x:c r="Q816" s="30">
        <x:f>COUNTIF($P$3:P816,"=3")</x:f>
        <x:v>91</x:v>
      </x:c>
      <x:c r="R816" s="29">
        <x:f>WORKDAY(기본입력!$H$2,Q816-1,공휴일)</x:f>
        <x:v>46057</x:v>
      </x:c>
    </x:row>
    <x:row r="817" spans="1:18">
      <x:c r="A817" s="144" t="str">
        <x:f t="shared" si="76"/>
        <x:v>20260204</x:v>
      </x:c>
      <x:c r="B817" s="6" t="s">
        <x:v>5</x:v>
      </x:c>
      <x:c r="C817" s="6">
        <x:v>1740</x:v>
      </x:c>
      <x:c r="D817" s="5" t="s">
        <x:v>1</x:v>
      </x:c>
      <x:c r="E817" s="6" t="s">
        <x:v>0</x:v>
      </x:c>
      <x:c r="F817" s="6" t="s">
        <x:v>41</x:v>
      </x:c>
      <x:c r="G817" s="14" t="str">
        <x:f>IF(OR(N817="",N817&gt;기본입력!$C$34),"",VLOOKUP(O817,기본입력!$A$9:$F$33,5))</x:f>
        <x:v/>
      </x:c>
      <x:c r="H817" s="14" t="str">
        <x:f>IF(OR(N817="",N817&gt;기본입력!$C$34),"",기본입력!$C$6)</x:f>
        <x:v/>
      </x:c>
      <x:c r="I817" s="14" t="str">
        <x:f>IF(OR(O817="",N817&gt;기본입력!$C$34),"",VLOOKUP(O817,기본입력!$A$9:$F$33,6,FALSE))</x:f>
        <x:v/>
      </x:c>
      <x:c r="J817" s="38" t="str">
        <x:f t="shared" si="72"/>
        <x:v/>
      </x:c>
      <x:c r="K817" s="38" t="str">
        <x:f t="shared" si="73"/>
        <x:v/>
      </x:c>
      <x:c r="L817" s="38" t="str">
        <x:f t="shared" si="74"/>
        <x:v/>
      </x:c>
      <x:c r="M817" s="63"/>
      <x:c r="N817" s="30" t="str">
        <x:f>IF(F817="2","",COUNTIF($F$3:$F817,"=1"))</x:f>
        <x:v/>
      </x:c>
      <x:c r="O817" s="30" t="str">
        <x:f t="shared" si="75"/>
        <x:v/>
      </x:c>
      <x:c r="P817" s="30">
        <x:f t="shared" si="77"/>
        <x:v>7</x:v>
      </x:c>
      <x:c r="Q817" s="30">
        <x:f>COUNTIF($P$3:P817,"=3")</x:f>
        <x:v>91</x:v>
      </x:c>
      <x:c r="R817" s="29">
        <x:f>WORKDAY(기본입력!$H$2,Q817-1,공휴일)</x:f>
        <x:v>46057</x:v>
      </x:c>
    </x:row>
    <x:row r="818" spans="1:18">
      <x:c r="A818" s="144" t="str">
        <x:f t="shared" si="76"/>
        <x:v>20260204</x:v>
      </x:c>
      <x:c r="B818" s="6" t="s">
        <x:v>5</x:v>
      </x:c>
      <x:c r="C818" s="6">
        <x:v>1740</x:v>
      </x:c>
      <x:c r="D818" s="5" t="s">
        <x:v>1</x:v>
      </x:c>
      <x:c r="E818" s="6">
        <x:v>1340</x:v>
      </x:c>
      <x:c r="F818" s="6" t="s">
        <x:v>40</x:v>
      </x:c>
      <x:c r="G818" s="14" t="str">
        <x:f>IF(OR(N818="",N818&gt;기본입력!$C$34),"",VLOOKUP(O818,기본입력!$A$9:$F$33,5))</x:f>
        <x:v>양현수_53778</x:v>
      </x:c>
      <x:c r="H818" s="14" t="str">
        <x:f>IF(OR(N818="",N818&gt;기본입력!$C$34),"",기본입력!$C$6)</x:f>
        <x:v>1교육실(실습겸용강의실)_243089</x:v>
      </x:c>
      <x:c r="I818" s="14" t="str">
        <x:f>IF(OR(O818="",N818&gt;기본입력!$C$34),"",VLOOKUP(O818,기본입력!$A$9:$F$33,6,FALSE))</x:f>
        <x:v>Final 프로젝트__10</x:v>
      </x:c>
      <x:c r="J818" s="38" t="str">
        <x:f t="shared" ref="J818:J881" si="78">IF(F818="2","",LEFT(I818,FIND("_",I818,2)-1))</x:f>
        <x:v>Final 프로젝트</x:v>
      </x:c>
      <x:c r="K818" s="38" t="str">
        <x:f t="shared" ref="K818:K881" si="79">IF(F818="2","",LEFT(H818,FIND("_",H818,2)-1))</x:f>
        <x:v>1교육실(실습겸용강의실)</x:v>
      </x:c>
      <x:c r="L818" s="38" t="str">
        <x:f t="shared" ref="L818:L881" si="80">IF(F818="2","",LEFT(G818,FIND("_",G818,2)-1))</x:f>
        <x:v>양현수</x:v>
      </x:c>
      <x:c r="M818" s="63"/>
      <x:c r="N818" s="30">
        <x:f>IF(F818="2","",COUNTIF($F$3:$F818,"=1"))</x:f>
        <x:v>725</x:v>
      </x:c>
      <x:c r="O818" s="30">
        <x:f t="shared" si="75"/>
        <x:v>10</x:v>
      </x:c>
      <x:c r="P818" s="30">
        <x:f t="shared" si="77"/>
        <x:v>8</x:v>
      </x:c>
      <x:c r="Q818" s="30">
        <x:f>COUNTIF($P$3:P818,"=3")</x:f>
        <x:v>91</x:v>
      </x:c>
      <x:c r="R818" s="29">
        <x:f>WORKDAY(기본입력!$H$2,Q818-1,공휴일)</x:f>
        <x:v>46057</x:v>
      </x:c>
    </x:row>
    <x:row r="819" spans="1:18">
      <x:c r="A819" s="144" t="str">
        <x:f t="shared" si="76"/>
        <x:v>20260204</x:v>
      </x:c>
      <x:c r="B819" s="6" t="s">
        <x:v>5</x:v>
      </x:c>
      <x:c r="C819" s="6">
        <x:v>1740</x:v>
      </x:c>
      <x:c r="D819" s="5" t="s">
        <x:v>1</x:v>
      </x:c>
      <x:c r="E819" s="6">
        <x:v>1440</x:v>
      </x:c>
      <x:c r="F819" s="6" t="s">
        <x:v>40</x:v>
      </x:c>
      <x:c r="G819" s="14" t="str">
        <x:f>IF(OR(N819="",N819&gt;기본입력!$C$34),"",VLOOKUP(O819,기본입력!$A$9:$F$33,5))</x:f>
        <x:v>양현수_53778</x:v>
      </x:c>
      <x:c r="H819" s="14" t="str">
        <x:f>IF(OR(N819="",N819&gt;기본입력!$C$34),"",기본입력!$C$6)</x:f>
        <x:v>1교육실(실습겸용강의실)_243089</x:v>
      </x:c>
      <x:c r="I819" s="14" t="str">
        <x:f>IF(OR(O819="",N819&gt;기본입력!$C$34),"",VLOOKUP(O819,기본입력!$A$9:$F$33,6,FALSE))</x:f>
        <x:v>Final 프로젝트__10</x:v>
      </x:c>
      <x:c r="J819" s="38" t="str">
        <x:f t="shared" si="78"/>
        <x:v>Final 프로젝트</x:v>
      </x:c>
      <x:c r="K819" s="38" t="str">
        <x:f t="shared" si="79"/>
        <x:v>1교육실(실습겸용강의실)</x:v>
      </x:c>
      <x:c r="L819" s="38" t="str">
        <x:f t="shared" si="80"/>
        <x:v>양현수</x:v>
      </x:c>
      <x:c r="M819" s="63"/>
      <x:c r="N819" s="30">
        <x:f>IF(F819="2","",COUNTIF($F$3:$F819,"=1"))</x:f>
        <x:v>726</x:v>
      </x:c>
      <x:c r="O819" s="30">
        <x:f t="shared" si="75"/>
        <x:v>10</x:v>
      </x:c>
      <x:c r="P819" s="30">
        <x:f t="shared" si="77"/>
        <x:v>0</x:v>
      </x:c>
      <x:c r="Q819" s="30">
        <x:f>COUNTIF($P$3:P819,"=3")</x:f>
        <x:v>91</x:v>
      </x:c>
      <x:c r="R819" s="29">
        <x:f>WORKDAY(기본입력!$H$2,Q819-1,공휴일)</x:f>
        <x:v>46057</x:v>
      </x:c>
    </x:row>
    <x:row r="820" spans="1:18">
      <x:c r="A820" s="144" t="str">
        <x:f t="shared" si="76"/>
        <x:v>20260204</x:v>
      </x:c>
      <x:c r="B820" s="6" t="s">
        <x:v>5</x:v>
      </x:c>
      <x:c r="C820" s="6">
        <x:v>1740</x:v>
      </x:c>
      <x:c r="D820" s="5" t="s">
        <x:v>1</x:v>
      </x:c>
      <x:c r="E820" s="6">
        <x:v>1540</x:v>
      </x:c>
      <x:c r="F820" s="6" t="s">
        <x:v>40</x:v>
      </x:c>
      <x:c r="G820" s="14" t="str">
        <x:f>IF(OR(N820="",N820&gt;기본입력!$C$34),"",VLOOKUP(O820,기본입력!$A$9:$F$33,5))</x:f>
        <x:v>양현수_53778</x:v>
      </x:c>
      <x:c r="H820" s="14" t="str">
        <x:f>IF(OR(N820="",N820&gt;기본입력!$C$34),"",기본입력!$C$6)</x:f>
        <x:v>1교육실(실습겸용강의실)_243089</x:v>
      </x:c>
      <x:c r="I820" s="14" t="str">
        <x:f>IF(OR(O820="",N820&gt;기본입력!$C$34),"",VLOOKUP(O820,기본입력!$A$9:$F$33,6,FALSE))</x:f>
        <x:v>Final 프로젝트__10</x:v>
      </x:c>
      <x:c r="J820" s="38" t="str">
        <x:f t="shared" si="78"/>
        <x:v>Final 프로젝트</x:v>
      </x:c>
      <x:c r="K820" s="38" t="str">
        <x:f t="shared" si="79"/>
        <x:v>1교육실(실습겸용강의실)</x:v>
      </x:c>
      <x:c r="L820" s="38" t="str">
        <x:f t="shared" si="80"/>
        <x:v>양현수</x:v>
      </x:c>
      <x:c r="M820" s="63"/>
      <x:c r="N820" s="30">
        <x:f>IF(F820="2","",COUNTIF($F$3:$F820,"=1"))</x:f>
        <x:v>727</x:v>
      </x:c>
      <x:c r="O820" s="30">
        <x:f t="shared" si="75"/>
        <x:v>10</x:v>
      </x:c>
      <x:c r="P820" s="30">
        <x:f t="shared" si="77"/>
        <x:v>1</x:v>
      </x:c>
      <x:c r="Q820" s="30">
        <x:f>COUNTIF($P$3:P820,"=3")</x:f>
        <x:v>91</x:v>
      </x:c>
      <x:c r="R820" s="29">
        <x:f>WORKDAY(기본입력!$H$2,Q820-1,공휴일)</x:f>
        <x:v>46057</x:v>
      </x:c>
    </x:row>
    <x:row r="821" spans="1:18">
      <x:c r="A821" s="144" t="str">
        <x:f t="shared" si="76"/>
        <x:v>20260204</x:v>
      </x:c>
      <x:c r="B821" s="6" t="s">
        <x:v>5</x:v>
      </x:c>
      <x:c r="C821" s="6">
        <x:v>1740</x:v>
      </x:c>
      <x:c r="D821" s="5" t="s">
        <x:v>1</x:v>
      </x:c>
      <x:c r="E821" s="6">
        <x:v>1640</x:v>
      </x:c>
      <x:c r="F821" s="6" t="s">
        <x:v>40</x:v>
      </x:c>
      <x:c r="G821" s="14" t="str">
        <x:f>IF(OR(N821="",N821&gt;기본입력!$C$34),"",VLOOKUP(O821,기본입력!$A$9:$F$33,5))</x:f>
        <x:v>양현수_53778</x:v>
      </x:c>
      <x:c r="H821" s="14" t="str">
        <x:f>IF(OR(N821="",N821&gt;기본입력!$C$34),"",기본입력!$C$6)</x:f>
        <x:v>1교육실(실습겸용강의실)_243089</x:v>
      </x:c>
      <x:c r="I821" s="14" t="str">
        <x:f>IF(OR(O821="",N821&gt;기본입력!$C$34),"",VLOOKUP(O821,기본입력!$A$9:$F$33,6,FALSE))</x:f>
        <x:v>Final 프로젝트__10</x:v>
      </x:c>
      <x:c r="J821" s="38" t="str">
        <x:f t="shared" si="78"/>
        <x:v>Final 프로젝트</x:v>
      </x:c>
      <x:c r="K821" s="38" t="str">
        <x:f t="shared" si="79"/>
        <x:v>1교육실(실습겸용강의실)</x:v>
      </x:c>
      <x:c r="L821" s="38" t="str">
        <x:f t="shared" si="80"/>
        <x:v>양현수</x:v>
      </x:c>
      <x:c r="M821" s="63"/>
      <x:c r="N821" s="30">
        <x:f>IF(F821="2","",COUNTIF($F$3:$F821,"=1"))</x:f>
        <x:v>728</x:v>
      </x:c>
      <x:c r="O821" s="30">
        <x:f t="shared" si="75"/>
        <x:v>10</x:v>
      </x:c>
      <x:c r="P821" s="30">
        <x:f t="shared" si="77"/>
        <x:v>2</x:v>
      </x:c>
      <x:c r="Q821" s="30">
        <x:f>COUNTIF($P$3:P821,"=3")</x:f>
        <x:v>91</x:v>
      </x:c>
      <x:c r="R821" s="29">
        <x:f>WORKDAY(기본입력!$H$2,Q821-1,공휴일)</x:f>
        <x:v>46057</x:v>
      </x:c>
    </x:row>
    <x:row r="822" spans="1:18">
      <x:c r="A822" s="145" t="str">
        <x:f t="shared" si="76"/>
        <x:v>20260205</x:v>
      </x:c>
      <x:c r="B822" s="8" t="s">
        <x:v>5</x:v>
      </x:c>
      <x:c r="C822" s="8">
        <x:v>1740</x:v>
      </x:c>
      <x:c r="D822" s="7" t="s">
        <x:v>1</x:v>
      </x:c>
      <x:c r="E822" s="8" t="s">
        <x:v>5</x:v>
      </x:c>
      <x:c r="F822" s="8" t="s">
        <x:v>40</x:v>
      </x:c>
      <x:c r="G822" s="15" t="str">
        <x:f>IF(OR(N822="",N822&gt;기본입력!$C$34),"",VLOOKUP(O822,기본입력!$A$9:$F$33,5))</x:f>
        <x:v>양현수_53778</x:v>
      </x:c>
      <x:c r="H822" s="15" t="str">
        <x:f>IF(OR(N822="",N822&gt;기본입력!$C$34),"",기본입력!$C$6)</x:f>
        <x:v>1교육실(실습겸용강의실)_243089</x:v>
      </x:c>
      <x:c r="I822" s="15" t="str">
        <x:f>IF(OR(O822="",N822&gt;기본입력!$C$34),"",VLOOKUP(O822,기본입력!$A$9:$F$33,6,FALSE))</x:f>
        <x:v>Final 프로젝트__10</x:v>
      </x:c>
      <x:c r="J822" s="38" t="str">
        <x:f t="shared" si="78"/>
        <x:v>Final 프로젝트</x:v>
      </x:c>
      <x:c r="K822" s="38" t="str">
        <x:f t="shared" si="79"/>
        <x:v>1교육실(실습겸용강의실)</x:v>
      </x:c>
      <x:c r="L822" s="38" t="str">
        <x:f t="shared" si="80"/>
        <x:v>양현수</x:v>
      </x:c>
      <x:c r="M822" s="63"/>
      <x:c r="N822" s="30">
        <x:f>IF(F822="2","",COUNTIF($F$3:$F822,"=1"))</x:f>
        <x:v>729</x:v>
      </x:c>
      <x:c r="O822" s="30">
        <x:f t="shared" si="75"/>
        <x:v>10</x:v>
      </x:c>
      <x:c r="P822" s="30">
        <x:f t="shared" si="77"/>
        <x:v>3</x:v>
      </x:c>
      <x:c r="Q822" s="30">
        <x:f>COUNTIF($P$3:P822,"=3")</x:f>
        <x:v>92</x:v>
      </x:c>
      <x:c r="R822" s="29">
        <x:f>WORKDAY(기본입력!$H$2,Q822-1,공휴일)</x:f>
        <x:v>46058</x:v>
      </x:c>
    </x:row>
    <x:row r="823" spans="1:18">
      <x:c r="A823" s="145" t="str">
        <x:f t="shared" si="76"/>
        <x:v>20260205</x:v>
      </x:c>
      <x:c r="B823" s="8" t="s">
        <x:v>5</x:v>
      </x:c>
      <x:c r="C823" s="8">
        <x:v>1740</x:v>
      </x:c>
      <x:c r="D823" s="7" t="s">
        <x:v>1</x:v>
      </x:c>
      <x:c r="E823" s="8" t="s">
        <x:v>117</x:v>
      </x:c>
      <x:c r="F823" s="8" t="s">
        <x:v>40</x:v>
      </x:c>
      <x:c r="G823" s="15" t="str">
        <x:f>IF(OR(N823="",N823&gt;기본입력!$C$34),"",VLOOKUP(O823,기본입력!$A$9:$F$33,5))</x:f>
        <x:v>양현수_53778</x:v>
      </x:c>
      <x:c r="H823" s="15" t="str">
        <x:f>IF(OR(N823="",N823&gt;기본입력!$C$34),"",기본입력!$C$6)</x:f>
        <x:v>1교육실(실습겸용강의실)_243089</x:v>
      </x:c>
      <x:c r="I823" s="15" t="str">
        <x:f>IF(OR(O823="",N823&gt;기본입력!$C$34),"",VLOOKUP(O823,기본입력!$A$9:$F$33,6,FALSE))</x:f>
        <x:v>Final 프로젝트__10</x:v>
      </x:c>
      <x:c r="J823" s="38" t="str">
        <x:f t="shared" si="78"/>
        <x:v>Final 프로젝트</x:v>
      </x:c>
      <x:c r="K823" s="38" t="str">
        <x:f t="shared" si="79"/>
        <x:v>1교육실(실습겸용강의실)</x:v>
      </x:c>
      <x:c r="L823" s="38" t="str">
        <x:f t="shared" si="80"/>
        <x:v>양현수</x:v>
      </x:c>
      <x:c r="M823" s="63"/>
      <x:c r="N823" s="30">
        <x:f>IF(F823="2","",COUNTIF($F$3:$F823,"=1"))</x:f>
        <x:v>730</x:v>
      </x:c>
      <x:c r="O823" s="30">
        <x:f t="shared" si="75"/>
        <x:v>10</x:v>
      </x:c>
      <x:c r="P823" s="30">
        <x:f t="shared" si="77"/>
        <x:v>4</x:v>
      </x:c>
      <x:c r="Q823" s="30">
        <x:f>COUNTIF($P$3:P823,"=3")</x:f>
        <x:v>92</x:v>
      </x:c>
      <x:c r="R823" s="29">
        <x:f>WORKDAY(기본입력!$H$2,Q823-1,공휴일)</x:f>
        <x:v>46058</x:v>
      </x:c>
    </x:row>
    <x:row r="824" spans="1:18">
      <x:c r="A824" s="145" t="str">
        <x:f t="shared" si="76"/>
        <x:v>20260205</x:v>
      </x:c>
      <x:c r="B824" s="8" t="s">
        <x:v>5</x:v>
      </x:c>
      <x:c r="C824" s="8">
        <x:v>1740</x:v>
      </x:c>
      <x:c r="D824" s="7" t="s">
        <x:v>1</x:v>
      </x:c>
      <x:c r="E824" s="8" t="s">
        <x:v>87</x:v>
      </x:c>
      <x:c r="F824" s="8" t="s">
        <x:v>40</x:v>
      </x:c>
      <x:c r="G824" s="15" t="str">
        <x:f>IF(OR(N824="",N824&gt;기본입력!$C$34),"",VLOOKUP(O824,기본입력!$A$9:$F$33,5))</x:f>
        <x:v>양현수_53778</x:v>
      </x:c>
      <x:c r="H824" s="15" t="str">
        <x:f>IF(OR(N824="",N824&gt;기본입력!$C$34),"",기본입력!$C$6)</x:f>
        <x:v>1교육실(실습겸용강의실)_243089</x:v>
      </x:c>
      <x:c r="I824" s="15" t="str">
        <x:f>IF(OR(O824="",N824&gt;기본입력!$C$34),"",VLOOKUP(O824,기본입력!$A$9:$F$33,6,FALSE))</x:f>
        <x:v>Final 프로젝트__10</x:v>
      </x:c>
      <x:c r="J824" s="38" t="str">
        <x:f t="shared" si="78"/>
        <x:v>Final 프로젝트</x:v>
      </x:c>
      <x:c r="K824" s="38" t="str">
        <x:f t="shared" si="79"/>
        <x:v>1교육실(실습겸용강의실)</x:v>
      </x:c>
      <x:c r="L824" s="38" t="str">
        <x:f t="shared" si="80"/>
        <x:v>양현수</x:v>
      </x:c>
      <x:c r="M824" s="63"/>
      <x:c r="N824" s="30">
        <x:f>IF(F824="2","",COUNTIF($F$3:$F824,"=1"))</x:f>
        <x:v>731</x:v>
      </x:c>
      <x:c r="O824" s="30">
        <x:f t="shared" si="75"/>
        <x:v>10</x:v>
      </x:c>
      <x:c r="P824" s="30">
        <x:f t="shared" si="77"/>
        <x:v>5</x:v>
      </x:c>
      <x:c r="Q824" s="30">
        <x:f>COUNTIF($P$3:P824,"=3")</x:f>
        <x:v>92</x:v>
      </x:c>
      <x:c r="R824" s="29">
        <x:f>WORKDAY(기본입력!$H$2,Q824-1,공휴일)</x:f>
        <x:v>46058</x:v>
      </x:c>
    </x:row>
    <x:row r="825" spans="1:18">
      <x:c r="A825" s="145" t="str">
        <x:f t="shared" si="76"/>
        <x:v>20260205</x:v>
      </x:c>
      <x:c r="B825" s="8" t="s">
        <x:v>5</x:v>
      </x:c>
      <x:c r="C825" s="8">
        <x:v>1740</x:v>
      </x:c>
      <x:c r="D825" s="7" t="s">
        <x:v>1</x:v>
      </x:c>
      <x:c r="E825" s="8" t="s">
        <x:v>88</x:v>
      </x:c>
      <x:c r="F825" s="8" t="s">
        <x:v>40</x:v>
      </x:c>
      <x:c r="G825" s="15" t="str">
        <x:f>IF(OR(N825="",N825&gt;기본입력!$C$34),"",VLOOKUP(O825,기본입력!$A$9:$F$33,5))</x:f>
        <x:v>양현수_53778</x:v>
      </x:c>
      <x:c r="H825" s="15" t="str">
        <x:f>IF(OR(N825="",N825&gt;기본입력!$C$34),"",기본입력!$C$6)</x:f>
        <x:v>1교육실(실습겸용강의실)_243089</x:v>
      </x:c>
      <x:c r="I825" s="15" t="str">
        <x:f>IF(OR(O825="",N825&gt;기본입력!$C$34),"",VLOOKUP(O825,기본입력!$A$9:$F$33,6,FALSE))</x:f>
        <x:v>Final 프로젝트__10</x:v>
      </x:c>
      <x:c r="J825" s="38" t="str">
        <x:f t="shared" si="78"/>
        <x:v>Final 프로젝트</x:v>
      </x:c>
      <x:c r="K825" s="38" t="str">
        <x:f t="shared" si="79"/>
        <x:v>1교육실(실습겸용강의실)</x:v>
      </x:c>
      <x:c r="L825" s="38" t="str">
        <x:f t="shared" si="80"/>
        <x:v>양현수</x:v>
      </x:c>
      <x:c r="M825" s="63"/>
      <x:c r="N825" s="30">
        <x:f>IF(F825="2","",COUNTIF($F$3:$F825,"=1"))</x:f>
        <x:v>732</x:v>
      </x:c>
      <x:c r="O825" s="30">
        <x:f t="shared" si="75"/>
        <x:v>10</x:v>
      </x:c>
      <x:c r="P825" s="30">
        <x:f t="shared" si="77"/>
        <x:v>6</x:v>
      </x:c>
      <x:c r="Q825" s="30">
        <x:f>COUNTIF($P$3:P825,"=3")</x:f>
        <x:v>92</x:v>
      </x:c>
      <x:c r="R825" s="29">
        <x:f>WORKDAY(기본입력!$H$2,Q825-1,공휴일)</x:f>
        <x:v>46058</x:v>
      </x:c>
    </x:row>
    <x:row r="826" spans="1:18">
      <x:c r="A826" s="145" t="str">
        <x:f t="shared" si="76"/>
        <x:v>20260205</x:v>
      </x:c>
      <x:c r="B826" s="8" t="s">
        <x:v>5</x:v>
      </x:c>
      <x:c r="C826" s="8">
        <x:v>1740</x:v>
      </x:c>
      <x:c r="D826" s="7" t="s">
        <x:v>1</x:v>
      </x:c>
      <x:c r="E826" s="8" t="s">
        <x:v>0</x:v>
      </x:c>
      <x:c r="F826" s="8" t="s">
        <x:v>41</x:v>
      </x:c>
      <x:c r="G826" s="15" t="str">
        <x:f>IF(OR(N826="",N826&gt;기본입력!$C$34),"",VLOOKUP(O826,기본입력!$A$9:$F$33,5))</x:f>
        <x:v/>
      </x:c>
      <x:c r="H826" s="15" t="str">
        <x:f>IF(OR(N826="",N826&gt;기본입력!$C$34),"",기본입력!$C$6)</x:f>
        <x:v/>
      </x:c>
      <x:c r="I826" s="15" t="str">
        <x:f>IF(OR(O826="",N826&gt;기본입력!$C$34),"",VLOOKUP(O826,기본입력!$A$9:$F$33,6,FALSE))</x:f>
        <x:v/>
      </x:c>
      <x:c r="J826" s="38" t="str">
        <x:f t="shared" si="78"/>
        <x:v/>
      </x:c>
      <x:c r="K826" s="38" t="str">
        <x:f t="shared" si="79"/>
        <x:v/>
      </x:c>
      <x:c r="L826" s="38" t="str">
        <x:f t="shared" si="80"/>
        <x:v/>
      </x:c>
      <x:c r="M826" s="63"/>
      <x:c r="N826" s="30" t="str">
        <x:f>IF(F826="2","",COUNTIF($F$3:$F826,"=1"))</x:f>
        <x:v/>
      </x:c>
      <x:c r="O826" s="30" t="str">
        <x:f t="shared" si="75"/>
        <x:v/>
      </x:c>
      <x:c r="P826" s="30">
        <x:f t="shared" si="77"/>
        <x:v>7</x:v>
      </x:c>
      <x:c r="Q826" s="30">
        <x:f>COUNTIF($P$3:P826,"=3")</x:f>
        <x:v>92</x:v>
      </x:c>
      <x:c r="R826" s="29">
        <x:f>WORKDAY(기본입력!$H$2,Q826-1,공휴일)</x:f>
        <x:v>46058</x:v>
      </x:c>
    </x:row>
    <x:row r="827" spans="1:18">
      <x:c r="A827" s="145" t="str">
        <x:f t="shared" si="76"/>
        <x:v>20260205</x:v>
      </x:c>
      <x:c r="B827" s="8" t="s">
        <x:v>5</x:v>
      </x:c>
      <x:c r="C827" s="8">
        <x:v>1740</x:v>
      </x:c>
      <x:c r="D827" s="7" t="s">
        <x:v>1</x:v>
      </x:c>
      <x:c r="E827" s="8">
        <x:v>1340</x:v>
      </x:c>
      <x:c r="F827" s="8" t="s">
        <x:v>40</x:v>
      </x:c>
      <x:c r="G827" s="15" t="str">
        <x:f>IF(OR(N827="",N827&gt;기본입력!$C$34),"",VLOOKUP(O827,기본입력!$A$9:$F$33,5))</x:f>
        <x:v>양현수_53778</x:v>
      </x:c>
      <x:c r="H827" s="15" t="str">
        <x:f>IF(OR(N827="",N827&gt;기본입력!$C$34),"",기본입력!$C$6)</x:f>
        <x:v>1교육실(실습겸용강의실)_243089</x:v>
      </x:c>
      <x:c r="I827" s="15" t="str">
        <x:f>IF(OR(O827="",N827&gt;기본입력!$C$34),"",VLOOKUP(O827,기본입력!$A$9:$F$33,6,FALSE))</x:f>
        <x:v>Final 프로젝트__10</x:v>
      </x:c>
      <x:c r="J827" s="38" t="str">
        <x:f t="shared" si="78"/>
        <x:v>Final 프로젝트</x:v>
      </x:c>
      <x:c r="K827" s="38" t="str">
        <x:f t="shared" si="79"/>
        <x:v>1교육실(실습겸용강의실)</x:v>
      </x:c>
      <x:c r="L827" s="38" t="str">
        <x:f t="shared" si="80"/>
        <x:v>양현수</x:v>
      </x:c>
      <x:c r="M827" s="63"/>
      <x:c r="N827" s="30">
        <x:f>IF(F827="2","",COUNTIF($F$3:$F827,"=1"))</x:f>
        <x:v>733</x:v>
      </x:c>
      <x:c r="O827" s="30">
        <x:f t="shared" si="75"/>
        <x:v>10</x:v>
      </x:c>
      <x:c r="P827" s="30">
        <x:f t="shared" si="77"/>
        <x:v>8</x:v>
      </x:c>
      <x:c r="Q827" s="30">
        <x:f>COUNTIF($P$3:P827,"=3")</x:f>
        <x:v>92</x:v>
      </x:c>
      <x:c r="R827" s="29">
        <x:f>WORKDAY(기본입력!$H$2,Q827-1,공휴일)</x:f>
        <x:v>46058</x:v>
      </x:c>
    </x:row>
    <x:row r="828" spans="1:18">
      <x:c r="A828" s="145" t="str">
        <x:f t="shared" si="76"/>
        <x:v>20260205</x:v>
      </x:c>
      <x:c r="B828" s="8" t="s">
        <x:v>5</x:v>
      </x:c>
      <x:c r="C828" s="8">
        <x:v>1740</x:v>
      </x:c>
      <x:c r="D828" s="7" t="s">
        <x:v>1</x:v>
      </x:c>
      <x:c r="E828" s="8">
        <x:v>1440</x:v>
      </x:c>
      <x:c r="F828" s="8" t="s">
        <x:v>40</x:v>
      </x:c>
      <x:c r="G828" s="15" t="str">
        <x:f>IF(OR(N828="",N828&gt;기본입력!$C$34),"",VLOOKUP(O828,기본입력!$A$9:$F$33,5))</x:f>
        <x:v>양현수_53778</x:v>
      </x:c>
      <x:c r="H828" s="15" t="str">
        <x:f>IF(OR(N828="",N828&gt;기본입력!$C$34),"",기본입력!$C$6)</x:f>
        <x:v>1교육실(실습겸용강의실)_243089</x:v>
      </x:c>
      <x:c r="I828" s="15" t="str">
        <x:f>IF(OR(O828="",N828&gt;기본입력!$C$34),"",VLOOKUP(O828,기본입력!$A$9:$F$33,6,FALSE))</x:f>
        <x:v>Final 프로젝트__10</x:v>
      </x:c>
      <x:c r="J828" s="38" t="str">
        <x:f t="shared" si="78"/>
        <x:v>Final 프로젝트</x:v>
      </x:c>
      <x:c r="K828" s="38" t="str">
        <x:f t="shared" si="79"/>
        <x:v>1교육실(실습겸용강의실)</x:v>
      </x:c>
      <x:c r="L828" s="38" t="str">
        <x:f t="shared" si="80"/>
        <x:v>양현수</x:v>
      </x:c>
      <x:c r="M828" s="63"/>
      <x:c r="N828" s="30">
        <x:f>IF(F828="2","",COUNTIF($F$3:$F828,"=1"))</x:f>
        <x:v>734</x:v>
      </x:c>
      <x:c r="O828" s="30">
        <x:f t="shared" si="75"/>
        <x:v>10</x:v>
      </x:c>
      <x:c r="P828" s="30">
        <x:f t="shared" si="77"/>
        <x:v>0</x:v>
      </x:c>
      <x:c r="Q828" s="30">
        <x:f>COUNTIF($P$3:P828,"=3")</x:f>
        <x:v>92</x:v>
      </x:c>
      <x:c r="R828" s="29">
        <x:f>WORKDAY(기본입력!$H$2,Q828-1,공휴일)</x:f>
        <x:v>46058</x:v>
      </x:c>
    </x:row>
    <x:row r="829" spans="1:18">
      <x:c r="A829" s="145" t="str">
        <x:f t="shared" si="76"/>
        <x:v>20260205</x:v>
      </x:c>
      <x:c r="B829" s="8" t="s">
        <x:v>5</x:v>
      </x:c>
      <x:c r="C829" s="8">
        <x:v>1740</x:v>
      </x:c>
      <x:c r="D829" s="7" t="s">
        <x:v>1</x:v>
      </x:c>
      <x:c r="E829" s="8">
        <x:v>1540</x:v>
      </x:c>
      <x:c r="F829" s="8" t="s">
        <x:v>40</x:v>
      </x:c>
      <x:c r="G829" s="15" t="str">
        <x:f>IF(OR(N829="",N829&gt;기본입력!$C$34),"",VLOOKUP(O829,기본입력!$A$9:$F$33,5))</x:f>
        <x:v>양현수_53778</x:v>
      </x:c>
      <x:c r="H829" s="15" t="str">
        <x:f>IF(OR(N829="",N829&gt;기본입력!$C$34),"",기본입력!$C$6)</x:f>
        <x:v>1교육실(실습겸용강의실)_243089</x:v>
      </x:c>
      <x:c r="I829" s="15" t="str">
        <x:f>IF(OR(O829="",N829&gt;기본입력!$C$34),"",VLOOKUP(O829,기본입력!$A$9:$F$33,6,FALSE))</x:f>
        <x:v>Final 프로젝트__10</x:v>
      </x:c>
      <x:c r="J829" s="38" t="str">
        <x:f t="shared" si="78"/>
        <x:v>Final 프로젝트</x:v>
      </x:c>
      <x:c r="K829" s="38" t="str">
        <x:f t="shared" si="79"/>
        <x:v>1교육실(실습겸용강의실)</x:v>
      </x:c>
      <x:c r="L829" s="38" t="str">
        <x:f t="shared" si="80"/>
        <x:v>양현수</x:v>
      </x:c>
      <x:c r="M829" s="63"/>
      <x:c r="N829" s="30">
        <x:f>IF(F829="2","",COUNTIF($F$3:$F829,"=1"))</x:f>
        <x:v>735</x:v>
      </x:c>
      <x:c r="O829" s="30">
        <x:f t="shared" si="75"/>
        <x:v>10</x:v>
      </x:c>
      <x:c r="P829" s="30">
        <x:f t="shared" si="77"/>
        <x:v>1</x:v>
      </x:c>
      <x:c r="Q829" s="30">
        <x:f>COUNTIF($P$3:P829,"=3")</x:f>
        <x:v>92</x:v>
      </x:c>
      <x:c r="R829" s="29">
        <x:f>WORKDAY(기본입력!$H$2,Q829-1,공휴일)</x:f>
        <x:v>46058</x:v>
      </x:c>
    </x:row>
    <x:row r="830" spans="1:18">
      <x:c r="A830" s="145" t="str">
        <x:f t="shared" si="76"/>
        <x:v>20260205</x:v>
      </x:c>
      <x:c r="B830" s="8" t="s">
        <x:v>5</x:v>
      </x:c>
      <x:c r="C830" s="8">
        <x:v>1740</x:v>
      </x:c>
      <x:c r="D830" s="7" t="s">
        <x:v>1</x:v>
      </x:c>
      <x:c r="E830" s="8">
        <x:v>1640</x:v>
      </x:c>
      <x:c r="F830" s="8" t="s">
        <x:v>40</x:v>
      </x:c>
      <x:c r="G830" s="15" t="str">
        <x:f>IF(OR(N830="",N830&gt;기본입력!$C$34),"",VLOOKUP(O830,기본입력!$A$9:$F$33,5))</x:f>
        <x:v>양현수_53778</x:v>
      </x:c>
      <x:c r="H830" s="15" t="str">
        <x:f>IF(OR(N830="",N830&gt;기본입력!$C$34),"",기본입력!$C$6)</x:f>
        <x:v>1교육실(실습겸용강의실)_243089</x:v>
      </x:c>
      <x:c r="I830" s="15" t="str">
        <x:f>IF(OR(O830="",N830&gt;기본입력!$C$34),"",VLOOKUP(O830,기본입력!$A$9:$F$33,6,FALSE))</x:f>
        <x:v>Final 프로젝트__10</x:v>
      </x:c>
      <x:c r="J830" s="38" t="str">
        <x:f t="shared" si="78"/>
        <x:v>Final 프로젝트</x:v>
      </x:c>
      <x:c r="K830" s="38" t="str">
        <x:f t="shared" si="79"/>
        <x:v>1교육실(실습겸용강의실)</x:v>
      </x:c>
      <x:c r="L830" s="38" t="str">
        <x:f t="shared" si="80"/>
        <x:v>양현수</x:v>
      </x:c>
      <x:c r="M830" s="63"/>
      <x:c r="N830" s="30">
        <x:f>IF(F830="2","",COUNTIF($F$3:$F830,"=1"))</x:f>
        <x:v>736</x:v>
      </x:c>
      <x:c r="O830" s="30">
        <x:f t="shared" si="75"/>
        <x:v>10</x:v>
      </x:c>
      <x:c r="P830" s="30">
        <x:f t="shared" si="77"/>
        <x:v>2</x:v>
      </x:c>
      <x:c r="Q830" s="30">
        <x:f>COUNTIF($P$3:P830,"=3")</x:f>
        <x:v>92</x:v>
      </x:c>
      <x:c r="R830" s="29">
        <x:f>WORKDAY(기본입력!$H$2,Q830-1,공휴일)</x:f>
        <x:v>46058</x:v>
      </x:c>
    </x:row>
    <x:row r="831" spans="1:18">
      <x:c r="A831" s="144" t="str">
        <x:f t="shared" si="76"/>
        <x:v>20260206</x:v>
      </x:c>
      <x:c r="B831" s="6" t="s">
        <x:v>5</x:v>
      </x:c>
      <x:c r="C831" s="6">
        <x:v>1740</x:v>
      </x:c>
      <x:c r="D831" s="5" t="s">
        <x:v>1</x:v>
      </x:c>
      <x:c r="E831" s="6" t="s">
        <x:v>5</x:v>
      </x:c>
      <x:c r="F831" s="6" t="s">
        <x:v>40</x:v>
      </x:c>
      <x:c r="G831" s="14" t="str">
        <x:f>IF(OR(N831="",N831&gt;기본입력!$C$34),"",VLOOKUP(O831,기본입력!$A$9:$F$33,5))</x:f>
        <x:v>양현수_53778</x:v>
      </x:c>
      <x:c r="H831" s="14" t="str">
        <x:f>IF(OR(N831="",N831&gt;기본입력!$C$34),"",기본입력!$C$6)</x:f>
        <x:v>1교육실(실습겸용강의실)_243089</x:v>
      </x:c>
      <x:c r="I831" s="14" t="str">
        <x:f>IF(OR(O831="",N831&gt;기본입력!$C$34),"",VLOOKUP(O831,기본입력!$A$9:$F$33,6,FALSE))</x:f>
        <x:v>Final 프로젝트__10</x:v>
      </x:c>
      <x:c r="J831" s="38" t="str">
        <x:f t="shared" si="78"/>
        <x:v>Final 프로젝트</x:v>
      </x:c>
      <x:c r="K831" s="38" t="str">
        <x:f t="shared" si="79"/>
        <x:v>1교육실(실습겸용강의실)</x:v>
      </x:c>
      <x:c r="L831" s="38" t="str">
        <x:f t="shared" si="80"/>
        <x:v>양현수</x:v>
      </x:c>
      <x:c r="M831" s="63"/>
      <x:c r="N831" s="30">
        <x:f>IF(F831="2","",COUNTIF($F$3:$F831,"=1"))</x:f>
        <x:v>737</x:v>
      </x:c>
      <x:c r="O831" s="30">
        <x:f t="shared" si="75"/>
        <x:v>10</x:v>
      </x:c>
      <x:c r="P831" s="30">
        <x:f t="shared" si="77"/>
        <x:v>3</x:v>
      </x:c>
      <x:c r="Q831" s="30">
        <x:f>COUNTIF($P$3:P831,"=3")</x:f>
        <x:v>93</x:v>
      </x:c>
      <x:c r="R831" s="29">
        <x:f>WORKDAY(기본입력!$H$2,Q831-1,공휴일)</x:f>
        <x:v>46059</x:v>
      </x:c>
    </x:row>
    <x:row r="832" spans="1:18">
      <x:c r="A832" s="144" t="str">
        <x:f t="shared" si="76"/>
        <x:v>20260206</x:v>
      </x:c>
      <x:c r="B832" s="6" t="s">
        <x:v>5</x:v>
      </x:c>
      <x:c r="C832" s="6">
        <x:v>1740</x:v>
      </x:c>
      <x:c r="D832" s="5" t="s">
        <x:v>1</x:v>
      </x:c>
      <x:c r="E832" s="6" t="s">
        <x:v>117</x:v>
      </x:c>
      <x:c r="F832" s="6" t="s">
        <x:v>40</x:v>
      </x:c>
      <x:c r="G832" s="14" t="str">
        <x:f>IF(OR(N832="",N832&gt;기본입력!$C$34),"",VLOOKUP(O832,기본입력!$A$9:$F$33,5))</x:f>
        <x:v>양현수_53778</x:v>
      </x:c>
      <x:c r="H832" s="14" t="str">
        <x:f>IF(OR(N832="",N832&gt;기본입력!$C$34),"",기본입력!$C$6)</x:f>
        <x:v>1교육실(실습겸용강의실)_243089</x:v>
      </x:c>
      <x:c r="I832" s="14" t="str">
        <x:f>IF(OR(O832="",N832&gt;기본입력!$C$34),"",VLOOKUP(O832,기본입력!$A$9:$F$33,6,FALSE))</x:f>
        <x:v>Final 프로젝트__10</x:v>
      </x:c>
      <x:c r="J832" s="38" t="str">
        <x:f t="shared" si="78"/>
        <x:v>Final 프로젝트</x:v>
      </x:c>
      <x:c r="K832" s="38" t="str">
        <x:f t="shared" si="79"/>
        <x:v>1교육실(실습겸용강의실)</x:v>
      </x:c>
      <x:c r="L832" s="38" t="str">
        <x:f t="shared" si="80"/>
        <x:v>양현수</x:v>
      </x:c>
      <x:c r="M832" s="63"/>
      <x:c r="N832" s="30">
        <x:f>IF(F832="2","",COUNTIF($F$3:$F832,"=1"))</x:f>
        <x:v>738</x:v>
      </x:c>
      <x:c r="O832" s="30">
        <x:f t="shared" si="75"/>
        <x:v>10</x:v>
      </x:c>
      <x:c r="P832" s="30">
        <x:f t="shared" si="77"/>
        <x:v>4</x:v>
      </x:c>
      <x:c r="Q832" s="30">
        <x:f>COUNTIF($P$3:P832,"=3")</x:f>
        <x:v>93</x:v>
      </x:c>
      <x:c r="R832" s="29">
        <x:f>WORKDAY(기본입력!$H$2,Q832-1,공휴일)</x:f>
        <x:v>46059</x:v>
      </x:c>
    </x:row>
    <x:row r="833" spans="1:18">
      <x:c r="A833" s="144" t="str">
        <x:f t="shared" si="76"/>
        <x:v>20260206</x:v>
      </x:c>
      <x:c r="B833" s="6" t="s">
        <x:v>5</x:v>
      </x:c>
      <x:c r="C833" s="6">
        <x:v>1740</x:v>
      </x:c>
      <x:c r="D833" s="5" t="s">
        <x:v>1</x:v>
      </x:c>
      <x:c r="E833" s="6" t="s">
        <x:v>87</x:v>
      </x:c>
      <x:c r="F833" s="6" t="s">
        <x:v>40</x:v>
      </x:c>
      <x:c r="G833" s="14" t="str">
        <x:f>IF(OR(N833="",N833&gt;기본입력!$C$34),"",VLOOKUP(O833,기본입력!$A$9:$F$33,5))</x:f>
        <x:v>양현수_53778</x:v>
      </x:c>
      <x:c r="H833" s="14" t="str">
        <x:f>IF(OR(N833="",N833&gt;기본입력!$C$34),"",기본입력!$C$6)</x:f>
        <x:v>1교육실(실습겸용강의실)_243089</x:v>
      </x:c>
      <x:c r="I833" s="14" t="str">
        <x:f>IF(OR(O833="",N833&gt;기본입력!$C$34),"",VLOOKUP(O833,기본입력!$A$9:$F$33,6,FALSE))</x:f>
        <x:v>Final 프로젝트__10</x:v>
      </x:c>
      <x:c r="J833" s="38" t="str">
        <x:f t="shared" si="78"/>
        <x:v>Final 프로젝트</x:v>
      </x:c>
      <x:c r="K833" s="38" t="str">
        <x:f t="shared" si="79"/>
        <x:v>1교육실(실습겸용강의실)</x:v>
      </x:c>
      <x:c r="L833" s="38" t="str">
        <x:f t="shared" si="80"/>
        <x:v>양현수</x:v>
      </x:c>
      <x:c r="M833" s="63"/>
      <x:c r="N833" s="30">
        <x:f>IF(F833="2","",COUNTIF($F$3:$F833,"=1"))</x:f>
        <x:v>739</x:v>
      </x:c>
      <x:c r="O833" s="30">
        <x:f t="shared" si="75"/>
        <x:v>10</x:v>
      </x:c>
      <x:c r="P833" s="30">
        <x:f t="shared" si="77"/>
        <x:v>5</x:v>
      </x:c>
      <x:c r="Q833" s="30">
        <x:f>COUNTIF($P$3:P833,"=3")</x:f>
        <x:v>93</x:v>
      </x:c>
      <x:c r="R833" s="29">
        <x:f>WORKDAY(기본입력!$H$2,Q833-1,공휴일)</x:f>
        <x:v>46059</x:v>
      </x:c>
    </x:row>
    <x:row r="834" spans="1:18">
      <x:c r="A834" s="144" t="str">
        <x:f t="shared" si="76"/>
        <x:v>20260206</x:v>
      </x:c>
      <x:c r="B834" s="6" t="s">
        <x:v>5</x:v>
      </x:c>
      <x:c r="C834" s="6">
        <x:v>1740</x:v>
      </x:c>
      <x:c r="D834" s="5" t="s">
        <x:v>1</x:v>
      </x:c>
      <x:c r="E834" s="6" t="s">
        <x:v>88</x:v>
      </x:c>
      <x:c r="F834" s="6" t="s">
        <x:v>40</x:v>
      </x:c>
      <x:c r="G834" s="14" t="str">
        <x:f>IF(OR(N834="",N834&gt;기본입력!$C$34),"",VLOOKUP(O834,기본입력!$A$9:$F$33,5))</x:f>
        <x:v>양현수_53778</x:v>
      </x:c>
      <x:c r="H834" s="14" t="str">
        <x:f>IF(OR(N834="",N834&gt;기본입력!$C$34),"",기본입력!$C$6)</x:f>
        <x:v>1교육실(실습겸용강의실)_243089</x:v>
      </x:c>
      <x:c r="I834" s="14" t="str">
        <x:f>IF(OR(O834="",N834&gt;기본입력!$C$34),"",VLOOKUP(O834,기본입력!$A$9:$F$33,6,FALSE))</x:f>
        <x:v>Final 프로젝트__10</x:v>
      </x:c>
      <x:c r="J834" s="38" t="str">
        <x:f t="shared" si="78"/>
        <x:v>Final 프로젝트</x:v>
      </x:c>
      <x:c r="K834" s="38" t="str">
        <x:f t="shared" si="79"/>
        <x:v>1교육실(실습겸용강의실)</x:v>
      </x:c>
      <x:c r="L834" s="38" t="str">
        <x:f t="shared" si="80"/>
        <x:v>양현수</x:v>
      </x:c>
      <x:c r="M834" s="63"/>
      <x:c r="N834" s="30">
        <x:f>IF(F834="2","",COUNTIF($F$3:$F834,"=1"))</x:f>
        <x:v>740</x:v>
      </x:c>
      <x:c r="O834" s="30">
        <x:f t="shared" si="75"/>
        <x:v>10</x:v>
      </x:c>
      <x:c r="P834" s="30">
        <x:f t="shared" si="77"/>
        <x:v>6</x:v>
      </x:c>
      <x:c r="Q834" s="30">
        <x:f>COUNTIF($P$3:P834,"=3")</x:f>
        <x:v>93</x:v>
      </x:c>
      <x:c r="R834" s="29">
        <x:f>WORKDAY(기본입력!$H$2,Q834-1,공휴일)</x:f>
        <x:v>46059</x:v>
      </x:c>
    </x:row>
    <x:row r="835" spans="1:18">
      <x:c r="A835" s="144" t="str">
        <x:f t="shared" si="76"/>
        <x:v>20260206</x:v>
      </x:c>
      <x:c r="B835" s="6" t="s">
        <x:v>5</x:v>
      </x:c>
      <x:c r="C835" s="6">
        <x:v>1740</x:v>
      </x:c>
      <x:c r="D835" s="5" t="s">
        <x:v>1</x:v>
      </x:c>
      <x:c r="E835" s="6" t="s">
        <x:v>0</x:v>
      </x:c>
      <x:c r="F835" s="6" t="s">
        <x:v>41</x:v>
      </x:c>
      <x:c r="G835" s="14" t="str">
        <x:f>IF(OR(N835="",N835&gt;기본입력!$C$34),"",VLOOKUP(O835,기본입력!$A$9:$F$33,5))</x:f>
        <x:v/>
      </x:c>
      <x:c r="H835" s="14" t="str">
        <x:f>IF(OR(N835="",N835&gt;기본입력!$C$34),"",기본입력!$C$6)</x:f>
        <x:v/>
      </x:c>
      <x:c r="I835" s="14" t="str">
        <x:f>IF(OR(O835="",N835&gt;기본입력!$C$34),"",VLOOKUP(O835,기본입력!$A$9:$F$33,6,FALSE))</x:f>
        <x:v/>
      </x:c>
      <x:c r="J835" s="38" t="str">
        <x:f t="shared" si="78"/>
        <x:v/>
      </x:c>
      <x:c r="K835" s="38" t="str">
        <x:f t="shared" si="79"/>
        <x:v/>
      </x:c>
      <x:c r="L835" s="38" t="str">
        <x:f t="shared" si="80"/>
        <x:v/>
      </x:c>
      <x:c r="M835" s="63"/>
      <x:c r="N835" s="30" t="str">
        <x:f>IF(F835="2","",COUNTIF($F$3:$F835,"=1"))</x:f>
        <x:v/>
      </x:c>
      <x:c r="O835" s="30" t="str">
        <x:f t="shared" ref="O835:O898" si="81">IF(F835="2","",IF(N835&lt;=누적시수1,1,IF(N835&lt;=누적시수2,2,IF(N835&lt;=누적시수3,3,IF(N835&lt;=누적시수4,4,IF(N835&lt;=누적시수5,5,IF(N835&lt;=누적시수6,6,IF(N835&lt;=누적시수7,7,IF(N835&lt;=누적시수8,8,IF(N835&lt;=누적시수9,9,IF(N835&lt;=누적시수10,10,IF(N835&lt;=누적시수11,11,IF(N835&lt;=누적시수12,12,IF(N835&lt;=누적시수13,13,IF(N835&lt;=누적시수14,14,IF(N835&lt;=누적시수15,15,IF(N835&lt;=누적시수16,16,IF(N835&lt;=누적시수17,17,IF(N835&lt;=누적시수18,18,IF(N835&lt;=누적시수19,19,IF(N835&lt;=누적시수20,20,IF(N835&lt;=누적시수21,21,IF(N835&lt;=누적시수22,22,IF(N835&lt;=누적시수23,23,IF(N835&lt;=누적시수24,24,IF(N835&lt;=누적시수25,25,0))))))))))))))))))))))))))</x:f>
        <x:v/>
      </x:c>
      <x:c r="P835" s="30">
        <x:f t="shared" si="77"/>
        <x:v>7</x:v>
      </x:c>
      <x:c r="Q835" s="30">
        <x:f>COUNTIF($P$3:P835,"=3")</x:f>
        <x:v>93</x:v>
      </x:c>
      <x:c r="R835" s="29">
        <x:f>WORKDAY(기본입력!$H$2,Q835-1,공휴일)</x:f>
        <x:v>46059</x:v>
      </x:c>
    </x:row>
    <x:row r="836" spans="1:18">
      <x:c r="A836" s="144" t="str">
        <x:f t="shared" ref="A836:A899" si="82">TEXT(R836,"yyyymmdd")</x:f>
        <x:v>20260206</x:v>
      </x:c>
      <x:c r="B836" s="6" t="s">
        <x:v>5</x:v>
      </x:c>
      <x:c r="C836" s="6">
        <x:v>1740</x:v>
      </x:c>
      <x:c r="D836" s="5" t="s">
        <x:v>1</x:v>
      </x:c>
      <x:c r="E836" s="6">
        <x:v>1340</x:v>
      </x:c>
      <x:c r="F836" s="6" t="s">
        <x:v>40</x:v>
      </x:c>
      <x:c r="G836" s="14" t="str">
        <x:f>IF(OR(N836="",N836&gt;기본입력!$C$34),"",VLOOKUP(O836,기본입력!$A$9:$F$33,5))</x:f>
        <x:v>양현수_53778</x:v>
      </x:c>
      <x:c r="H836" s="14" t="str">
        <x:f>IF(OR(N836="",N836&gt;기본입력!$C$34),"",기본입력!$C$6)</x:f>
        <x:v>1교육실(실습겸용강의실)_243089</x:v>
      </x:c>
      <x:c r="I836" s="14" t="str">
        <x:f>IF(OR(O836="",N836&gt;기본입력!$C$34),"",VLOOKUP(O836,기본입력!$A$9:$F$33,6,FALSE))</x:f>
        <x:v>Final 프로젝트__10</x:v>
      </x:c>
      <x:c r="J836" s="38" t="str">
        <x:f t="shared" si="78"/>
        <x:v>Final 프로젝트</x:v>
      </x:c>
      <x:c r="K836" s="38" t="str">
        <x:f t="shared" si="79"/>
        <x:v>1교육실(실습겸용강의실)</x:v>
      </x:c>
      <x:c r="L836" s="38" t="str">
        <x:f t="shared" si="80"/>
        <x:v>양현수</x:v>
      </x:c>
      <x:c r="M836" s="63"/>
      <x:c r="N836" s="30">
        <x:f>IF(F836="2","",COUNTIF($F$3:$F836,"=1"))</x:f>
        <x:v>741</x:v>
      </x:c>
      <x:c r="O836" s="30">
        <x:f t="shared" si="81"/>
        <x:v>10</x:v>
      </x:c>
      <x:c r="P836" s="30">
        <x:f t="shared" ref="P836:P899" si="83">MOD(ROW(),9)</x:f>
        <x:v>8</x:v>
      </x:c>
      <x:c r="Q836" s="30">
        <x:f>COUNTIF($P$3:P836,"=3")</x:f>
        <x:v>93</x:v>
      </x:c>
      <x:c r="R836" s="29">
        <x:f>WORKDAY(기본입력!$H$2,Q836-1,공휴일)</x:f>
        <x:v>46059</x:v>
      </x:c>
    </x:row>
    <x:row r="837" spans="1:18">
      <x:c r="A837" s="144" t="str">
        <x:f t="shared" si="82"/>
        <x:v>20260206</x:v>
      </x:c>
      <x:c r="B837" s="6" t="s">
        <x:v>5</x:v>
      </x:c>
      <x:c r="C837" s="6">
        <x:v>1740</x:v>
      </x:c>
      <x:c r="D837" s="5" t="s">
        <x:v>1</x:v>
      </x:c>
      <x:c r="E837" s="6">
        <x:v>1440</x:v>
      </x:c>
      <x:c r="F837" s="6" t="s">
        <x:v>40</x:v>
      </x:c>
      <x:c r="G837" s="14" t="str">
        <x:f>IF(OR(N837="",N837&gt;기본입력!$C$34),"",VLOOKUP(O837,기본입력!$A$9:$F$33,5))</x:f>
        <x:v>양현수_53778</x:v>
      </x:c>
      <x:c r="H837" s="14" t="str">
        <x:f>IF(OR(N837="",N837&gt;기본입력!$C$34),"",기본입력!$C$6)</x:f>
        <x:v>1교육실(실습겸용강의실)_243089</x:v>
      </x:c>
      <x:c r="I837" s="14" t="str">
        <x:f>IF(OR(O837="",N837&gt;기본입력!$C$34),"",VLOOKUP(O837,기본입력!$A$9:$F$33,6,FALSE))</x:f>
        <x:v>Final 프로젝트__10</x:v>
      </x:c>
      <x:c r="J837" s="38" t="str">
        <x:f t="shared" si="78"/>
        <x:v>Final 프로젝트</x:v>
      </x:c>
      <x:c r="K837" s="38" t="str">
        <x:f t="shared" si="79"/>
        <x:v>1교육실(실습겸용강의실)</x:v>
      </x:c>
      <x:c r="L837" s="38" t="str">
        <x:f t="shared" si="80"/>
        <x:v>양현수</x:v>
      </x:c>
      <x:c r="M837" s="63"/>
      <x:c r="N837" s="30">
        <x:f>IF(F837="2","",COUNTIF($F$3:$F837,"=1"))</x:f>
        <x:v>742</x:v>
      </x:c>
      <x:c r="O837" s="30">
        <x:f t="shared" si="81"/>
        <x:v>10</x:v>
      </x:c>
      <x:c r="P837" s="30">
        <x:f t="shared" si="83"/>
        <x:v>0</x:v>
      </x:c>
      <x:c r="Q837" s="30">
        <x:f>COUNTIF($P$3:P837,"=3")</x:f>
        <x:v>93</x:v>
      </x:c>
      <x:c r="R837" s="29">
        <x:f>WORKDAY(기본입력!$H$2,Q837-1,공휴일)</x:f>
        <x:v>46059</x:v>
      </x:c>
    </x:row>
    <x:row r="838" spans="1:18">
      <x:c r="A838" s="144" t="str">
        <x:f t="shared" si="82"/>
        <x:v>20260206</x:v>
      </x:c>
      <x:c r="B838" s="6" t="s">
        <x:v>5</x:v>
      </x:c>
      <x:c r="C838" s="6">
        <x:v>1740</x:v>
      </x:c>
      <x:c r="D838" s="5" t="s">
        <x:v>1</x:v>
      </x:c>
      <x:c r="E838" s="6">
        <x:v>1540</x:v>
      </x:c>
      <x:c r="F838" s="6" t="s">
        <x:v>40</x:v>
      </x:c>
      <x:c r="G838" s="14" t="str">
        <x:f>IF(OR(N838="",N838&gt;기본입력!$C$34),"",VLOOKUP(O838,기본입력!$A$9:$F$33,5))</x:f>
        <x:v>양현수_53778</x:v>
      </x:c>
      <x:c r="H838" s="14" t="str">
        <x:f>IF(OR(N838="",N838&gt;기본입력!$C$34),"",기본입력!$C$6)</x:f>
        <x:v>1교육실(실습겸용강의실)_243089</x:v>
      </x:c>
      <x:c r="I838" s="14" t="str">
        <x:f>IF(OR(O838="",N838&gt;기본입력!$C$34),"",VLOOKUP(O838,기본입력!$A$9:$F$33,6,FALSE))</x:f>
        <x:v>Final 프로젝트__10</x:v>
      </x:c>
      <x:c r="J838" s="38" t="str">
        <x:f t="shared" si="78"/>
        <x:v>Final 프로젝트</x:v>
      </x:c>
      <x:c r="K838" s="38" t="str">
        <x:f t="shared" si="79"/>
        <x:v>1교육실(실습겸용강의실)</x:v>
      </x:c>
      <x:c r="L838" s="38" t="str">
        <x:f t="shared" si="80"/>
        <x:v>양현수</x:v>
      </x:c>
      <x:c r="M838" s="63"/>
      <x:c r="N838" s="30">
        <x:f>IF(F838="2","",COUNTIF($F$3:$F838,"=1"))</x:f>
        <x:v>743</x:v>
      </x:c>
      <x:c r="O838" s="30">
        <x:f t="shared" si="81"/>
        <x:v>10</x:v>
      </x:c>
      <x:c r="P838" s="30">
        <x:f t="shared" si="83"/>
        <x:v>1</x:v>
      </x:c>
      <x:c r="Q838" s="30">
        <x:f>COUNTIF($P$3:P838,"=3")</x:f>
        <x:v>93</x:v>
      </x:c>
      <x:c r="R838" s="29">
        <x:f>WORKDAY(기본입력!$H$2,Q838-1,공휴일)</x:f>
        <x:v>46059</x:v>
      </x:c>
    </x:row>
    <x:row r="839" spans="1:18">
      <x:c r="A839" s="144" t="str">
        <x:f t="shared" si="82"/>
        <x:v>20260206</x:v>
      </x:c>
      <x:c r="B839" s="6" t="s">
        <x:v>5</x:v>
      </x:c>
      <x:c r="C839" s="6">
        <x:v>1740</x:v>
      </x:c>
      <x:c r="D839" s="5" t="s">
        <x:v>1</x:v>
      </x:c>
      <x:c r="E839" s="6">
        <x:v>1640</x:v>
      </x:c>
      <x:c r="F839" s="6" t="s">
        <x:v>40</x:v>
      </x:c>
      <x:c r="G839" s="14" t="str">
        <x:f>IF(OR(N839="",N839&gt;기본입력!$C$34),"",VLOOKUP(O839,기본입력!$A$9:$F$33,5))</x:f>
        <x:v>양현수_53778</x:v>
      </x:c>
      <x:c r="H839" s="14" t="str">
        <x:f>IF(OR(N839="",N839&gt;기본입력!$C$34),"",기본입력!$C$6)</x:f>
        <x:v>1교육실(실습겸용강의실)_243089</x:v>
      </x:c>
      <x:c r="I839" s="14" t="str">
        <x:f>IF(OR(O839="",N839&gt;기본입력!$C$34),"",VLOOKUP(O839,기본입력!$A$9:$F$33,6,FALSE))</x:f>
        <x:v>Final 프로젝트__10</x:v>
      </x:c>
      <x:c r="J839" s="38" t="str">
        <x:f t="shared" si="78"/>
        <x:v>Final 프로젝트</x:v>
      </x:c>
      <x:c r="K839" s="38" t="str">
        <x:f t="shared" si="79"/>
        <x:v>1교육실(실습겸용강의실)</x:v>
      </x:c>
      <x:c r="L839" s="38" t="str">
        <x:f t="shared" si="80"/>
        <x:v>양현수</x:v>
      </x:c>
      <x:c r="M839" s="63"/>
      <x:c r="N839" s="30">
        <x:f>IF(F839="2","",COUNTIF($F$3:$F839,"=1"))</x:f>
        <x:v>744</x:v>
      </x:c>
      <x:c r="O839" s="30">
        <x:f t="shared" si="81"/>
        <x:v>10</x:v>
      </x:c>
      <x:c r="P839" s="30">
        <x:f t="shared" si="83"/>
        <x:v>2</x:v>
      </x:c>
      <x:c r="Q839" s="30">
        <x:f>COUNTIF($P$3:P839,"=3")</x:f>
        <x:v>93</x:v>
      </x:c>
      <x:c r="R839" s="29">
        <x:f>WORKDAY(기본입력!$H$2,Q839-1,공휴일)</x:f>
        <x:v>46059</x:v>
      </x:c>
    </x:row>
    <x:row r="840" spans="1:18">
      <x:c r="A840" s="145" t="str">
        <x:f t="shared" si="82"/>
        <x:v>20260209</x:v>
      </x:c>
      <x:c r="B840" s="8" t="s">
        <x:v>5</x:v>
      </x:c>
      <x:c r="C840" s="8">
        <x:v>1740</x:v>
      </x:c>
      <x:c r="D840" s="7" t="s">
        <x:v>1</x:v>
      </x:c>
      <x:c r="E840" s="8" t="s">
        <x:v>5</x:v>
      </x:c>
      <x:c r="F840" s="8" t="s">
        <x:v>40</x:v>
      </x:c>
      <x:c r="G840" s="15" t="str">
        <x:f>IF(OR(N840="",N840&gt;기본입력!$C$34),"",VLOOKUP(O840,기본입력!$A$9:$F$33,5))</x:f>
        <x:v>양현수_53778</x:v>
      </x:c>
      <x:c r="H840" s="15" t="str">
        <x:f>IF(OR(N840="",N840&gt;기본입력!$C$34),"",기본입력!$C$6)</x:f>
        <x:v>1교육실(실습겸용강의실)_243089</x:v>
      </x:c>
      <x:c r="I840" s="15" t="str">
        <x:f>IF(OR(O840="",N840&gt;기본입력!$C$34),"",VLOOKUP(O840,기본입력!$A$9:$F$33,6,FALSE))</x:f>
        <x:v>Final 프로젝트__10</x:v>
      </x:c>
      <x:c r="J840" s="38" t="str">
        <x:f t="shared" si="78"/>
        <x:v>Final 프로젝트</x:v>
      </x:c>
      <x:c r="K840" s="38" t="str">
        <x:f t="shared" si="79"/>
        <x:v>1교육실(실습겸용강의실)</x:v>
      </x:c>
      <x:c r="L840" s="38" t="str">
        <x:f t="shared" si="80"/>
        <x:v>양현수</x:v>
      </x:c>
      <x:c r="M840" s="63"/>
      <x:c r="N840" s="30">
        <x:f>IF(F840="2","",COUNTIF($F$3:$F840,"=1"))</x:f>
        <x:v>745</x:v>
      </x:c>
      <x:c r="O840" s="30">
        <x:f t="shared" si="81"/>
        <x:v>10</x:v>
      </x:c>
      <x:c r="P840" s="30">
        <x:f t="shared" si="83"/>
        <x:v>3</x:v>
      </x:c>
      <x:c r="Q840" s="30">
        <x:f>COUNTIF($P$3:P840,"=3")</x:f>
        <x:v>94</x:v>
      </x:c>
      <x:c r="R840" s="29">
        <x:f>WORKDAY(기본입력!$H$2,Q840-1,공휴일)</x:f>
        <x:v>46062</x:v>
      </x:c>
    </x:row>
    <x:row r="841" spans="1:18">
      <x:c r="A841" s="145" t="str">
        <x:f t="shared" si="82"/>
        <x:v>20260209</x:v>
      </x:c>
      <x:c r="B841" s="8" t="s">
        <x:v>5</x:v>
      </x:c>
      <x:c r="C841" s="8">
        <x:v>1740</x:v>
      </x:c>
      <x:c r="D841" s="7" t="s">
        <x:v>1</x:v>
      </x:c>
      <x:c r="E841" s="8" t="s">
        <x:v>117</x:v>
      </x:c>
      <x:c r="F841" s="8" t="s">
        <x:v>40</x:v>
      </x:c>
      <x:c r="G841" s="15" t="str">
        <x:f>IF(OR(N841="",N841&gt;기본입력!$C$34),"",VLOOKUP(O841,기본입력!$A$9:$F$33,5))</x:f>
        <x:v>양현수_53778</x:v>
      </x:c>
      <x:c r="H841" s="15" t="str">
        <x:f>IF(OR(N841="",N841&gt;기본입력!$C$34),"",기본입력!$C$6)</x:f>
        <x:v>1교육실(실습겸용강의실)_243089</x:v>
      </x:c>
      <x:c r="I841" s="15" t="str">
        <x:f>IF(OR(O841="",N841&gt;기본입력!$C$34),"",VLOOKUP(O841,기본입력!$A$9:$F$33,6,FALSE))</x:f>
        <x:v>Final 프로젝트__10</x:v>
      </x:c>
      <x:c r="J841" s="38" t="str">
        <x:f t="shared" si="78"/>
        <x:v>Final 프로젝트</x:v>
      </x:c>
      <x:c r="K841" s="38" t="str">
        <x:f t="shared" si="79"/>
        <x:v>1교육실(실습겸용강의실)</x:v>
      </x:c>
      <x:c r="L841" s="38" t="str">
        <x:f t="shared" si="80"/>
        <x:v>양현수</x:v>
      </x:c>
      <x:c r="M841" s="63"/>
      <x:c r="N841" s="30">
        <x:f>IF(F841="2","",COUNTIF($F$3:$F841,"=1"))</x:f>
        <x:v>746</x:v>
      </x:c>
      <x:c r="O841" s="30">
        <x:f t="shared" si="81"/>
        <x:v>10</x:v>
      </x:c>
      <x:c r="P841" s="30">
        <x:f t="shared" si="83"/>
        <x:v>4</x:v>
      </x:c>
      <x:c r="Q841" s="30">
        <x:f>COUNTIF($P$3:P841,"=3")</x:f>
        <x:v>94</x:v>
      </x:c>
      <x:c r="R841" s="29">
        <x:f>WORKDAY(기본입력!$H$2,Q841-1,공휴일)</x:f>
        <x:v>46062</x:v>
      </x:c>
    </x:row>
    <x:row r="842" spans="1:18">
      <x:c r="A842" s="145" t="str">
        <x:f t="shared" si="82"/>
        <x:v>20260209</x:v>
      </x:c>
      <x:c r="B842" s="8" t="s">
        <x:v>5</x:v>
      </x:c>
      <x:c r="C842" s="8">
        <x:v>1740</x:v>
      </x:c>
      <x:c r="D842" s="7" t="s">
        <x:v>1</x:v>
      </x:c>
      <x:c r="E842" s="8" t="s">
        <x:v>87</x:v>
      </x:c>
      <x:c r="F842" s="8" t="s">
        <x:v>40</x:v>
      </x:c>
      <x:c r="G842" s="15" t="str">
        <x:f>IF(OR(N842="",N842&gt;기본입력!$C$34),"",VLOOKUP(O842,기본입력!$A$9:$F$33,5))</x:f>
        <x:v>양현수_53778</x:v>
      </x:c>
      <x:c r="H842" s="15" t="str">
        <x:f>IF(OR(N842="",N842&gt;기본입력!$C$34),"",기본입력!$C$6)</x:f>
        <x:v>1교육실(실습겸용강의실)_243089</x:v>
      </x:c>
      <x:c r="I842" s="15" t="str">
        <x:f>IF(OR(O842="",N842&gt;기본입력!$C$34),"",VLOOKUP(O842,기본입력!$A$9:$F$33,6,FALSE))</x:f>
        <x:v>Final 프로젝트__10</x:v>
      </x:c>
      <x:c r="J842" s="38" t="str">
        <x:f t="shared" si="78"/>
        <x:v>Final 프로젝트</x:v>
      </x:c>
      <x:c r="K842" s="38" t="str">
        <x:f t="shared" si="79"/>
        <x:v>1교육실(실습겸용강의실)</x:v>
      </x:c>
      <x:c r="L842" s="38" t="str">
        <x:f t="shared" si="80"/>
        <x:v>양현수</x:v>
      </x:c>
      <x:c r="M842" s="63"/>
      <x:c r="N842" s="30">
        <x:f>IF(F842="2","",COUNTIF($F$3:$F842,"=1"))</x:f>
        <x:v>747</x:v>
      </x:c>
      <x:c r="O842" s="30">
        <x:f t="shared" si="81"/>
        <x:v>10</x:v>
      </x:c>
      <x:c r="P842" s="30">
        <x:f t="shared" si="83"/>
        <x:v>5</x:v>
      </x:c>
      <x:c r="Q842" s="30">
        <x:f>COUNTIF($P$3:P842,"=3")</x:f>
        <x:v>94</x:v>
      </x:c>
      <x:c r="R842" s="29">
        <x:f>WORKDAY(기본입력!$H$2,Q842-1,공휴일)</x:f>
        <x:v>46062</x:v>
      </x:c>
    </x:row>
    <x:row r="843" spans="1:18">
      <x:c r="A843" s="145" t="str">
        <x:f t="shared" si="82"/>
        <x:v>20260209</x:v>
      </x:c>
      <x:c r="B843" s="8" t="s">
        <x:v>5</x:v>
      </x:c>
      <x:c r="C843" s="8">
        <x:v>1740</x:v>
      </x:c>
      <x:c r="D843" s="7" t="s">
        <x:v>1</x:v>
      </x:c>
      <x:c r="E843" s="8" t="s">
        <x:v>88</x:v>
      </x:c>
      <x:c r="F843" s="8" t="s">
        <x:v>40</x:v>
      </x:c>
      <x:c r="G843" s="15" t="str">
        <x:f>IF(OR(N843="",N843&gt;기본입력!$C$34),"",VLOOKUP(O843,기본입력!$A$9:$F$33,5))</x:f>
        <x:v>양현수_53778</x:v>
      </x:c>
      <x:c r="H843" s="15" t="str">
        <x:f>IF(OR(N843="",N843&gt;기본입력!$C$34),"",기본입력!$C$6)</x:f>
        <x:v>1교육실(실습겸용강의실)_243089</x:v>
      </x:c>
      <x:c r="I843" s="15" t="str">
        <x:f>IF(OR(O843="",N843&gt;기본입력!$C$34),"",VLOOKUP(O843,기본입력!$A$9:$F$33,6,FALSE))</x:f>
        <x:v>Final 프로젝트__10</x:v>
      </x:c>
      <x:c r="J843" s="38" t="str">
        <x:f t="shared" si="78"/>
        <x:v>Final 프로젝트</x:v>
      </x:c>
      <x:c r="K843" s="38" t="str">
        <x:f t="shared" si="79"/>
        <x:v>1교육실(실습겸용강의실)</x:v>
      </x:c>
      <x:c r="L843" s="38" t="str">
        <x:f t="shared" si="80"/>
        <x:v>양현수</x:v>
      </x:c>
      <x:c r="M843" s="63"/>
      <x:c r="N843" s="30">
        <x:f>IF(F843="2","",COUNTIF($F$3:$F843,"=1"))</x:f>
        <x:v>748</x:v>
      </x:c>
      <x:c r="O843" s="30">
        <x:f t="shared" si="81"/>
        <x:v>10</x:v>
      </x:c>
      <x:c r="P843" s="30">
        <x:f t="shared" si="83"/>
        <x:v>6</x:v>
      </x:c>
      <x:c r="Q843" s="30">
        <x:f>COUNTIF($P$3:P843,"=3")</x:f>
        <x:v>94</x:v>
      </x:c>
      <x:c r="R843" s="29">
        <x:f>WORKDAY(기본입력!$H$2,Q843-1,공휴일)</x:f>
        <x:v>46062</x:v>
      </x:c>
    </x:row>
    <x:row r="844" spans="1:18">
      <x:c r="A844" s="145" t="str">
        <x:f t="shared" si="82"/>
        <x:v>20260209</x:v>
      </x:c>
      <x:c r="B844" s="8" t="s">
        <x:v>5</x:v>
      </x:c>
      <x:c r="C844" s="8">
        <x:v>1740</x:v>
      </x:c>
      <x:c r="D844" s="7" t="s">
        <x:v>1</x:v>
      </x:c>
      <x:c r="E844" s="8" t="s">
        <x:v>0</x:v>
      </x:c>
      <x:c r="F844" s="8" t="s">
        <x:v>41</x:v>
      </x:c>
      <x:c r="G844" s="15" t="str">
        <x:f>IF(OR(N844="",N844&gt;기본입력!$C$34),"",VLOOKUP(O844,기본입력!$A$9:$F$33,5))</x:f>
        <x:v/>
      </x:c>
      <x:c r="H844" s="15" t="str">
        <x:f>IF(OR(N844="",N844&gt;기본입력!$C$34),"",기본입력!$C$6)</x:f>
        <x:v/>
      </x:c>
      <x:c r="I844" s="15" t="str">
        <x:f>IF(OR(O844="",N844&gt;기본입력!$C$34),"",VLOOKUP(O844,기본입력!$A$9:$F$33,6,FALSE))</x:f>
        <x:v/>
      </x:c>
      <x:c r="J844" s="38" t="str">
        <x:f t="shared" si="78"/>
        <x:v/>
      </x:c>
      <x:c r="K844" s="38" t="str">
        <x:f t="shared" si="79"/>
        <x:v/>
      </x:c>
      <x:c r="L844" s="38" t="str">
        <x:f t="shared" si="80"/>
        <x:v/>
      </x:c>
      <x:c r="M844" s="63"/>
      <x:c r="N844" s="30" t="str">
        <x:f>IF(F844="2","",COUNTIF($F$3:$F844,"=1"))</x:f>
        <x:v/>
      </x:c>
      <x:c r="O844" s="30" t="str">
        <x:f t="shared" si="81"/>
        <x:v/>
      </x:c>
      <x:c r="P844" s="30">
        <x:f t="shared" si="83"/>
        <x:v>7</x:v>
      </x:c>
      <x:c r="Q844" s="30">
        <x:f>COUNTIF($P$3:P844,"=3")</x:f>
        <x:v>94</x:v>
      </x:c>
      <x:c r="R844" s="29">
        <x:f>WORKDAY(기본입력!$H$2,Q844-1,공휴일)</x:f>
        <x:v>46062</x:v>
      </x:c>
    </x:row>
    <x:row r="845" spans="1:18">
      <x:c r="A845" s="145" t="str">
        <x:f t="shared" si="82"/>
        <x:v>20260209</x:v>
      </x:c>
      <x:c r="B845" s="8" t="s">
        <x:v>5</x:v>
      </x:c>
      <x:c r="C845" s="8">
        <x:v>1740</x:v>
      </x:c>
      <x:c r="D845" s="7" t="s">
        <x:v>1</x:v>
      </x:c>
      <x:c r="E845" s="8">
        <x:v>1340</x:v>
      </x:c>
      <x:c r="F845" s="8" t="s">
        <x:v>40</x:v>
      </x:c>
      <x:c r="G845" s="15" t="str">
        <x:f>IF(OR(N845="",N845&gt;기본입력!$C$34),"",VLOOKUP(O845,기본입력!$A$9:$F$33,5))</x:f>
        <x:v>양현수_53778</x:v>
      </x:c>
      <x:c r="H845" s="15" t="str">
        <x:f>IF(OR(N845="",N845&gt;기본입력!$C$34),"",기본입력!$C$6)</x:f>
        <x:v>1교육실(실습겸용강의실)_243089</x:v>
      </x:c>
      <x:c r="I845" s="15" t="str">
        <x:f>IF(OR(O845="",N845&gt;기본입력!$C$34),"",VLOOKUP(O845,기본입력!$A$9:$F$33,6,FALSE))</x:f>
        <x:v>Final 프로젝트__10</x:v>
      </x:c>
      <x:c r="J845" s="38" t="str">
        <x:f t="shared" si="78"/>
        <x:v>Final 프로젝트</x:v>
      </x:c>
      <x:c r="K845" s="38" t="str">
        <x:f t="shared" si="79"/>
        <x:v>1교육실(실습겸용강의실)</x:v>
      </x:c>
      <x:c r="L845" s="38" t="str">
        <x:f t="shared" si="80"/>
        <x:v>양현수</x:v>
      </x:c>
      <x:c r="M845" s="63"/>
      <x:c r="N845" s="30">
        <x:f>IF(F845="2","",COUNTIF($F$3:$F845,"=1"))</x:f>
        <x:v>749</x:v>
      </x:c>
      <x:c r="O845" s="30">
        <x:f t="shared" si="81"/>
        <x:v>10</x:v>
      </x:c>
      <x:c r="P845" s="30">
        <x:f t="shared" si="83"/>
        <x:v>8</x:v>
      </x:c>
      <x:c r="Q845" s="30">
        <x:f>COUNTIF($P$3:P845,"=3")</x:f>
        <x:v>94</x:v>
      </x:c>
      <x:c r="R845" s="29">
        <x:f>WORKDAY(기본입력!$H$2,Q845-1,공휴일)</x:f>
        <x:v>46062</x:v>
      </x:c>
    </x:row>
    <x:row r="846" spans="1:18">
      <x:c r="A846" s="145" t="str">
        <x:f t="shared" si="82"/>
        <x:v>20260209</x:v>
      </x:c>
      <x:c r="B846" s="8" t="s">
        <x:v>5</x:v>
      </x:c>
      <x:c r="C846" s="8">
        <x:v>1740</x:v>
      </x:c>
      <x:c r="D846" s="7" t="s">
        <x:v>1</x:v>
      </x:c>
      <x:c r="E846" s="8">
        <x:v>1440</x:v>
      </x:c>
      <x:c r="F846" s="8" t="s">
        <x:v>40</x:v>
      </x:c>
      <x:c r="G846" s="15" t="str">
        <x:f>IF(OR(N846="",N846&gt;기본입력!$C$34),"",VLOOKUP(O846,기본입력!$A$9:$F$33,5))</x:f>
        <x:v>양현수_53778</x:v>
      </x:c>
      <x:c r="H846" s="15" t="str">
        <x:f>IF(OR(N846="",N846&gt;기본입력!$C$34),"",기본입력!$C$6)</x:f>
        <x:v>1교육실(실습겸용강의실)_243089</x:v>
      </x:c>
      <x:c r="I846" s="15" t="str">
        <x:f>IF(OR(O846="",N846&gt;기본입력!$C$34),"",VLOOKUP(O846,기본입력!$A$9:$F$33,6,FALSE))</x:f>
        <x:v>Final 프로젝트__10</x:v>
      </x:c>
      <x:c r="J846" s="38" t="str">
        <x:f t="shared" si="78"/>
        <x:v>Final 프로젝트</x:v>
      </x:c>
      <x:c r="K846" s="38" t="str">
        <x:f t="shared" si="79"/>
        <x:v>1교육실(실습겸용강의실)</x:v>
      </x:c>
      <x:c r="L846" s="38" t="str">
        <x:f t="shared" si="80"/>
        <x:v>양현수</x:v>
      </x:c>
      <x:c r="M846" s="63"/>
      <x:c r="N846" s="30">
        <x:f>IF(F846="2","",COUNTIF($F$3:$F846,"=1"))</x:f>
        <x:v>750</x:v>
      </x:c>
      <x:c r="O846" s="30">
        <x:f t="shared" si="81"/>
        <x:v>10</x:v>
      </x:c>
      <x:c r="P846" s="30">
        <x:f t="shared" si="83"/>
        <x:v>0</x:v>
      </x:c>
      <x:c r="Q846" s="30">
        <x:f>COUNTIF($P$3:P846,"=3")</x:f>
        <x:v>94</x:v>
      </x:c>
      <x:c r="R846" s="29">
        <x:f>WORKDAY(기본입력!$H$2,Q846-1,공휴일)</x:f>
        <x:v>46062</x:v>
      </x:c>
    </x:row>
    <x:row r="847" spans="1:18">
      <x:c r="A847" s="145" t="str">
        <x:f t="shared" si="82"/>
        <x:v>20260209</x:v>
      </x:c>
      <x:c r="B847" s="8" t="s">
        <x:v>5</x:v>
      </x:c>
      <x:c r="C847" s="8">
        <x:v>1740</x:v>
      </x:c>
      <x:c r="D847" s="7" t="s">
        <x:v>1</x:v>
      </x:c>
      <x:c r="E847" s="8">
        <x:v>1540</x:v>
      </x:c>
      <x:c r="F847" s="8" t="s">
        <x:v>40</x:v>
      </x:c>
      <x:c r="G847" s="15" t="str">
        <x:f>IF(OR(N847="",N847&gt;기본입력!$C$34),"",VLOOKUP(O847,기본입력!$A$9:$F$33,5))</x:f>
        <x:v>양현수_53778</x:v>
      </x:c>
      <x:c r="H847" s="15" t="str">
        <x:f>IF(OR(N847="",N847&gt;기본입력!$C$34),"",기본입력!$C$6)</x:f>
        <x:v>1교육실(실습겸용강의실)_243089</x:v>
      </x:c>
      <x:c r="I847" s="15" t="str">
        <x:f>IF(OR(O847="",N847&gt;기본입력!$C$34),"",VLOOKUP(O847,기본입력!$A$9:$F$33,6,FALSE))</x:f>
        <x:v>Final 프로젝트__10</x:v>
      </x:c>
      <x:c r="J847" s="38" t="str">
        <x:f t="shared" si="78"/>
        <x:v>Final 프로젝트</x:v>
      </x:c>
      <x:c r="K847" s="38" t="str">
        <x:f t="shared" si="79"/>
        <x:v>1교육실(실습겸용강의실)</x:v>
      </x:c>
      <x:c r="L847" s="38" t="str">
        <x:f t="shared" si="80"/>
        <x:v>양현수</x:v>
      </x:c>
      <x:c r="M847" s="63"/>
      <x:c r="N847" s="30">
        <x:f>IF(F847="2","",COUNTIF($F$3:$F847,"=1"))</x:f>
        <x:v>751</x:v>
      </x:c>
      <x:c r="O847" s="30">
        <x:f t="shared" si="81"/>
        <x:v>10</x:v>
      </x:c>
      <x:c r="P847" s="30">
        <x:f t="shared" si="83"/>
        <x:v>1</x:v>
      </x:c>
      <x:c r="Q847" s="30">
        <x:f>COUNTIF($P$3:P847,"=3")</x:f>
        <x:v>94</x:v>
      </x:c>
      <x:c r="R847" s="29">
        <x:f>WORKDAY(기본입력!$H$2,Q847-1,공휴일)</x:f>
        <x:v>46062</x:v>
      </x:c>
    </x:row>
    <x:row r="848" spans="1:18">
      <x:c r="A848" s="145" t="str">
        <x:f t="shared" si="82"/>
        <x:v>20260209</x:v>
      </x:c>
      <x:c r="B848" s="8" t="s">
        <x:v>5</x:v>
      </x:c>
      <x:c r="C848" s="8">
        <x:v>1740</x:v>
      </x:c>
      <x:c r="D848" s="7" t="s">
        <x:v>1</x:v>
      </x:c>
      <x:c r="E848" s="8">
        <x:v>1640</x:v>
      </x:c>
      <x:c r="F848" s="8" t="s">
        <x:v>40</x:v>
      </x:c>
      <x:c r="G848" s="15" t="str">
        <x:f>IF(OR(N848="",N848&gt;기본입력!$C$34),"",VLOOKUP(O848,기본입력!$A$9:$F$33,5))</x:f>
        <x:v>양현수_53778</x:v>
      </x:c>
      <x:c r="H848" s="15" t="str">
        <x:f>IF(OR(N848="",N848&gt;기본입력!$C$34),"",기본입력!$C$6)</x:f>
        <x:v>1교육실(실습겸용강의실)_243089</x:v>
      </x:c>
      <x:c r="I848" s="15" t="str">
        <x:f>IF(OR(O848="",N848&gt;기본입력!$C$34),"",VLOOKUP(O848,기본입력!$A$9:$F$33,6,FALSE))</x:f>
        <x:v>Final 프로젝트__10</x:v>
      </x:c>
      <x:c r="J848" s="38" t="str">
        <x:f t="shared" si="78"/>
        <x:v>Final 프로젝트</x:v>
      </x:c>
      <x:c r="K848" s="38" t="str">
        <x:f t="shared" si="79"/>
        <x:v>1교육실(실습겸용강의실)</x:v>
      </x:c>
      <x:c r="L848" s="38" t="str">
        <x:f t="shared" si="80"/>
        <x:v>양현수</x:v>
      </x:c>
      <x:c r="M848" s="63"/>
      <x:c r="N848" s="30">
        <x:f>IF(F848="2","",COUNTIF($F$3:$F848,"=1"))</x:f>
        <x:v>752</x:v>
      </x:c>
      <x:c r="O848" s="30">
        <x:f t="shared" si="81"/>
        <x:v>10</x:v>
      </x:c>
      <x:c r="P848" s="30">
        <x:f t="shared" si="83"/>
        <x:v>2</x:v>
      </x:c>
      <x:c r="Q848" s="30">
        <x:f>COUNTIF($P$3:P848,"=3")</x:f>
        <x:v>94</x:v>
      </x:c>
      <x:c r="R848" s="29">
        <x:f>WORKDAY(기본입력!$H$2,Q848-1,공휴일)</x:f>
        <x:v>46062</x:v>
      </x:c>
    </x:row>
    <x:row r="849" spans="1:18">
      <x:c r="A849" s="144" t="str">
        <x:f t="shared" si="82"/>
        <x:v>20260210</x:v>
      </x:c>
      <x:c r="B849" s="6" t="s">
        <x:v>5</x:v>
      </x:c>
      <x:c r="C849" s="6">
        <x:v>1740</x:v>
      </x:c>
      <x:c r="D849" s="5" t="s">
        <x:v>1</x:v>
      </x:c>
      <x:c r="E849" s="6" t="s">
        <x:v>5</x:v>
      </x:c>
      <x:c r="F849" s="6" t="s">
        <x:v>40</x:v>
      </x:c>
      <x:c r="G849" s="14" t="str">
        <x:f>IF(OR(N849="",N849&gt;기본입력!$C$34),"",VLOOKUP(O849,기본입력!$A$9:$F$33,5))</x:f>
        <x:v>양현수_53778</x:v>
      </x:c>
      <x:c r="H849" s="14" t="str">
        <x:f>IF(OR(N849="",N849&gt;기본입력!$C$34),"",기본입력!$C$6)</x:f>
        <x:v>1교육실(실습겸용강의실)_243089</x:v>
      </x:c>
      <x:c r="I849" s="14" t="str">
        <x:f>IF(OR(O849="",N849&gt;기본입력!$C$34),"",VLOOKUP(O849,기본입력!$A$9:$F$33,6,FALSE))</x:f>
        <x:v>Final 프로젝트__10</x:v>
      </x:c>
      <x:c r="J849" s="38" t="str">
        <x:f t="shared" si="78"/>
        <x:v>Final 프로젝트</x:v>
      </x:c>
      <x:c r="K849" s="38" t="str">
        <x:f t="shared" si="79"/>
        <x:v>1교육실(실습겸용강의실)</x:v>
      </x:c>
      <x:c r="L849" s="38" t="str">
        <x:f t="shared" si="80"/>
        <x:v>양현수</x:v>
      </x:c>
      <x:c r="M849" s="63"/>
      <x:c r="N849" s="30">
        <x:f>IF(F849="2","",COUNTIF($F$3:$F849,"=1"))</x:f>
        <x:v>753</x:v>
      </x:c>
      <x:c r="O849" s="30">
        <x:f t="shared" si="81"/>
        <x:v>10</x:v>
      </x:c>
      <x:c r="P849" s="30">
        <x:f t="shared" si="83"/>
        <x:v>3</x:v>
      </x:c>
      <x:c r="Q849" s="30">
        <x:f>COUNTIF($P$3:P849,"=3")</x:f>
        <x:v>95</x:v>
      </x:c>
      <x:c r="R849" s="29">
        <x:f>WORKDAY(기본입력!$H$2,Q849-1,공휴일)</x:f>
        <x:v>46063</x:v>
      </x:c>
    </x:row>
    <x:row r="850" spans="1:18">
      <x:c r="A850" s="144" t="str">
        <x:f t="shared" si="82"/>
        <x:v>20260210</x:v>
      </x:c>
      <x:c r="B850" s="6" t="s">
        <x:v>5</x:v>
      </x:c>
      <x:c r="C850" s="6">
        <x:v>1740</x:v>
      </x:c>
      <x:c r="D850" s="5" t="s">
        <x:v>1</x:v>
      </x:c>
      <x:c r="E850" s="6" t="s">
        <x:v>117</x:v>
      </x:c>
      <x:c r="F850" s="6" t="s">
        <x:v>40</x:v>
      </x:c>
      <x:c r="G850" s="14" t="str">
        <x:f>IF(OR(N850="",N850&gt;기본입력!$C$34),"",VLOOKUP(O850,기본입력!$A$9:$F$33,5))</x:f>
        <x:v>양현수_53778</x:v>
      </x:c>
      <x:c r="H850" s="14" t="str">
        <x:f>IF(OR(N850="",N850&gt;기본입력!$C$34),"",기본입력!$C$6)</x:f>
        <x:v>1교육실(실습겸용강의실)_243089</x:v>
      </x:c>
      <x:c r="I850" s="14" t="str">
        <x:f>IF(OR(O850="",N850&gt;기본입력!$C$34),"",VLOOKUP(O850,기본입력!$A$9:$F$33,6,FALSE))</x:f>
        <x:v>Final 프로젝트__10</x:v>
      </x:c>
      <x:c r="J850" s="38" t="str">
        <x:f t="shared" si="78"/>
        <x:v>Final 프로젝트</x:v>
      </x:c>
      <x:c r="K850" s="38" t="str">
        <x:f t="shared" si="79"/>
        <x:v>1교육실(실습겸용강의실)</x:v>
      </x:c>
      <x:c r="L850" s="38" t="str">
        <x:f t="shared" si="80"/>
        <x:v>양현수</x:v>
      </x:c>
      <x:c r="M850" s="63"/>
      <x:c r="N850" s="30">
        <x:f>IF(F850="2","",COUNTIF($F$3:$F850,"=1"))</x:f>
        <x:v>754</x:v>
      </x:c>
      <x:c r="O850" s="30">
        <x:f t="shared" si="81"/>
        <x:v>10</x:v>
      </x:c>
      <x:c r="P850" s="30">
        <x:f t="shared" si="83"/>
        <x:v>4</x:v>
      </x:c>
      <x:c r="Q850" s="30">
        <x:f>COUNTIF($P$3:P850,"=3")</x:f>
        <x:v>95</x:v>
      </x:c>
      <x:c r="R850" s="29">
        <x:f>WORKDAY(기본입력!$H$2,Q850-1,공휴일)</x:f>
        <x:v>46063</x:v>
      </x:c>
    </x:row>
    <x:row r="851" spans="1:18">
      <x:c r="A851" s="144" t="str">
        <x:f t="shared" si="82"/>
        <x:v>20260210</x:v>
      </x:c>
      <x:c r="B851" s="6" t="s">
        <x:v>5</x:v>
      </x:c>
      <x:c r="C851" s="6">
        <x:v>1740</x:v>
      </x:c>
      <x:c r="D851" s="5" t="s">
        <x:v>1</x:v>
      </x:c>
      <x:c r="E851" s="6" t="s">
        <x:v>87</x:v>
      </x:c>
      <x:c r="F851" s="6" t="s">
        <x:v>40</x:v>
      </x:c>
      <x:c r="G851" s="14" t="str">
        <x:f>IF(OR(N851="",N851&gt;기본입력!$C$34),"",VLOOKUP(O851,기본입력!$A$9:$F$33,5))</x:f>
        <x:v>양현수_53778</x:v>
      </x:c>
      <x:c r="H851" s="14" t="str">
        <x:f>IF(OR(N851="",N851&gt;기본입력!$C$34),"",기본입력!$C$6)</x:f>
        <x:v>1교육실(실습겸용강의실)_243089</x:v>
      </x:c>
      <x:c r="I851" s="14" t="str">
        <x:f>IF(OR(O851="",N851&gt;기본입력!$C$34),"",VLOOKUP(O851,기본입력!$A$9:$F$33,6,FALSE))</x:f>
        <x:v>Final 프로젝트__10</x:v>
      </x:c>
      <x:c r="J851" s="38" t="str">
        <x:f t="shared" si="78"/>
        <x:v>Final 프로젝트</x:v>
      </x:c>
      <x:c r="K851" s="38" t="str">
        <x:f t="shared" si="79"/>
        <x:v>1교육실(실습겸용강의실)</x:v>
      </x:c>
      <x:c r="L851" s="38" t="str">
        <x:f t="shared" si="80"/>
        <x:v>양현수</x:v>
      </x:c>
      <x:c r="M851" s="63"/>
      <x:c r="N851" s="30">
        <x:f>IF(F851="2","",COUNTIF($F$3:$F851,"=1"))</x:f>
        <x:v>755</x:v>
      </x:c>
      <x:c r="O851" s="30">
        <x:f t="shared" si="81"/>
        <x:v>10</x:v>
      </x:c>
      <x:c r="P851" s="30">
        <x:f t="shared" si="83"/>
        <x:v>5</x:v>
      </x:c>
      <x:c r="Q851" s="30">
        <x:f>COUNTIF($P$3:P851,"=3")</x:f>
        <x:v>95</x:v>
      </x:c>
      <x:c r="R851" s="29">
        <x:f>WORKDAY(기본입력!$H$2,Q851-1,공휴일)</x:f>
        <x:v>46063</x:v>
      </x:c>
    </x:row>
    <x:row r="852" spans="1:18">
      <x:c r="A852" s="144" t="str">
        <x:f t="shared" si="82"/>
        <x:v>20260210</x:v>
      </x:c>
      <x:c r="B852" s="6" t="s">
        <x:v>5</x:v>
      </x:c>
      <x:c r="C852" s="6">
        <x:v>1740</x:v>
      </x:c>
      <x:c r="D852" s="5" t="s">
        <x:v>1</x:v>
      </x:c>
      <x:c r="E852" s="6" t="s">
        <x:v>88</x:v>
      </x:c>
      <x:c r="F852" s="6" t="s">
        <x:v>40</x:v>
      </x:c>
      <x:c r="G852" s="14" t="str">
        <x:f>IF(OR(N852="",N852&gt;기본입력!$C$34),"",VLOOKUP(O852,기본입력!$A$9:$F$33,5))</x:f>
        <x:v>양현수_53778</x:v>
      </x:c>
      <x:c r="H852" s="14" t="str">
        <x:f>IF(OR(N852="",N852&gt;기본입력!$C$34),"",기본입력!$C$6)</x:f>
        <x:v>1교육실(실습겸용강의실)_243089</x:v>
      </x:c>
      <x:c r="I852" s="14" t="str">
        <x:f>IF(OR(O852="",N852&gt;기본입력!$C$34),"",VLOOKUP(O852,기본입력!$A$9:$F$33,6,FALSE))</x:f>
        <x:v>Final 프로젝트__10</x:v>
      </x:c>
      <x:c r="J852" s="38" t="str">
        <x:f t="shared" si="78"/>
        <x:v>Final 프로젝트</x:v>
      </x:c>
      <x:c r="K852" s="38" t="str">
        <x:f t="shared" si="79"/>
        <x:v>1교육실(실습겸용강의실)</x:v>
      </x:c>
      <x:c r="L852" s="38" t="str">
        <x:f t="shared" si="80"/>
        <x:v>양현수</x:v>
      </x:c>
      <x:c r="M852" s="63"/>
      <x:c r="N852" s="30">
        <x:f>IF(F852="2","",COUNTIF($F$3:$F852,"=1"))</x:f>
        <x:v>756</x:v>
      </x:c>
      <x:c r="O852" s="30">
        <x:f t="shared" si="81"/>
        <x:v>10</x:v>
      </x:c>
      <x:c r="P852" s="30">
        <x:f t="shared" si="83"/>
        <x:v>6</x:v>
      </x:c>
      <x:c r="Q852" s="30">
        <x:f>COUNTIF($P$3:P852,"=3")</x:f>
        <x:v>95</x:v>
      </x:c>
      <x:c r="R852" s="29">
        <x:f>WORKDAY(기본입력!$H$2,Q852-1,공휴일)</x:f>
        <x:v>46063</x:v>
      </x:c>
    </x:row>
    <x:row r="853" spans="1:18">
      <x:c r="A853" s="144" t="str">
        <x:f t="shared" si="82"/>
        <x:v>20260210</x:v>
      </x:c>
      <x:c r="B853" s="6" t="s">
        <x:v>5</x:v>
      </x:c>
      <x:c r="C853" s="6">
        <x:v>1740</x:v>
      </x:c>
      <x:c r="D853" s="5" t="s">
        <x:v>1</x:v>
      </x:c>
      <x:c r="E853" s="6" t="s">
        <x:v>0</x:v>
      </x:c>
      <x:c r="F853" s="6" t="s">
        <x:v>41</x:v>
      </x:c>
      <x:c r="G853" s="14" t="str">
        <x:f>IF(OR(N853="",N853&gt;기본입력!$C$34),"",VLOOKUP(O853,기본입력!$A$9:$F$33,5))</x:f>
        <x:v/>
      </x:c>
      <x:c r="H853" s="14" t="str">
        <x:f>IF(OR(N853="",N853&gt;기본입력!$C$34),"",기본입력!$C$6)</x:f>
        <x:v/>
      </x:c>
      <x:c r="I853" s="14" t="str">
        <x:f>IF(OR(O853="",N853&gt;기본입력!$C$34),"",VLOOKUP(O853,기본입력!$A$9:$F$33,6,FALSE))</x:f>
        <x:v/>
      </x:c>
      <x:c r="J853" s="38" t="str">
        <x:f t="shared" si="78"/>
        <x:v/>
      </x:c>
      <x:c r="K853" s="38" t="str">
        <x:f t="shared" si="79"/>
        <x:v/>
      </x:c>
      <x:c r="L853" s="38" t="str">
        <x:f t="shared" si="80"/>
        <x:v/>
      </x:c>
      <x:c r="M853" s="63"/>
      <x:c r="N853" s="30" t="str">
        <x:f>IF(F853="2","",COUNTIF($F$3:$F853,"=1"))</x:f>
        <x:v/>
      </x:c>
      <x:c r="O853" s="30" t="str">
        <x:f t="shared" si="81"/>
        <x:v/>
      </x:c>
      <x:c r="P853" s="30">
        <x:f t="shared" si="83"/>
        <x:v>7</x:v>
      </x:c>
      <x:c r="Q853" s="30">
        <x:f>COUNTIF($P$3:P853,"=3")</x:f>
        <x:v>95</x:v>
      </x:c>
      <x:c r="R853" s="29">
        <x:f>WORKDAY(기본입력!$H$2,Q853-1,공휴일)</x:f>
        <x:v>46063</x:v>
      </x:c>
    </x:row>
    <x:row r="854" spans="1:18">
      <x:c r="A854" s="144" t="str">
        <x:f t="shared" si="82"/>
        <x:v>20260210</x:v>
      </x:c>
      <x:c r="B854" s="6" t="s">
        <x:v>5</x:v>
      </x:c>
      <x:c r="C854" s="6">
        <x:v>1740</x:v>
      </x:c>
      <x:c r="D854" s="5" t="s">
        <x:v>1</x:v>
      </x:c>
      <x:c r="E854" s="6">
        <x:v>1340</x:v>
      </x:c>
      <x:c r="F854" s="6" t="s">
        <x:v>40</x:v>
      </x:c>
      <x:c r="G854" s="14" t="str">
        <x:f>IF(OR(N854="",N854&gt;기본입력!$C$34),"",VLOOKUP(O854,기본입력!$A$9:$F$33,5))</x:f>
        <x:v>양현수_53778</x:v>
      </x:c>
      <x:c r="H854" s="14" t="str">
        <x:f>IF(OR(N854="",N854&gt;기본입력!$C$34),"",기본입력!$C$6)</x:f>
        <x:v>1교육실(실습겸용강의실)_243089</x:v>
      </x:c>
      <x:c r="I854" s="14" t="str">
        <x:f>IF(OR(O854="",N854&gt;기본입력!$C$34),"",VLOOKUP(O854,기본입력!$A$9:$F$33,6,FALSE))</x:f>
        <x:v>Final 프로젝트__10</x:v>
      </x:c>
      <x:c r="J854" s="38" t="str">
        <x:f t="shared" si="78"/>
        <x:v>Final 프로젝트</x:v>
      </x:c>
      <x:c r="K854" s="38" t="str">
        <x:f t="shared" si="79"/>
        <x:v>1교육실(실습겸용강의실)</x:v>
      </x:c>
      <x:c r="L854" s="38" t="str">
        <x:f t="shared" si="80"/>
        <x:v>양현수</x:v>
      </x:c>
      <x:c r="M854" s="63"/>
      <x:c r="N854" s="30">
        <x:f>IF(F854="2","",COUNTIF($F$3:$F854,"=1"))</x:f>
        <x:v>757</x:v>
      </x:c>
      <x:c r="O854" s="30">
        <x:f t="shared" si="81"/>
        <x:v>10</x:v>
      </x:c>
      <x:c r="P854" s="30">
        <x:f t="shared" si="83"/>
        <x:v>8</x:v>
      </x:c>
      <x:c r="Q854" s="30">
        <x:f>COUNTIF($P$3:P854,"=3")</x:f>
        <x:v>95</x:v>
      </x:c>
      <x:c r="R854" s="29">
        <x:f>WORKDAY(기본입력!$H$2,Q854-1,공휴일)</x:f>
        <x:v>46063</x:v>
      </x:c>
    </x:row>
    <x:row r="855" spans="1:18">
      <x:c r="A855" s="144" t="str">
        <x:f t="shared" si="82"/>
        <x:v>20260210</x:v>
      </x:c>
      <x:c r="B855" s="6" t="s">
        <x:v>5</x:v>
      </x:c>
      <x:c r="C855" s="6">
        <x:v>1740</x:v>
      </x:c>
      <x:c r="D855" s="5" t="s">
        <x:v>1</x:v>
      </x:c>
      <x:c r="E855" s="6">
        <x:v>1440</x:v>
      </x:c>
      <x:c r="F855" s="6" t="s">
        <x:v>40</x:v>
      </x:c>
      <x:c r="G855" s="14" t="str">
        <x:f>IF(OR(N855="",N855&gt;기본입력!$C$34),"",VLOOKUP(O855,기본입력!$A$9:$F$33,5))</x:f>
        <x:v>양현수_53778</x:v>
      </x:c>
      <x:c r="H855" s="14" t="str">
        <x:f>IF(OR(N855="",N855&gt;기본입력!$C$34),"",기본입력!$C$6)</x:f>
        <x:v>1교육실(실습겸용강의실)_243089</x:v>
      </x:c>
      <x:c r="I855" s="14" t="str">
        <x:f>IF(OR(O855="",N855&gt;기본입력!$C$34),"",VLOOKUP(O855,기본입력!$A$9:$F$33,6,FALSE))</x:f>
        <x:v>Final 프로젝트__10</x:v>
      </x:c>
      <x:c r="J855" s="38" t="str">
        <x:f t="shared" si="78"/>
        <x:v>Final 프로젝트</x:v>
      </x:c>
      <x:c r="K855" s="38" t="str">
        <x:f t="shared" si="79"/>
        <x:v>1교육실(실습겸용강의실)</x:v>
      </x:c>
      <x:c r="L855" s="38" t="str">
        <x:f t="shared" si="80"/>
        <x:v>양현수</x:v>
      </x:c>
      <x:c r="M855" s="63"/>
      <x:c r="N855" s="30">
        <x:f>IF(F855="2","",COUNTIF($F$3:$F855,"=1"))</x:f>
        <x:v>758</x:v>
      </x:c>
      <x:c r="O855" s="30">
        <x:f t="shared" si="81"/>
        <x:v>10</x:v>
      </x:c>
      <x:c r="P855" s="30">
        <x:f t="shared" si="83"/>
        <x:v>0</x:v>
      </x:c>
      <x:c r="Q855" s="30">
        <x:f>COUNTIF($P$3:P855,"=3")</x:f>
        <x:v>95</x:v>
      </x:c>
      <x:c r="R855" s="29">
        <x:f>WORKDAY(기본입력!$H$2,Q855-1,공휴일)</x:f>
        <x:v>46063</x:v>
      </x:c>
    </x:row>
    <x:row r="856" spans="1:18">
      <x:c r="A856" s="144" t="str">
        <x:f t="shared" si="82"/>
        <x:v>20260210</x:v>
      </x:c>
      <x:c r="B856" s="6" t="s">
        <x:v>5</x:v>
      </x:c>
      <x:c r="C856" s="6">
        <x:v>1740</x:v>
      </x:c>
      <x:c r="D856" s="5" t="s">
        <x:v>1</x:v>
      </x:c>
      <x:c r="E856" s="6">
        <x:v>1540</x:v>
      </x:c>
      <x:c r="F856" s="6" t="s">
        <x:v>40</x:v>
      </x:c>
      <x:c r="G856" s="14" t="str">
        <x:f>IF(OR(N856="",N856&gt;기본입력!$C$34),"",VLOOKUP(O856,기본입력!$A$9:$F$33,5))</x:f>
        <x:v>양현수_53778</x:v>
      </x:c>
      <x:c r="H856" s="14" t="str">
        <x:f>IF(OR(N856="",N856&gt;기본입력!$C$34),"",기본입력!$C$6)</x:f>
        <x:v>1교육실(실습겸용강의실)_243089</x:v>
      </x:c>
      <x:c r="I856" s="14" t="str">
        <x:f>IF(OR(O856="",N856&gt;기본입력!$C$34),"",VLOOKUP(O856,기본입력!$A$9:$F$33,6,FALSE))</x:f>
        <x:v>Final 프로젝트__10</x:v>
      </x:c>
      <x:c r="J856" s="38" t="str">
        <x:f t="shared" si="78"/>
        <x:v>Final 프로젝트</x:v>
      </x:c>
      <x:c r="K856" s="38" t="str">
        <x:f t="shared" si="79"/>
        <x:v>1교육실(실습겸용강의실)</x:v>
      </x:c>
      <x:c r="L856" s="38" t="str">
        <x:f t="shared" si="80"/>
        <x:v>양현수</x:v>
      </x:c>
      <x:c r="M856" s="63"/>
      <x:c r="N856" s="30">
        <x:f>IF(F856="2","",COUNTIF($F$3:$F856,"=1"))</x:f>
        <x:v>759</x:v>
      </x:c>
      <x:c r="O856" s="30">
        <x:f t="shared" si="81"/>
        <x:v>10</x:v>
      </x:c>
      <x:c r="P856" s="30">
        <x:f t="shared" si="83"/>
        <x:v>1</x:v>
      </x:c>
      <x:c r="Q856" s="30">
        <x:f>COUNTIF($P$3:P856,"=3")</x:f>
        <x:v>95</x:v>
      </x:c>
      <x:c r="R856" s="29">
        <x:f>WORKDAY(기본입력!$H$2,Q856-1,공휴일)</x:f>
        <x:v>46063</x:v>
      </x:c>
    </x:row>
    <x:row r="857" spans="1:18">
      <x:c r="A857" s="144" t="str">
        <x:f t="shared" si="82"/>
        <x:v>20260210</x:v>
      </x:c>
      <x:c r="B857" s="6" t="s">
        <x:v>5</x:v>
      </x:c>
      <x:c r="C857" s="6">
        <x:v>1740</x:v>
      </x:c>
      <x:c r="D857" s="5" t="s">
        <x:v>1</x:v>
      </x:c>
      <x:c r="E857" s="6">
        <x:v>1640</x:v>
      </x:c>
      <x:c r="F857" s="6" t="s">
        <x:v>40</x:v>
      </x:c>
      <x:c r="G857" s="14" t="str">
        <x:f>IF(OR(N857="",N857&gt;기본입력!$C$34),"",VLOOKUP(O857,기본입력!$A$9:$F$33,5))</x:f>
        <x:v>양현수_53778</x:v>
      </x:c>
      <x:c r="H857" s="14" t="str">
        <x:f>IF(OR(N857="",N857&gt;기본입력!$C$34),"",기본입력!$C$6)</x:f>
        <x:v>1교육실(실습겸용강의실)_243089</x:v>
      </x:c>
      <x:c r="I857" s="14" t="str">
        <x:f>IF(OR(O857="",N857&gt;기본입력!$C$34),"",VLOOKUP(O857,기본입력!$A$9:$F$33,6,FALSE))</x:f>
        <x:v>Final 프로젝트__10</x:v>
      </x:c>
      <x:c r="J857" s="38" t="str">
        <x:f t="shared" si="78"/>
        <x:v>Final 프로젝트</x:v>
      </x:c>
      <x:c r="K857" s="38" t="str">
        <x:f t="shared" si="79"/>
        <x:v>1교육실(실습겸용강의실)</x:v>
      </x:c>
      <x:c r="L857" s="38" t="str">
        <x:f t="shared" si="80"/>
        <x:v>양현수</x:v>
      </x:c>
      <x:c r="M857" s="63"/>
      <x:c r="N857" s="30">
        <x:f>IF(F857="2","",COUNTIF($F$3:$F857,"=1"))</x:f>
        <x:v>760</x:v>
      </x:c>
      <x:c r="O857" s="30">
        <x:f t="shared" si="81"/>
        <x:v>10</x:v>
      </x:c>
      <x:c r="P857" s="30">
        <x:f t="shared" si="83"/>
        <x:v>2</x:v>
      </x:c>
      <x:c r="Q857" s="30">
        <x:f>COUNTIF($P$3:P857,"=3")</x:f>
        <x:v>95</x:v>
      </x:c>
      <x:c r="R857" s="29">
        <x:f>WORKDAY(기본입력!$H$2,Q857-1,공휴일)</x:f>
        <x:v>46063</x:v>
      </x:c>
    </x:row>
    <x:row r="858" spans="1:18">
      <x:c r="A858" s="145" t="str">
        <x:f t="shared" si="82"/>
        <x:v>20260211</x:v>
      </x:c>
      <x:c r="B858" s="8" t="s">
        <x:v>5</x:v>
      </x:c>
      <x:c r="C858" s="8">
        <x:v>1740</x:v>
      </x:c>
      <x:c r="D858" s="7" t="s">
        <x:v>1</x:v>
      </x:c>
      <x:c r="E858" s="8" t="s">
        <x:v>5</x:v>
      </x:c>
      <x:c r="F858" s="8" t="s">
        <x:v>40</x:v>
      </x:c>
      <x:c r="G858" s="15" t="str">
        <x:f>IF(OR(N858="",N858&gt;기본입력!$C$34),"",VLOOKUP(O858,기본입력!$A$9:$F$33,5))</x:f>
        <x:v>양현수_53778</x:v>
      </x:c>
      <x:c r="H858" s="15" t="str">
        <x:f>IF(OR(N858="",N858&gt;기본입력!$C$34),"",기본입력!$C$6)</x:f>
        <x:v>1교육실(실습겸용강의실)_243089</x:v>
      </x:c>
      <x:c r="I858" s="15" t="str">
        <x:f>IF(OR(O858="",N858&gt;기본입력!$C$34),"",VLOOKUP(O858,기본입력!$A$9:$F$33,6,FALSE))</x:f>
        <x:v>Final 프로젝트__10</x:v>
      </x:c>
      <x:c r="J858" s="38" t="str">
        <x:f t="shared" si="78"/>
        <x:v>Final 프로젝트</x:v>
      </x:c>
      <x:c r="K858" s="38" t="str">
        <x:f t="shared" si="79"/>
        <x:v>1교육실(실습겸용강의실)</x:v>
      </x:c>
      <x:c r="L858" s="38" t="str">
        <x:f t="shared" si="80"/>
        <x:v>양현수</x:v>
      </x:c>
      <x:c r="M858" s="63"/>
      <x:c r="N858" s="30">
        <x:f>IF(F858="2","",COUNTIF($F$3:$F858,"=1"))</x:f>
        <x:v>761</x:v>
      </x:c>
      <x:c r="O858" s="30">
        <x:f t="shared" si="81"/>
        <x:v>10</x:v>
      </x:c>
      <x:c r="P858" s="30">
        <x:f t="shared" si="83"/>
        <x:v>3</x:v>
      </x:c>
      <x:c r="Q858" s="30">
        <x:f>COUNTIF($P$3:P858,"=3")</x:f>
        <x:v>96</x:v>
      </x:c>
      <x:c r="R858" s="29">
        <x:f>WORKDAY(기본입력!$H$2,Q858-1,공휴일)</x:f>
        <x:v>46064</x:v>
      </x:c>
    </x:row>
    <x:row r="859" spans="1:18">
      <x:c r="A859" s="145" t="str">
        <x:f t="shared" si="82"/>
        <x:v>20260211</x:v>
      </x:c>
      <x:c r="B859" s="8" t="s">
        <x:v>5</x:v>
      </x:c>
      <x:c r="C859" s="8">
        <x:v>1740</x:v>
      </x:c>
      <x:c r="D859" s="7" t="s">
        <x:v>1</x:v>
      </x:c>
      <x:c r="E859" s="8" t="s">
        <x:v>117</x:v>
      </x:c>
      <x:c r="F859" s="8" t="s">
        <x:v>40</x:v>
      </x:c>
      <x:c r="G859" s="15" t="str">
        <x:f>IF(OR(N859="",N859&gt;기본입력!$C$34),"",VLOOKUP(O859,기본입력!$A$9:$F$33,5))</x:f>
        <x:v>양현수_53778</x:v>
      </x:c>
      <x:c r="H859" s="15" t="str">
        <x:f>IF(OR(N859="",N859&gt;기본입력!$C$34),"",기본입력!$C$6)</x:f>
        <x:v>1교육실(실습겸용강의실)_243089</x:v>
      </x:c>
      <x:c r="I859" s="15" t="str">
        <x:f>IF(OR(O859="",N859&gt;기본입력!$C$34),"",VLOOKUP(O859,기본입력!$A$9:$F$33,6,FALSE))</x:f>
        <x:v>Final 프로젝트__10</x:v>
      </x:c>
      <x:c r="J859" s="38" t="str">
        <x:f t="shared" si="78"/>
        <x:v>Final 프로젝트</x:v>
      </x:c>
      <x:c r="K859" s="38" t="str">
        <x:f t="shared" si="79"/>
        <x:v>1교육실(실습겸용강의실)</x:v>
      </x:c>
      <x:c r="L859" s="38" t="str">
        <x:f t="shared" si="80"/>
        <x:v>양현수</x:v>
      </x:c>
      <x:c r="M859" s="63"/>
      <x:c r="N859" s="30">
        <x:f>IF(F859="2","",COUNTIF($F$3:$F859,"=1"))</x:f>
        <x:v>762</x:v>
      </x:c>
      <x:c r="O859" s="30">
        <x:f t="shared" si="81"/>
        <x:v>10</x:v>
      </x:c>
      <x:c r="P859" s="30">
        <x:f t="shared" si="83"/>
        <x:v>4</x:v>
      </x:c>
      <x:c r="Q859" s="30">
        <x:f>COUNTIF($P$3:P859,"=3")</x:f>
        <x:v>96</x:v>
      </x:c>
      <x:c r="R859" s="29">
        <x:f>WORKDAY(기본입력!$H$2,Q859-1,공휴일)</x:f>
        <x:v>46064</x:v>
      </x:c>
    </x:row>
    <x:row r="860" spans="1:18">
      <x:c r="A860" s="145" t="str">
        <x:f t="shared" si="82"/>
        <x:v>20260211</x:v>
      </x:c>
      <x:c r="B860" s="8" t="s">
        <x:v>5</x:v>
      </x:c>
      <x:c r="C860" s="8">
        <x:v>1740</x:v>
      </x:c>
      <x:c r="D860" s="7" t="s">
        <x:v>1</x:v>
      </x:c>
      <x:c r="E860" s="8" t="s">
        <x:v>87</x:v>
      </x:c>
      <x:c r="F860" s="8" t="s">
        <x:v>40</x:v>
      </x:c>
      <x:c r="G860" s="15" t="str">
        <x:f>IF(OR(N860="",N860&gt;기본입력!$C$34),"",VLOOKUP(O860,기본입력!$A$9:$F$33,5))</x:f>
        <x:v>양현수_53778</x:v>
      </x:c>
      <x:c r="H860" s="15" t="str">
        <x:f>IF(OR(N860="",N860&gt;기본입력!$C$34),"",기본입력!$C$6)</x:f>
        <x:v>1교육실(실습겸용강의실)_243089</x:v>
      </x:c>
      <x:c r="I860" s="15" t="str">
        <x:f>IF(OR(O860="",N860&gt;기본입력!$C$34),"",VLOOKUP(O860,기본입력!$A$9:$F$33,6,FALSE))</x:f>
        <x:v>Final 프로젝트__10</x:v>
      </x:c>
      <x:c r="J860" s="38" t="str">
        <x:f t="shared" si="78"/>
        <x:v>Final 프로젝트</x:v>
      </x:c>
      <x:c r="K860" s="38" t="str">
        <x:f t="shared" si="79"/>
        <x:v>1교육실(실습겸용강의실)</x:v>
      </x:c>
      <x:c r="L860" s="38" t="str">
        <x:f t="shared" si="80"/>
        <x:v>양현수</x:v>
      </x:c>
      <x:c r="M860" s="63"/>
      <x:c r="N860" s="30">
        <x:f>IF(F860="2","",COUNTIF($F$3:$F860,"=1"))</x:f>
        <x:v>763</x:v>
      </x:c>
      <x:c r="O860" s="30">
        <x:f t="shared" si="81"/>
        <x:v>10</x:v>
      </x:c>
      <x:c r="P860" s="30">
        <x:f t="shared" si="83"/>
        <x:v>5</x:v>
      </x:c>
      <x:c r="Q860" s="30">
        <x:f>COUNTIF($P$3:P860,"=3")</x:f>
        <x:v>96</x:v>
      </x:c>
      <x:c r="R860" s="29">
        <x:f>WORKDAY(기본입력!$H$2,Q860-1,공휴일)</x:f>
        <x:v>46064</x:v>
      </x:c>
    </x:row>
    <x:row r="861" spans="1:18">
      <x:c r="A861" s="145" t="str">
        <x:f t="shared" si="82"/>
        <x:v>20260211</x:v>
      </x:c>
      <x:c r="B861" s="8" t="s">
        <x:v>5</x:v>
      </x:c>
      <x:c r="C861" s="8">
        <x:v>1740</x:v>
      </x:c>
      <x:c r="D861" s="7" t="s">
        <x:v>1</x:v>
      </x:c>
      <x:c r="E861" s="8" t="s">
        <x:v>88</x:v>
      </x:c>
      <x:c r="F861" s="8" t="s">
        <x:v>40</x:v>
      </x:c>
      <x:c r="G861" s="15" t="str">
        <x:f>IF(OR(N861="",N861&gt;기본입력!$C$34),"",VLOOKUP(O861,기본입력!$A$9:$F$33,5))</x:f>
        <x:v>양현수_53778</x:v>
      </x:c>
      <x:c r="H861" s="15" t="str">
        <x:f>IF(OR(N861="",N861&gt;기본입력!$C$34),"",기본입력!$C$6)</x:f>
        <x:v>1교육실(실습겸용강의실)_243089</x:v>
      </x:c>
      <x:c r="I861" s="15" t="str">
        <x:f>IF(OR(O861="",N861&gt;기본입력!$C$34),"",VLOOKUP(O861,기본입력!$A$9:$F$33,6,FALSE))</x:f>
        <x:v>Final 프로젝트__10</x:v>
      </x:c>
      <x:c r="J861" s="38" t="str">
        <x:f t="shared" si="78"/>
        <x:v>Final 프로젝트</x:v>
      </x:c>
      <x:c r="K861" s="38" t="str">
        <x:f t="shared" si="79"/>
        <x:v>1교육실(실습겸용강의실)</x:v>
      </x:c>
      <x:c r="L861" s="38" t="str">
        <x:f t="shared" si="80"/>
        <x:v>양현수</x:v>
      </x:c>
      <x:c r="M861" s="63"/>
      <x:c r="N861" s="30">
        <x:f>IF(F861="2","",COUNTIF($F$3:$F861,"=1"))</x:f>
        <x:v>764</x:v>
      </x:c>
      <x:c r="O861" s="30">
        <x:f t="shared" si="81"/>
        <x:v>10</x:v>
      </x:c>
      <x:c r="P861" s="30">
        <x:f t="shared" si="83"/>
        <x:v>6</x:v>
      </x:c>
      <x:c r="Q861" s="30">
        <x:f>COUNTIF($P$3:P861,"=3")</x:f>
        <x:v>96</x:v>
      </x:c>
      <x:c r="R861" s="29">
        <x:f>WORKDAY(기본입력!$H$2,Q861-1,공휴일)</x:f>
        <x:v>46064</x:v>
      </x:c>
    </x:row>
    <x:row r="862" spans="1:18">
      <x:c r="A862" s="145" t="str">
        <x:f t="shared" si="82"/>
        <x:v>20260211</x:v>
      </x:c>
      <x:c r="B862" s="8" t="s">
        <x:v>5</x:v>
      </x:c>
      <x:c r="C862" s="8">
        <x:v>1740</x:v>
      </x:c>
      <x:c r="D862" s="7" t="s">
        <x:v>1</x:v>
      </x:c>
      <x:c r="E862" s="8" t="s">
        <x:v>0</x:v>
      </x:c>
      <x:c r="F862" s="8" t="s">
        <x:v>41</x:v>
      </x:c>
      <x:c r="G862" s="15" t="str">
        <x:f>IF(OR(N862="",N862&gt;기본입력!$C$34),"",VLOOKUP(O862,기본입력!$A$9:$F$33,5))</x:f>
        <x:v/>
      </x:c>
      <x:c r="H862" s="15" t="str">
        <x:f>IF(OR(N862="",N862&gt;기본입력!$C$34),"",기본입력!$C$6)</x:f>
        <x:v/>
      </x:c>
      <x:c r="I862" s="15" t="str">
        <x:f>IF(OR(O862="",N862&gt;기본입력!$C$34),"",VLOOKUP(O862,기본입력!$A$9:$F$33,6,FALSE))</x:f>
        <x:v/>
      </x:c>
      <x:c r="J862" s="38" t="str">
        <x:f t="shared" si="78"/>
        <x:v/>
      </x:c>
      <x:c r="K862" s="38" t="str">
        <x:f t="shared" si="79"/>
        <x:v/>
      </x:c>
      <x:c r="L862" s="38" t="str">
        <x:f t="shared" si="80"/>
        <x:v/>
      </x:c>
      <x:c r="M862" s="63"/>
      <x:c r="N862" s="30" t="str">
        <x:f>IF(F862="2","",COUNTIF($F$3:$F862,"=1"))</x:f>
        <x:v/>
      </x:c>
      <x:c r="O862" s="30" t="str">
        <x:f t="shared" si="81"/>
        <x:v/>
      </x:c>
      <x:c r="P862" s="30">
        <x:f t="shared" si="83"/>
        <x:v>7</x:v>
      </x:c>
      <x:c r="Q862" s="30">
        <x:f>COUNTIF($P$3:P862,"=3")</x:f>
        <x:v>96</x:v>
      </x:c>
      <x:c r="R862" s="29">
        <x:f>WORKDAY(기본입력!$H$2,Q862-1,공휴일)</x:f>
        <x:v>46064</x:v>
      </x:c>
    </x:row>
    <x:row r="863" spans="1:18">
      <x:c r="A863" s="145" t="str">
        <x:f t="shared" si="82"/>
        <x:v>20260211</x:v>
      </x:c>
      <x:c r="B863" s="8" t="s">
        <x:v>5</x:v>
      </x:c>
      <x:c r="C863" s="8">
        <x:v>1740</x:v>
      </x:c>
      <x:c r="D863" s="7" t="s">
        <x:v>1</x:v>
      </x:c>
      <x:c r="E863" s="8">
        <x:v>1340</x:v>
      </x:c>
      <x:c r="F863" s="8" t="s">
        <x:v>40</x:v>
      </x:c>
      <x:c r="G863" s="15" t="str">
        <x:f>IF(OR(N863="",N863&gt;기본입력!$C$34),"",VLOOKUP(O863,기본입력!$A$9:$F$33,5))</x:f>
        <x:v>양현수_53778</x:v>
      </x:c>
      <x:c r="H863" s="15" t="str">
        <x:f>IF(OR(N863="",N863&gt;기본입력!$C$34),"",기본입력!$C$6)</x:f>
        <x:v>1교육실(실습겸용강의실)_243089</x:v>
      </x:c>
      <x:c r="I863" s="15" t="str">
        <x:f>IF(OR(O863="",N863&gt;기본입력!$C$34),"",VLOOKUP(O863,기본입력!$A$9:$F$33,6,FALSE))</x:f>
        <x:v>Final 프로젝트__10</x:v>
      </x:c>
      <x:c r="J863" s="38" t="str">
        <x:f t="shared" si="78"/>
        <x:v>Final 프로젝트</x:v>
      </x:c>
      <x:c r="K863" s="38" t="str">
        <x:f t="shared" si="79"/>
        <x:v>1교육실(실습겸용강의실)</x:v>
      </x:c>
      <x:c r="L863" s="38" t="str">
        <x:f t="shared" si="80"/>
        <x:v>양현수</x:v>
      </x:c>
      <x:c r="M863" s="63"/>
      <x:c r="N863" s="30">
        <x:f>IF(F863="2","",COUNTIF($F$3:$F863,"=1"))</x:f>
        <x:v>765</x:v>
      </x:c>
      <x:c r="O863" s="30">
        <x:f t="shared" si="81"/>
        <x:v>10</x:v>
      </x:c>
      <x:c r="P863" s="30">
        <x:f t="shared" si="83"/>
        <x:v>8</x:v>
      </x:c>
      <x:c r="Q863" s="30">
        <x:f>COUNTIF($P$3:P863,"=3")</x:f>
        <x:v>96</x:v>
      </x:c>
      <x:c r="R863" s="29">
        <x:f>WORKDAY(기본입력!$H$2,Q863-1,공휴일)</x:f>
        <x:v>46064</x:v>
      </x:c>
    </x:row>
    <x:row r="864" spans="1:18">
      <x:c r="A864" s="145" t="str">
        <x:f t="shared" si="82"/>
        <x:v>20260211</x:v>
      </x:c>
      <x:c r="B864" s="8" t="s">
        <x:v>5</x:v>
      </x:c>
      <x:c r="C864" s="8">
        <x:v>1740</x:v>
      </x:c>
      <x:c r="D864" s="7" t="s">
        <x:v>1</x:v>
      </x:c>
      <x:c r="E864" s="8">
        <x:v>1440</x:v>
      </x:c>
      <x:c r="F864" s="8" t="s">
        <x:v>40</x:v>
      </x:c>
      <x:c r="G864" s="15" t="str">
        <x:f>IF(OR(N864="",N864&gt;기본입력!$C$34),"",VLOOKUP(O864,기본입력!$A$9:$F$33,5))</x:f>
        <x:v>양현수_53778</x:v>
      </x:c>
      <x:c r="H864" s="15" t="str">
        <x:f>IF(OR(N864="",N864&gt;기본입력!$C$34),"",기본입력!$C$6)</x:f>
        <x:v>1교육실(실습겸용강의실)_243089</x:v>
      </x:c>
      <x:c r="I864" s="15" t="str">
        <x:f>IF(OR(O864="",N864&gt;기본입력!$C$34),"",VLOOKUP(O864,기본입력!$A$9:$F$33,6,FALSE))</x:f>
        <x:v>Final 프로젝트__10</x:v>
      </x:c>
      <x:c r="J864" s="38" t="str">
        <x:f t="shared" si="78"/>
        <x:v>Final 프로젝트</x:v>
      </x:c>
      <x:c r="K864" s="38" t="str">
        <x:f t="shared" si="79"/>
        <x:v>1교육실(실습겸용강의실)</x:v>
      </x:c>
      <x:c r="L864" s="38" t="str">
        <x:f t="shared" si="80"/>
        <x:v>양현수</x:v>
      </x:c>
      <x:c r="M864" s="63"/>
      <x:c r="N864" s="30">
        <x:f>IF(F864="2","",COUNTIF($F$3:$F864,"=1"))</x:f>
        <x:v>766</x:v>
      </x:c>
      <x:c r="O864" s="30">
        <x:f t="shared" si="81"/>
        <x:v>10</x:v>
      </x:c>
      <x:c r="P864" s="30">
        <x:f t="shared" si="83"/>
        <x:v>0</x:v>
      </x:c>
      <x:c r="Q864" s="30">
        <x:f>COUNTIF($P$3:P864,"=3")</x:f>
        <x:v>96</x:v>
      </x:c>
      <x:c r="R864" s="29">
        <x:f>WORKDAY(기본입력!$H$2,Q864-1,공휴일)</x:f>
        <x:v>46064</x:v>
      </x:c>
    </x:row>
    <x:row r="865" spans="1:18">
      <x:c r="A865" s="145" t="str">
        <x:f t="shared" si="82"/>
        <x:v>20260211</x:v>
      </x:c>
      <x:c r="B865" s="8" t="s">
        <x:v>5</x:v>
      </x:c>
      <x:c r="C865" s="8">
        <x:v>1740</x:v>
      </x:c>
      <x:c r="D865" s="7" t="s">
        <x:v>1</x:v>
      </x:c>
      <x:c r="E865" s="8">
        <x:v>1540</x:v>
      </x:c>
      <x:c r="F865" s="8" t="s">
        <x:v>40</x:v>
      </x:c>
      <x:c r="G865" s="15" t="str">
        <x:f>IF(OR(N865="",N865&gt;기본입력!$C$34),"",VLOOKUP(O865,기본입력!$A$9:$F$33,5))</x:f>
        <x:v>양현수_53778</x:v>
      </x:c>
      <x:c r="H865" s="15" t="str">
        <x:f>IF(OR(N865="",N865&gt;기본입력!$C$34),"",기본입력!$C$6)</x:f>
        <x:v>1교육실(실습겸용강의실)_243089</x:v>
      </x:c>
      <x:c r="I865" s="15" t="str">
        <x:f>IF(OR(O865="",N865&gt;기본입력!$C$34),"",VLOOKUP(O865,기본입력!$A$9:$F$33,6,FALSE))</x:f>
        <x:v>Final 프로젝트__10</x:v>
      </x:c>
      <x:c r="J865" s="38" t="str">
        <x:f t="shared" si="78"/>
        <x:v>Final 프로젝트</x:v>
      </x:c>
      <x:c r="K865" s="38" t="str">
        <x:f t="shared" si="79"/>
        <x:v>1교육실(실습겸용강의실)</x:v>
      </x:c>
      <x:c r="L865" s="38" t="str">
        <x:f t="shared" si="80"/>
        <x:v>양현수</x:v>
      </x:c>
      <x:c r="M865" s="63"/>
      <x:c r="N865" s="30">
        <x:f>IF(F865="2","",COUNTIF($F$3:$F865,"=1"))</x:f>
        <x:v>767</x:v>
      </x:c>
      <x:c r="O865" s="30">
        <x:f t="shared" si="81"/>
        <x:v>10</x:v>
      </x:c>
      <x:c r="P865" s="30">
        <x:f t="shared" si="83"/>
        <x:v>1</x:v>
      </x:c>
      <x:c r="Q865" s="30">
        <x:f>COUNTIF($P$3:P865,"=3")</x:f>
        <x:v>96</x:v>
      </x:c>
      <x:c r="R865" s="29">
        <x:f>WORKDAY(기본입력!$H$2,Q865-1,공휴일)</x:f>
        <x:v>46064</x:v>
      </x:c>
    </x:row>
    <x:row r="866" spans="1:18">
      <x:c r="A866" s="145" t="str">
        <x:f t="shared" si="82"/>
        <x:v>20260211</x:v>
      </x:c>
      <x:c r="B866" s="8" t="s">
        <x:v>5</x:v>
      </x:c>
      <x:c r="C866" s="8">
        <x:v>1740</x:v>
      </x:c>
      <x:c r="D866" s="7" t="s">
        <x:v>1</x:v>
      </x:c>
      <x:c r="E866" s="8">
        <x:v>1640</x:v>
      </x:c>
      <x:c r="F866" s="8" t="s">
        <x:v>40</x:v>
      </x:c>
      <x:c r="G866" s="15" t="str">
        <x:f>IF(OR(N866="",N866&gt;기본입력!$C$34),"",VLOOKUP(O866,기본입력!$A$9:$F$33,5))</x:f>
        <x:v>양현수_53778</x:v>
      </x:c>
      <x:c r="H866" s="15" t="str">
        <x:f>IF(OR(N866="",N866&gt;기본입력!$C$34),"",기본입력!$C$6)</x:f>
        <x:v>1교육실(실습겸용강의실)_243089</x:v>
      </x:c>
      <x:c r="I866" s="15" t="str">
        <x:f>IF(OR(O866="",N866&gt;기본입력!$C$34),"",VLOOKUP(O866,기본입력!$A$9:$F$33,6,FALSE))</x:f>
        <x:v>Final 프로젝트__10</x:v>
      </x:c>
      <x:c r="J866" s="38" t="str">
        <x:f t="shared" si="78"/>
        <x:v>Final 프로젝트</x:v>
      </x:c>
      <x:c r="K866" s="38" t="str">
        <x:f t="shared" si="79"/>
        <x:v>1교육실(실습겸용강의실)</x:v>
      </x:c>
      <x:c r="L866" s="38" t="str">
        <x:f t="shared" si="80"/>
        <x:v>양현수</x:v>
      </x:c>
      <x:c r="M866" s="63"/>
      <x:c r="N866" s="30">
        <x:f>IF(F866="2","",COUNTIF($F$3:$F866,"=1"))</x:f>
        <x:v>768</x:v>
      </x:c>
      <x:c r="O866" s="30">
        <x:f t="shared" si="81"/>
        <x:v>10</x:v>
      </x:c>
      <x:c r="P866" s="30">
        <x:f t="shared" si="83"/>
        <x:v>2</x:v>
      </x:c>
      <x:c r="Q866" s="30">
        <x:f>COUNTIF($P$3:P866,"=3")</x:f>
        <x:v>96</x:v>
      </x:c>
      <x:c r="R866" s="29">
        <x:f>WORKDAY(기본입력!$H$2,Q866-1,공휴일)</x:f>
        <x:v>46064</x:v>
      </x:c>
    </x:row>
    <x:row r="867" spans="1:18">
      <x:c r="A867" s="144" t="str">
        <x:f t="shared" si="82"/>
        <x:v>20260212</x:v>
      </x:c>
      <x:c r="B867" s="6" t="s">
        <x:v>5</x:v>
      </x:c>
      <x:c r="C867" s="6">
        <x:v>1740</x:v>
      </x:c>
      <x:c r="D867" s="5" t="s">
        <x:v>1</x:v>
      </x:c>
      <x:c r="E867" s="6" t="s">
        <x:v>5</x:v>
      </x:c>
      <x:c r="F867" s="6" t="s">
        <x:v>40</x:v>
      </x:c>
      <x:c r="G867" s="14" t="str">
        <x:f>IF(OR(N867="",N867&gt;기본입력!$C$34),"",VLOOKUP(O867,기본입력!$A$9:$F$33,5))</x:f>
        <x:v>양현수_53778</x:v>
      </x:c>
      <x:c r="H867" s="14" t="str">
        <x:f>IF(OR(N867="",N867&gt;기본입력!$C$34),"",기본입력!$C$6)</x:f>
        <x:v>1교육실(실습겸용강의실)_243089</x:v>
      </x:c>
      <x:c r="I867" s="14" t="str">
        <x:f>IF(OR(O867="",N867&gt;기본입력!$C$34),"",VLOOKUP(O867,기본입력!$A$9:$F$33,6,FALSE))</x:f>
        <x:v>Final 프로젝트__10</x:v>
      </x:c>
      <x:c r="J867" s="38" t="str">
        <x:f t="shared" si="78"/>
        <x:v>Final 프로젝트</x:v>
      </x:c>
      <x:c r="K867" s="38" t="str">
        <x:f t="shared" si="79"/>
        <x:v>1교육실(실습겸용강의실)</x:v>
      </x:c>
      <x:c r="L867" s="38" t="str">
        <x:f t="shared" si="80"/>
        <x:v>양현수</x:v>
      </x:c>
      <x:c r="M867" s="63"/>
      <x:c r="N867" s="30">
        <x:f>IF(F867="2","",COUNTIF($F$3:$F867,"=1"))</x:f>
        <x:v>769</x:v>
      </x:c>
      <x:c r="O867" s="30">
        <x:f t="shared" si="81"/>
        <x:v>10</x:v>
      </x:c>
      <x:c r="P867" s="30">
        <x:f t="shared" si="83"/>
        <x:v>3</x:v>
      </x:c>
      <x:c r="Q867" s="30">
        <x:f>COUNTIF($P$3:P867,"=3")</x:f>
        <x:v>97</x:v>
      </x:c>
      <x:c r="R867" s="29">
        <x:f>WORKDAY(기본입력!$H$2,Q867-1,공휴일)</x:f>
        <x:v>46065</x:v>
      </x:c>
    </x:row>
    <x:row r="868" spans="1:18">
      <x:c r="A868" s="144" t="str">
        <x:f t="shared" si="82"/>
        <x:v>20260212</x:v>
      </x:c>
      <x:c r="B868" s="6" t="s">
        <x:v>5</x:v>
      </x:c>
      <x:c r="C868" s="6">
        <x:v>1740</x:v>
      </x:c>
      <x:c r="D868" s="5" t="s">
        <x:v>1</x:v>
      </x:c>
      <x:c r="E868" s="6" t="s">
        <x:v>117</x:v>
      </x:c>
      <x:c r="F868" s="6" t="s">
        <x:v>40</x:v>
      </x:c>
      <x:c r="G868" s="14" t="str">
        <x:f>IF(OR(N868="",N868&gt;기본입력!$C$34),"",VLOOKUP(O868,기본입력!$A$9:$F$33,5))</x:f>
        <x:v>양현수_53778</x:v>
      </x:c>
      <x:c r="H868" s="14" t="str">
        <x:f>IF(OR(N868="",N868&gt;기본입력!$C$34),"",기본입력!$C$6)</x:f>
        <x:v>1교육실(실습겸용강의실)_243089</x:v>
      </x:c>
      <x:c r="I868" s="14" t="str">
        <x:f>IF(OR(O868="",N868&gt;기본입력!$C$34),"",VLOOKUP(O868,기본입력!$A$9:$F$33,6,FALSE))</x:f>
        <x:v>Final 프로젝트__10</x:v>
      </x:c>
      <x:c r="J868" s="38" t="str">
        <x:f t="shared" si="78"/>
        <x:v>Final 프로젝트</x:v>
      </x:c>
      <x:c r="K868" s="38" t="str">
        <x:f t="shared" si="79"/>
        <x:v>1교육실(실습겸용강의실)</x:v>
      </x:c>
      <x:c r="L868" s="38" t="str">
        <x:f t="shared" si="80"/>
        <x:v>양현수</x:v>
      </x:c>
      <x:c r="M868" s="63"/>
      <x:c r="N868" s="30">
        <x:f>IF(F868="2","",COUNTIF($F$3:$F868,"=1"))</x:f>
        <x:v>770</x:v>
      </x:c>
      <x:c r="O868" s="30">
        <x:f t="shared" si="81"/>
        <x:v>10</x:v>
      </x:c>
      <x:c r="P868" s="30">
        <x:f t="shared" si="83"/>
        <x:v>4</x:v>
      </x:c>
      <x:c r="Q868" s="30">
        <x:f>COUNTIF($P$3:P868,"=3")</x:f>
        <x:v>97</x:v>
      </x:c>
      <x:c r="R868" s="29">
        <x:f>WORKDAY(기본입력!$H$2,Q868-1,공휴일)</x:f>
        <x:v>46065</x:v>
      </x:c>
    </x:row>
    <x:row r="869" spans="1:18">
      <x:c r="A869" s="144" t="str">
        <x:f t="shared" si="82"/>
        <x:v>20260212</x:v>
      </x:c>
      <x:c r="B869" s="6" t="s">
        <x:v>5</x:v>
      </x:c>
      <x:c r="C869" s="6">
        <x:v>1740</x:v>
      </x:c>
      <x:c r="D869" s="5" t="s">
        <x:v>1</x:v>
      </x:c>
      <x:c r="E869" s="6" t="s">
        <x:v>87</x:v>
      </x:c>
      <x:c r="F869" s="6" t="s">
        <x:v>40</x:v>
      </x:c>
      <x:c r="G869" s="14" t="str">
        <x:f>IF(OR(N869="",N869&gt;기본입력!$C$34),"",VLOOKUP(O869,기본입력!$A$9:$F$33,5))</x:f>
        <x:v>양현수_53778</x:v>
      </x:c>
      <x:c r="H869" s="14" t="str">
        <x:f>IF(OR(N869="",N869&gt;기본입력!$C$34),"",기본입력!$C$6)</x:f>
        <x:v>1교육실(실습겸용강의실)_243089</x:v>
      </x:c>
      <x:c r="I869" s="14" t="str">
        <x:f>IF(OR(O869="",N869&gt;기본입력!$C$34),"",VLOOKUP(O869,기본입력!$A$9:$F$33,6,FALSE))</x:f>
        <x:v>Final 프로젝트__10</x:v>
      </x:c>
      <x:c r="J869" s="38" t="str">
        <x:f t="shared" si="78"/>
        <x:v>Final 프로젝트</x:v>
      </x:c>
      <x:c r="K869" s="38" t="str">
        <x:f t="shared" si="79"/>
        <x:v>1교육실(실습겸용강의실)</x:v>
      </x:c>
      <x:c r="L869" s="38" t="str">
        <x:f t="shared" si="80"/>
        <x:v>양현수</x:v>
      </x:c>
      <x:c r="M869" s="63"/>
      <x:c r="N869" s="30">
        <x:f>IF(F869="2","",COUNTIF($F$3:$F869,"=1"))</x:f>
        <x:v>771</x:v>
      </x:c>
      <x:c r="O869" s="30">
        <x:f t="shared" si="81"/>
        <x:v>10</x:v>
      </x:c>
      <x:c r="P869" s="30">
        <x:f t="shared" si="83"/>
        <x:v>5</x:v>
      </x:c>
      <x:c r="Q869" s="30">
        <x:f>COUNTIF($P$3:P869,"=3")</x:f>
        <x:v>97</x:v>
      </x:c>
      <x:c r="R869" s="29">
        <x:f>WORKDAY(기본입력!$H$2,Q869-1,공휴일)</x:f>
        <x:v>46065</x:v>
      </x:c>
    </x:row>
    <x:row r="870" spans="1:18">
      <x:c r="A870" s="144" t="str">
        <x:f t="shared" si="82"/>
        <x:v>20260212</x:v>
      </x:c>
      <x:c r="B870" s="6" t="s">
        <x:v>5</x:v>
      </x:c>
      <x:c r="C870" s="6">
        <x:v>1740</x:v>
      </x:c>
      <x:c r="D870" s="5" t="s">
        <x:v>1</x:v>
      </x:c>
      <x:c r="E870" s="6" t="s">
        <x:v>88</x:v>
      </x:c>
      <x:c r="F870" s="6" t="s">
        <x:v>40</x:v>
      </x:c>
      <x:c r="G870" s="14" t="str">
        <x:f>IF(OR(N870="",N870&gt;기본입력!$C$34),"",VLOOKUP(O870,기본입력!$A$9:$F$33,5))</x:f>
        <x:v>양현수_53778</x:v>
      </x:c>
      <x:c r="H870" s="14" t="str">
        <x:f>IF(OR(N870="",N870&gt;기본입력!$C$34),"",기본입력!$C$6)</x:f>
        <x:v>1교육실(실습겸용강의실)_243089</x:v>
      </x:c>
      <x:c r="I870" s="14" t="str">
        <x:f>IF(OR(O870="",N870&gt;기본입력!$C$34),"",VLOOKUP(O870,기본입력!$A$9:$F$33,6,FALSE))</x:f>
        <x:v>Final 프로젝트__10</x:v>
      </x:c>
      <x:c r="J870" s="38" t="str">
        <x:f t="shared" si="78"/>
        <x:v>Final 프로젝트</x:v>
      </x:c>
      <x:c r="K870" s="38" t="str">
        <x:f t="shared" si="79"/>
        <x:v>1교육실(실습겸용강의실)</x:v>
      </x:c>
      <x:c r="L870" s="38" t="str">
        <x:f t="shared" si="80"/>
        <x:v>양현수</x:v>
      </x:c>
      <x:c r="M870" s="63"/>
      <x:c r="N870" s="30">
        <x:f>IF(F870="2","",COUNTIF($F$3:$F870,"=1"))</x:f>
        <x:v>772</x:v>
      </x:c>
      <x:c r="O870" s="30">
        <x:f t="shared" si="81"/>
        <x:v>10</x:v>
      </x:c>
      <x:c r="P870" s="30">
        <x:f t="shared" si="83"/>
        <x:v>6</x:v>
      </x:c>
      <x:c r="Q870" s="30">
        <x:f>COUNTIF($P$3:P870,"=3")</x:f>
        <x:v>97</x:v>
      </x:c>
      <x:c r="R870" s="29">
        <x:f>WORKDAY(기본입력!$H$2,Q870-1,공휴일)</x:f>
        <x:v>46065</x:v>
      </x:c>
    </x:row>
    <x:row r="871" spans="1:18">
      <x:c r="A871" s="144" t="str">
        <x:f t="shared" si="82"/>
        <x:v>20260212</x:v>
      </x:c>
      <x:c r="B871" s="6" t="s">
        <x:v>5</x:v>
      </x:c>
      <x:c r="C871" s="6">
        <x:v>1740</x:v>
      </x:c>
      <x:c r="D871" s="5" t="s">
        <x:v>1</x:v>
      </x:c>
      <x:c r="E871" s="6" t="s">
        <x:v>0</x:v>
      </x:c>
      <x:c r="F871" s="6" t="s">
        <x:v>41</x:v>
      </x:c>
      <x:c r="G871" s="14" t="str">
        <x:f>IF(OR(N871="",N871&gt;기본입력!$C$34),"",VLOOKUP(O871,기본입력!$A$9:$F$33,5))</x:f>
        <x:v/>
      </x:c>
      <x:c r="H871" s="14" t="str">
        <x:f>IF(OR(N871="",N871&gt;기본입력!$C$34),"",기본입력!$C$6)</x:f>
        <x:v/>
      </x:c>
      <x:c r="I871" s="14" t="str">
        <x:f>IF(OR(O871="",N871&gt;기본입력!$C$34),"",VLOOKUP(O871,기본입력!$A$9:$F$33,6,FALSE))</x:f>
        <x:v/>
      </x:c>
      <x:c r="J871" s="38" t="str">
        <x:f t="shared" si="78"/>
        <x:v/>
      </x:c>
      <x:c r="K871" s="38" t="str">
        <x:f t="shared" si="79"/>
        <x:v/>
      </x:c>
      <x:c r="L871" s="38" t="str">
        <x:f t="shared" si="80"/>
        <x:v/>
      </x:c>
      <x:c r="M871" s="63"/>
      <x:c r="N871" s="30" t="str">
        <x:f>IF(F871="2","",COUNTIF($F$3:$F871,"=1"))</x:f>
        <x:v/>
      </x:c>
      <x:c r="O871" s="30" t="str">
        <x:f t="shared" si="81"/>
        <x:v/>
      </x:c>
      <x:c r="P871" s="30">
        <x:f t="shared" si="83"/>
        <x:v>7</x:v>
      </x:c>
      <x:c r="Q871" s="30">
        <x:f>COUNTIF($P$3:P871,"=3")</x:f>
        <x:v>97</x:v>
      </x:c>
      <x:c r="R871" s="29">
        <x:f>WORKDAY(기본입력!$H$2,Q871-1,공휴일)</x:f>
        <x:v>46065</x:v>
      </x:c>
    </x:row>
    <x:row r="872" spans="1:18">
      <x:c r="A872" s="144" t="str">
        <x:f t="shared" si="82"/>
        <x:v>20260212</x:v>
      </x:c>
      <x:c r="B872" s="6" t="s">
        <x:v>5</x:v>
      </x:c>
      <x:c r="C872" s="6">
        <x:v>1740</x:v>
      </x:c>
      <x:c r="D872" s="5" t="s">
        <x:v>1</x:v>
      </x:c>
      <x:c r="E872" s="6">
        <x:v>1340</x:v>
      </x:c>
      <x:c r="F872" s="6" t="s">
        <x:v>40</x:v>
      </x:c>
      <x:c r="G872" s="14" t="str">
        <x:f>IF(OR(N872="",N872&gt;기본입력!$C$34),"",VLOOKUP(O872,기본입력!$A$9:$F$33,5))</x:f>
        <x:v>양현수_53778</x:v>
      </x:c>
      <x:c r="H872" s="14" t="str">
        <x:f>IF(OR(N872="",N872&gt;기본입력!$C$34),"",기본입력!$C$6)</x:f>
        <x:v>1교육실(실습겸용강의실)_243089</x:v>
      </x:c>
      <x:c r="I872" s="14" t="str">
        <x:f>IF(OR(O872="",N872&gt;기본입력!$C$34),"",VLOOKUP(O872,기본입력!$A$9:$F$33,6,FALSE))</x:f>
        <x:v>Final 프로젝트__10</x:v>
      </x:c>
      <x:c r="J872" s="38" t="str">
        <x:f t="shared" si="78"/>
        <x:v>Final 프로젝트</x:v>
      </x:c>
      <x:c r="K872" s="38" t="str">
        <x:f t="shared" si="79"/>
        <x:v>1교육실(실습겸용강의실)</x:v>
      </x:c>
      <x:c r="L872" s="38" t="str">
        <x:f t="shared" si="80"/>
        <x:v>양현수</x:v>
      </x:c>
      <x:c r="M872" s="63"/>
      <x:c r="N872" s="30">
        <x:f>IF(F872="2","",COUNTIF($F$3:$F872,"=1"))</x:f>
        <x:v>773</x:v>
      </x:c>
      <x:c r="O872" s="30">
        <x:f t="shared" si="81"/>
        <x:v>10</x:v>
      </x:c>
      <x:c r="P872" s="30">
        <x:f t="shared" si="83"/>
        <x:v>8</x:v>
      </x:c>
      <x:c r="Q872" s="30">
        <x:f>COUNTIF($P$3:P872,"=3")</x:f>
        <x:v>97</x:v>
      </x:c>
      <x:c r="R872" s="29">
        <x:f>WORKDAY(기본입력!$H$2,Q872-1,공휴일)</x:f>
        <x:v>46065</x:v>
      </x:c>
    </x:row>
    <x:row r="873" spans="1:18">
      <x:c r="A873" s="144" t="str">
        <x:f t="shared" si="82"/>
        <x:v>20260212</x:v>
      </x:c>
      <x:c r="B873" s="6" t="s">
        <x:v>5</x:v>
      </x:c>
      <x:c r="C873" s="6">
        <x:v>1740</x:v>
      </x:c>
      <x:c r="D873" s="5" t="s">
        <x:v>1</x:v>
      </x:c>
      <x:c r="E873" s="6">
        <x:v>1440</x:v>
      </x:c>
      <x:c r="F873" s="6" t="s">
        <x:v>40</x:v>
      </x:c>
      <x:c r="G873" s="14" t="str">
        <x:f>IF(OR(N873="",N873&gt;기본입력!$C$34),"",VLOOKUP(O873,기본입력!$A$9:$F$33,5))</x:f>
        <x:v>양현수_53778</x:v>
      </x:c>
      <x:c r="H873" s="14" t="str">
        <x:f>IF(OR(N873="",N873&gt;기본입력!$C$34),"",기본입력!$C$6)</x:f>
        <x:v>1교육실(실습겸용강의실)_243089</x:v>
      </x:c>
      <x:c r="I873" s="14" t="str">
        <x:f>IF(OR(O873="",N873&gt;기본입력!$C$34),"",VLOOKUP(O873,기본입력!$A$9:$F$33,6,FALSE))</x:f>
        <x:v>Final 프로젝트__10</x:v>
      </x:c>
      <x:c r="J873" s="38" t="str">
        <x:f t="shared" si="78"/>
        <x:v>Final 프로젝트</x:v>
      </x:c>
      <x:c r="K873" s="38" t="str">
        <x:f t="shared" si="79"/>
        <x:v>1교육실(실습겸용강의실)</x:v>
      </x:c>
      <x:c r="L873" s="38" t="str">
        <x:f t="shared" si="80"/>
        <x:v>양현수</x:v>
      </x:c>
      <x:c r="M873" s="63"/>
      <x:c r="N873" s="30">
        <x:f>IF(F873="2","",COUNTIF($F$3:$F873,"=1"))</x:f>
        <x:v>774</x:v>
      </x:c>
      <x:c r="O873" s="30">
        <x:f t="shared" si="81"/>
        <x:v>10</x:v>
      </x:c>
      <x:c r="P873" s="30">
        <x:f t="shared" si="83"/>
        <x:v>0</x:v>
      </x:c>
      <x:c r="Q873" s="30">
        <x:f>COUNTIF($P$3:P873,"=3")</x:f>
        <x:v>97</x:v>
      </x:c>
      <x:c r="R873" s="29">
        <x:f>WORKDAY(기본입력!$H$2,Q873-1,공휴일)</x:f>
        <x:v>46065</x:v>
      </x:c>
    </x:row>
    <x:row r="874" spans="1:18">
      <x:c r="A874" s="144" t="str">
        <x:f t="shared" si="82"/>
        <x:v>20260212</x:v>
      </x:c>
      <x:c r="B874" s="6" t="s">
        <x:v>5</x:v>
      </x:c>
      <x:c r="C874" s="6">
        <x:v>1740</x:v>
      </x:c>
      <x:c r="D874" s="5" t="s">
        <x:v>1</x:v>
      </x:c>
      <x:c r="E874" s="6">
        <x:v>1540</x:v>
      </x:c>
      <x:c r="F874" s="6" t="s">
        <x:v>40</x:v>
      </x:c>
      <x:c r="G874" s="14" t="str">
        <x:f>IF(OR(N874="",N874&gt;기본입력!$C$34),"",VLOOKUP(O874,기본입력!$A$9:$F$33,5))</x:f>
        <x:v>양현수_53778</x:v>
      </x:c>
      <x:c r="H874" s="14" t="str">
        <x:f>IF(OR(N874="",N874&gt;기본입력!$C$34),"",기본입력!$C$6)</x:f>
        <x:v>1교육실(실습겸용강의실)_243089</x:v>
      </x:c>
      <x:c r="I874" s="14" t="str">
        <x:f>IF(OR(O874="",N874&gt;기본입력!$C$34),"",VLOOKUP(O874,기본입력!$A$9:$F$33,6,FALSE))</x:f>
        <x:v>Final 프로젝트__10</x:v>
      </x:c>
      <x:c r="J874" s="38" t="str">
        <x:f t="shared" si="78"/>
        <x:v>Final 프로젝트</x:v>
      </x:c>
      <x:c r="K874" s="38" t="str">
        <x:f t="shared" si="79"/>
        <x:v>1교육실(실습겸용강의실)</x:v>
      </x:c>
      <x:c r="L874" s="38" t="str">
        <x:f t="shared" si="80"/>
        <x:v>양현수</x:v>
      </x:c>
      <x:c r="M874" s="63"/>
      <x:c r="N874" s="30">
        <x:f>IF(F874="2","",COUNTIF($F$3:$F874,"=1"))</x:f>
        <x:v>775</x:v>
      </x:c>
      <x:c r="O874" s="30">
        <x:f t="shared" si="81"/>
        <x:v>10</x:v>
      </x:c>
      <x:c r="P874" s="30">
        <x:f t="shared" si="83"/>
        <x:v>1</x:v>
      </x:c>
      <x:c r="Q874" s="30">
        <x:f>COUNTIF($P$3:P874,"=3")</x:f>
        <x:v>97</x:v>
      </x:c>
      <x:c r="R874" s="29">
        <x:f>WORKDAY(기본입력!$H$2,Q874-1,공휴일)</x:f>
        <x:v>46065</x:v>
      </x:c>
    </x:row>
    <x:row r="875" spans="1:18">
      <x:c r="A875" s="144" t="str">
        <x:f t="shared" si="82"/>
        <x:v>20260212</x:v>
      </x:c>
      <x:c r="B875" s="6" t="s">
        <x:v>5</x:v>
      </x:c>
      <x:c r="C875" s="6">
        <x:v>1740</x:v>
      </x:c>
      <x:c r="D875" s="5" t="s">
        <x:v>1</x:v>
      </x:c>
      <x:c r="E875" s="6">
        <x:v>1640</x:v>
      </x:c>
      <x:c r="F875" s="6" t="s">
        <x:v>40</x:v>
      </x:c>
      <x:c r="G875" s="14" t="str">
        <x:f>IF(OR(N875="",N875&gt;기본입력!$C$34),"",VLOOKUP(O875,기본입력!$A$9:$F$33,5))</x:f>
        <x:v>양현수_53778</x:v>
      </x:c>
      <x:c r="H875" s="14" t="str">
        <x:f>IF(OR(N875="",N875&gt;기본입력!$C$34),"",기본입력!$C$6)</x:f>
        <x:v>1교육실(실습겸용강의실)_243089</x:v>
      </x:c>
      <x:c r="I875" s="14" t="str">
        <x:f>IF(OR(O875="",N875&gt;기본입력!$C$34),"",VLOOKUP(O875,기본입력!$A$9:$F$33,6,FALSE))</x:f>
        <x:v>Final 프로젝트__10</x:v>
      </x:c>
      <x:c r="J875" s="38" t="str">
        <x:f t="shared" si="78"/>
        <x:v>Final 프로젝트</x:v>
      </x:c>
      <x:c r="K875" s="38" t="str">
        <x:f t="shared" si="79"/>
        <x:v>1교육실(실습겸용강의실)</x:v>
      </x:c>
      <x:c r="L875" s="38" t="str">
        <x:f t="shared" si="80"/>
        <x:v>양현수</x:v>
      </x:c>
      <x:c r="M875" s="63"/>
      <x:c r="N875" s="30">
        <x:f>IF(F875="2","",COUNTIF($F$3:$F875,"=1"))</x:f>
        <x:v>776</x:v>
      </x:c>
      <x:c r="O875" s="30">
        <x:f t="shared" si="81"/>
        <x:v>10</x:v>
      </x:c>
      <x:c r="P875" s="30">
        <x:f t="shared" si="83"/>
        <x:v>2</x:v>
      </x:c>
      <x:c r="Q875" s="30">
        <x:f>COUNTIF($P$3:P875,"=3")</x:f>
        <x:v>97</x:v>
      </x:c>
      <x:c r="R875" s="29">
        <x:f>WORKDAY(기본입력!$H$2,Q875-1,공휴일)</x:f>
        <x:v>46065</x:v>
      </x:c>
    </x:row>
    <x:row r="876" spans="1:18">
      <x:c r="A876" s="145" t="str">
        <x:f t="shared" si="82"/>
        <x:v>20260213</x:v>
      </x:c>
      <x:c r="B876" s="8" t="s">
        <x:v>5</x:v>
      </x:c>
      <x:c r="C876" s="8">
        <x:v>1740</x:v>
      </x:c>
      <x:c r="D876" s="7" t="s">
        <x:v>1</x:v>
      </x:c>
      <x:c r="E876" s="8" t="s">
        <x:v>5</x:v>
      </x:c>
      <x:c r="F876" s="8" t="s">
        <x:v>40</x:v>
      </x:c>
      <x:c r="G876" s="15" t="str">
        <x:f>IF(OR(N876="",N876&gt;기본입력!$C$34),"",VLOOKUP(O876,기본입력!$A$9:$F$33,5))</x:f>
        <x:v>양현수_53778</x:v>
      </x:c>
      <x:c r="H876" s="15" t="str">
        <x:f>IF(OR(N876="",N876&gt;기본입력!$C$34),"",기본입력!$C$6)</x:f>
        <x:v>1교육실(실습겸용강의실)_243089</x:v>
      </x:c>
      <x:c r="I876" s="15" t="str">
        <x:f>IF(OR(O876="",N876&gt;기본입력!$C$34),"",VLOOKUP(O876,기본입력!$A$9:$F$33,6,FALSE))</x:f>
        <x:v>Final 프로젝트__10</x:v>
      </x:c>
      <x:c r="J876" s="38" t="str">
        <x:f t="shared" si="78"/>
        <x:v>Final 프로젝트</x:v>
      </x:c>
      <x:c r="K876" s="38" t="str">
        <x:f t="shared" si="79"/>
        <x:v>1교육실(실습겸용강의실)</x:v>
      </x:c>
      <x:c r="L876" s="38" t="str">
        <x:f t="shared" si="80"/>
        <x:v>양현수</x:v>
      </x:c>
      <x:c r="M876" s="63"/>
      <x:c r="N876" s="30">
        <x:f>IF(F876="2","",COUNTIF($F$3:$F876,"=1"))</x:f>
        <x:v>777</x:v>
      </x:c>
      <x:c r="O876" s="30">
        <x:f t="shared" si="81"/>
        <x:v>10</x:v>
      </x:c>
      <x:c r="P876" s="30">
        <x:f t="shared" si="83"/>
        <x:v>3</x:v>
      </x:c>
      <x:c r="Q876" s="30">
        <x:f>COUNTIF($P$3:P876,"=3")</x:f>
        <x:v>98</x:v>
      </x:c>
      <x:c r="R876" s="29">
        <x:f>WORKDAY(기본입력!$H$2,Q876-1,공휴일)</x:f>
        <x:v>46066</x:v>
      </x:c>
    </x:row>
    <x:row r="877" spans="1:18">
      <x:c r="A877" s="145" t="str">
        <x:f t="shared" si="82"/>
        <x:v>20260213</x:v>
      </x:c>
      <x:c r="B877" s="8" t="s">
        <x:v>5</x:v>
      </x:c>
      <x:c r="C877" s="8">
        <x:v>1740</x:v>
      </x:c>
      <x:c r="D877" s="7" t="s">
        <x:v>1</x:v>
      </x:c>
      <x:c r="E877" s="8" t="s">
        <x:v>117</x:v>
      </x:c>
      <x:c r="F877" s="8" t="s">
        <x:v>40</x:v>
      </x:c>
      <x:c r="G877" s="15" t="str">
        <x:f>IF(OR(N877="",N877&gt;기본입력!$C$34),"",VLOOKUP(O877,기본입력!$A$9:$F$33,5))</x:f>
        <x:v>양현수_53778</x:v>
      </x:c>
      <x:c r="H877" s="15" t="str">
        <x:f>IF(OR(N877="",N877&gt;기본입력!$C$34),"",기본입력!$C$6)</x:f>
        <x:v>1교육실(실습겸용강의실)_243089</x:v>
      </x:c>
      <x:c r="I877" s="15" t="str">
        <x:f>IF(OR(O877="",N877&gt;기본입력!$C$34),"",VLOOKUP(O877,기본입력!$A$9:$F$33,6,FALSE))</x:f>
        <x:v>Final 프로젝트__10</x:v>
      </x:c>
      <x:c r="J877" s="38" t="str">
        <x:f t="shared" si="78"/>
        <x:v>Final 프로젝트</x:v>
      </x:c>
      <x:c r="K877" s="38" t="str">
        <x:f t="shared" si="79"/>
        <x:v>1교육실(실습겸용강의실)</x:v>
      </x:c>
      <x:c r="L877" s="38" t="str">
        <x:f t="shared" si="80"/>
        <x:v>양현수</x:v>
      </x:c>
      <x:c r="M877" s="63"/>
      <x:c r="N877" s="30">
        <x:f>IF(F877="2","",COUNTIF($F$3:$F877,"=1"))</x:f>
        <x:v>778</x:v>
      </x:c>
      <x:c r="O877" s="30">
        <x:f t="shared" si="81"/>
        <x:v>10</x:v>
      </x:c>
      <x:c r="P877" s="30">
        <x:f t="shared" si="83"/>
        <x:v>4</x:v>
      </x:c>
      <x:c r="Q877" s="30">
        <x:f>COUNTIF($P$3:P877,"=3")</x:f>
        <x:v>98</x:v>
      </x:c>
      <x:c r="R877" s="29">
        <x:f>WORKDAY(기본입력!$H$2,Q877-1,공휴일)</x:f>
        <x:v>46066</x:v>
      </x:c>
    </x:row>
    <x:row r="878" spans="1:18">
      <x:c r="A878" s="145" t="str">
        <x:f t="shared" si="82"/>
        <x:v>20260213</x:v>
      </x:c>
      <x:c r="B878" s="8" t="s">
        <x:v>5</x:v>
      </x:c>
      <x:c r="C878" s="8">
        <x:v>1740</x:v>
      </x:c>
      <x:c r="D878" s="7" t="s">
        <x:v>1</x:v>
      </x:c>
      <x:c r="E878" s="8" t="s">
        <x:v>87</x:v>
      </x:c>
      <x:c r="F878" s="8" t="s">
        <x:v>40</x:v>
      </x:c>
      <x:c r="G878" s="15" t="str">
        <x:f>IF(OR(N878="",N878&gt;기본입력!$C$34),"",VLOOKUP(O878,기본입력!$A$9:$F$33,5))</x:f>
        <x:v>양현수_53778</x:v>
      </x:c>
      <x:c r="H878" s="15" t="str">
        <x:f>IF(OR(N878="",N878&gt;기본입력!$C$34),"",기본입력!$C$6)</x:f>
        <x:v>1교육실(실습겸용강의실)_243089</x:v>
      </x:c>
      <x:c r="I878" s="15" t="str">
        <x:f>IF(OR(O878="",N878&gt;기본입력!$C$34),"",VLOOKUP(O878,기본입력!$A$9:$F$33,6,FALSE))</x:f>
        <x:v>Final 프로젝트__10</x:v>
      </x:c>
      <x:c r="J878" s="38" t="str">
        <x:f t="shared" si="78"/>
        <x:v>Final 프로젝트</x:v>
      </x:c>
      <x:c r="K878" s="38" t="str">
        <x:f t="shared" si="79"/>
        <x:v>1교육실(실습겸용강의실)</x:v>
      </x:c>
      <x:c r="L878" s="38" t="str">
        <x:f t="shared" si="80"/>
        <x:v>양현수</x:v>
      </x:c>
      <x:c r="M878" s="63"/>
      <x:c r="N878" s="30">
        <x:f>IF(F878="2","",COUNTIF($F$3:$F878,"=1"))</x:f>
        <x:v>779</x:v>
      </x:c>
      <x:c r="O878" s="30">
        <x:f t="shared" si="81"/>
        <x:v>10</x:v>
      </x:c>
      <x:c r="P878" s="30">
        <x:f t="shared" si="83"/>
        <x:v>5</x:v>
      </x:c>
      <x:c r="Q878" s="30">
        <x:f>COUNTIF($P$3:P878,"=3")</x:f>
        <x:v>98</x:v>
      </x:c>
      <x:c r="R878" s="29">
        <x:f>WORKDAY(기본입력!$H$2,Q878-1,공휴일)</x:f>
        <x:v>46066</x:v>
      </x:c>
    </x:row>
    <x:row r="879" spans="1:18">
      <x:c r="A879" s="145" t="str">
        <x:f t="shared" si="82"/>
        <x:v>20260213</x:v>
      </x:c>
      <x:c r="B879" s="8" t="s">
        <x:v>5</x:v>
      </x:c>
      <x:c r="C879" s="8">
        <x:v>1740</x:v>
      </x:c>
      <x:c r="D879" s="7" t="s">
        <x:v>1</x:v>
      </x:c>
      <x:c r="E879" s="8" t="s">
        <x:v>88</x:v>
      </x:c>
      <x:c r="F879" s="8" t="s">
        <x:v>40</x:v>
      </x:c>
      <x:c r="G879" s="15" t="str">
        <x:f>IF(OR(N879="",N879&gt;기본입력!$C$34),"",VLOOKUP(O879,기본입력!$A$9:$F$33,5))</x:f>
        <x:v>양현수_53778</x:v>
      </x:c>
      <x:c r="H879" s="15" t="str">
        <x:f>IF(OR(N879="",N879&gt;기본입력!$C$34),"",기본입력!$C$6)</x:f>
        <x:v>1교육실(실습겸용강의실)_243089</x:v>
      </x:c>
      <x:c r="I879" s="15" t="str">
        <x:f>IF(OR(O879="",N879&gt;기본입력!$C$34),"",VLOOKUP(O879,기본입력!$A$9:$F$33,6,FALSE))</x:f>
        <x:v>Final 프로젝트__10</x:v>
      </x:c>
      <x:c r="J879" s="38" t="str">
        <x:f t="shared" si="78"/>
        <x:v>Final 프로젝트</x:v>
      </x:c>
      <x:c r="K879" s="38" t="str">
        <x:f t="shared" si="79"/>
        <x:v>1교육실(실습겸용강의실)</x:v>
      </x:c>
      <x:c r="L879" s="38" t="str">
        <x:f t="shared" si="80"/>
        <x:v>양현수</x:v>
      </x:c>
      <x:c r="M879" s="63"/>
      <x:c r="N879" s="30">
        <x:f>IF(F879="2","",COUNTIF($F$3:$F879,"=1"))</x:f>
        <x:v>780</x:v>
      </x:c>
      <x:c r="O879" s="30">
        <x:f t="shared" si="81"/>
        <x:v>10</x:v>
      </x:c>
      <x:c r="P879" s="30">
        <x:f t="shared" si="83"/>
        <x:v>6</x:v>
      </x:c>
      <x:c r="Q879" s="30">
        <x:f>COUNTIF($P$3:P879,"=3")</x:f>
        <x:v>98</x:v>
      </x:c>
      <x:c r="R879" s="29">
        <x:f>WORKDAY(기본입력!$H$2,Q879-1,공휴일)</x:f>
        <x:v>46066</x:v>
      </x:c>
    </x:row>
    <x:row r="880" spans="1:18">
      <x:c r="A880" s="145" t="str">
        <x:f t="shared" si="82"/>
        <x:v>20260213</x:v>
      </x:c>
      <x:c r="B880" s="8" t="s">
        <x:v>5</x:v>
      </x:c>
      <x:c r="C880" s="8">
        <x:v>1740</x:v>
      </x:c>
      <x:c r="D880" s="7" t="s">
        <x:v>1</x:v>
      </x:c>
      <x:c r="E880" s="8" t="s">
        <x:v>0</x:v>
      </x:c>
      <x:c r="F880" s="8" t="s">
        <x:v>41</x:v>
      </x:c>
      <x:c r="G880" s="15" t="str">
        <x:f>IF(OR(N880="",N880&gt;기본입력!$C$34),"",VLOOKUP(O880,기본입력!$A$9:$F$33,5))</x:f>
        <x:v/>
      </x:c>
      <x:c r="H880" s="15" t="str">
        <x:f>IF(OR(N880="",N880&gt;기본입력!$C$34),"",기본입력!$C$6)</x:f>
        <x:v/>
      </x:c>
      <x:c r="I880" s="15" t="str">
        <x:f>IF(OR(O880="",N880&gt;기본입력!$C$34),"",VLOOKUP(O880,기본입력!$A$9:$F$33,6,FALSE))</x:f>
        <x:v/>
      </x:c>
      <x:c r="J880" s="38" t="str">
        <x:f t="shared" si="78"/>
        <x:v/>
      </x:c>
      <x:c r="K880" s="38" t="str">
        <x:f t="shared" si="79"/>
        <x:v/>
      </x:c>
      <x:c r="L880" s="38" t="str">
        <x:f t="shared" si="80"/>
        <x:v/>
      </x:c>
      <x:c r="M880" s="63"/>
      <x:c r="N880" s="30" t="str">
        <x:f>IF(F880="2","",COUNTIF($F$3:$F880,"=1"))</x:f>
        <x:v/>
      </x:c>
      <x:c r="O880" s="30" t="str">
        <x:f t="shared" si="81"/>
        <x:v/>
      </x:c>
      <x:c r="P880" s="30">
        <x:f t="shared" si="83"/>
        <x:v>7</x:v>
      </x:c>
      <x:c r="Q880" s="30">
        <x:f>COUNTIF($P$3:P880,"=3")</x:f>
        <x:v>98</x:v>
      </x:c>
      <x:c r="R880" s="29">
        <x:f>WORKDAY(기본입력!$H$2,Q880-1,공휴일)</x:f>
        <x:v>46066</x:v>
      </x:c>
    </x:row>
    <x:row r="881" spans="1:18">
      <x:c r="A881" s="145" t="str">
        <x:f t="shared" si="82"/>
        <x:v>20260213</x:v>
      </x:c>
      <x:c r="B881" s="8" t="s">
        <x:v>5</x:v>
      </x:c>
      <x:c r="C881" s="8">
        <x:v>1740</x:v>
      </x:c>
      <x:c r="D881" s="7" t="s">
        <x:v>1</x:v>
      </x:c>
      <x:c r="E881" s="8">
        <x:v>1340</x:v>
      </x:c>
      <x:c r="F881" s="8" t="s">
        <x:v>40</x:v>
      </x:c>
      <x:c r="G881" s="15" t="str">
        <x:f>IF(OR(N881="",N881&gt;기본입력!$C$34),"",VLOOKUP(O881,기본입력!$A$9:$F$33,5))</x:f>
        <x:v>양현수_53778</x:v>
      </x:c>
      <x:c r="H881" s="15" t="str">
        <x:f>IF(OR(N881="",N881&gt;기본입력!$C$34),"",기본입력!$C$6)</x:f>
        <x:v>1교육실(실습겸용강의실)_243089</x:v>
      </x:c>
      <x:c r="I881" s="15" t="str">
        <x:f>IF(OR(O881="",N881&gt;기본입력!$C$34),"",VLOOKUP(O881,기본입력!$A$9:$F$33,6,FALSE))</x:f>
        <x:v>Final 프로젝트__10</x:v>
      </x:c>
      <x:c r="J881" s="38" t="str">
        <x:f t="shared" si="78"/>
        <x:v>Final 프로젝트</x:v>
      </x:c>
      <x:c r="K881" s="38" t="str">
        <x:f t="shared" si="79"/>
        <x:v>1교육실(실습겸용강의실)</x:v>
      </x:c>
      <x:c r="L881" s="38" t="str">
        <x:f t="shared" si="80"/>
        <x:v>양현수</x:v>
      </x:c>
      <x:c r="M881" s="63"/>
      <x:c r="N881" s="30">
        <x:f>IF(F881="2","",COUNTIF($F$3:$F881,"=1"))</x:f>
        <x:v>781</x:v>
      </x:c>
      <x:c r="O881" s="30">
        <x:f t="shared" si="81"/>
        <x:v>10</x:v>
      </x:c>
      <x:c r="P881" s="30">
        <x:f t="shared" si="83"/>
        <x:v>8</x:v>
      </x:c>
      <x:c r="Q881" s="30">
        <x:f>COUNTIF($P$3:P881,"=3")</x:f>
        <x:v>98</x:v>
      </x:c>
      <x:c r="R881" s="29">
        <x:f>WORKDAY(기본입력!$H$2,Q881-1,공휴일)</x:f>
        <x:v>46066</x:v>
      </x:c>
    </x:row>
    <x:row r="882" spans="1:18">
      <x:c r="A882" s="145" t="str">
        <x:f t="shared" si="82"/>
        <x:v>20260213</x:v>
      </x:c>
      <x:c r="B882" s="8" t="s">
        <x:v>5</x:v>
      </x:c>
      <x:c r="C882" s="8">
        <x:v>1740</x:v>
      </x:c>
      <x:c r="D882" s="7" t="s">
        <x:v>1</x:v>
      </x:c>
      <x:c r="E882" s="8">
        <x:v>1440</x:v>
      </x:c>
      <x:c r="F882" s="8" t="s">
        <x:v>40</x:v>
      </x:c>
      <x:c r="G882" s="15" t="str">
        <x:f>IF(OR(N882="",N882&gt;기본입력!$C$34),"",VLOOKUP(O882,기본입력!$A$9:$F$33,5))</x:f>
        <x:v>양현수_53778</x:v>
      </x:c>
      <x:c r="H882" s="15" t="str">
        <x:f>IF(OR(N882="",N882&gt;기본입력!$C$34),"",기본입력!$C$6)</x:f>
        <x:v>1교육실(실습겸용강의실)_243089</x:v>
      </x:c>
      <x:c r="I882" s="15" t="str">
        <x:f>IF(OR(O882="",N882&gt;기본입력!$C$34),"",VLOOKUP(O882,기본입력!$A$9:$F$33,6,FALSE))</x:f>
        <x:v>Final 프로젝트__10</x:v>
      </x:c>
      <x:c r="J882" s="38" t="str">
        <x:f t="shared" ref="J882:J945" si="84">IF(F882="2","",LEFT(I882,FIND("_",I882,2)-1))</x:f>
        <x:v>Final 프로젝트</x:v>
      </x:c>
      <x:c r="K882" s="38" t="str">
        <x:f t="shared" ref="K882:K945" si="85">IF(F882="2","",LEFT(H882,FIND("_",H882,2)-1))</x:f>
        <x:v>1교육실(실습겸용강의실)</x:v>
      </x:c>
      <x:c r="L882" s="38" t="str">
        <x:f t="shared" ref="L882:L945" si="86">IF(F882="2","",LEFT(G882,FIND("_",G882,2)-1))</x:f>
        <x:v>양현수</x:v>
      </x:c>
      <x:c r="M882" s="63"/>
      <x:c r="N882" s="30">
        <x:f>IF(F882="2","",COUNTIF($F$3:$F882,"=1"))</x:f>
        <x:v>782</x:v>
      </x:c>
      <x:c r="O882" s="30">
        <x:f t="shared" si="81"/>
        <x:v>10</x:v>
      </x:c>
      <x:c r="P882" s="30">
        <x:f t="shared" si="83"/>
        <x:v>0</x:v>
      </x:c>
      <x:c r="Q882" s="30">
        <x:f>COUNTIF($P$3:P882,"=3")</x:f>
        <x:v>98</x:v>
      </x:c>
      <x:c r="R882" s="29">
        <x:f>WORKDAY(기본입력!$H$2,Q882-1,공휴일)</x:f>
        <x:v>46066</x:v>
      </x:c>
    </x:row>
    <x:row r="883" spans="1:18">
      <x:c r="A883" s="145" t="str">
        <x:f t="shared" si="82"/>
        <x:v>20260213</x:v>
      </x:c>
      <x:c r="B883" s="8" t="s">
        <x:v>5</x:v>
      </x:c>
      <x:c r="C883" s="8">
        <x:v>1740</x:v>
      </x:c>
      <x:c r="D883" s="7" t="s">
        <x:v>1</x:v>
      </x:c>
      <x:c r="E883" s="8">
        <x:v>1540</x:v>
      </x:c>
      <x:c r="F883" s="8" t="s">
        <x:v>40</x:v>
      </x:c>
      <x:c r="G883" s="15" t="str">
        <x:f>IF(OR(N883="",N883&gt;기본입력!$C$34),"",VLOOKUP(O883,기본입력!$A$9:$F$33,5))</x:f>
        <x:v>양현수_53778</x:v>
      </x:c>
      <x:c r="H883" s="15" t="str">
        <x:f>IF(OR(N883="",N883&gt;기본입력!$C$34),"",기본입력!$C$6)</x:f>
        <x:v>1교육실(실습겸용강의실)_243089</x:v>
      </x:c>
      <x:c r="I883" s="15" t="str">
        <x:f>IF(OR(O883="",N883&gt;기본입력!$C$34),"",VLOOKUP(O883,기본입력!$A$9:$F$33,6,FALSE))</x:f>
        <x:v>Final 프로젝트__10</x:v>
      </x:c>
      <x:c r="J883" s="38" t="str">
        <x:f t="shared" si="84"/>
        <x:v>Final 프로젝트</x:v>
      </x:c>
      <x:c r="K883" s="38" t="str">
        <x:f t="shared" si="85"/>
        <x:v>1교육실(실습겸용강의실)</x:v>
      </x:c>
      <x:c r="L883" s="38" t="str">
        <x:f t="shared" si="86"/>
        <x:v>양현수</x:v>
      </x:c>
      <x:c r="M883" s="63"/>
      <x:c r="N883" s="30">
        <x:f>IF(F883="2","",COUNTIF($F$3:$F883,"=1"))</x:f>
        <x:v>783</x:v>
      </x:c>
      <x:c r="O883" s="30">
        <x:f t="shared" si="81"/>
        <x:v>10</x:v>
      </x:c>
      <x:c r="P883" s="30">
        <x:f t="shared" si="83"/>
        <x:v>1</x:v>
      </x:c>
      <x:c r="Q883" s="30">
        <x:f>COUNTIF($P$3:P883,"=3")</x:f>
        <x:v>98</x:v>
      </x:c>
      <x:c r="R883" s="29">
        <x:f>WORKDAY(기본입력!$H$2,Q883-1,공휴일)</x:f>
        <x:v>46066</x:v>
      </x:c>
    </x:row>
    <x:row r="884" spans="1:18">
      <x:c r="A884" s="145" t="str">
        <x:f t="shared" si="82"/>
        <x:v>20260213</x:v>
      </x:c>
      <x:c r="B884" s="8" t="s">
        <x:v>5</x:v>
      </x:c>
      <x:c r="C884" s="8">
        <x:v>1740</x:v>
      </x:c>
      <x:c r="D884" s="7" t="s">
        <x:v>1</x:v>
      </x:c>
      <x:c r="E884" s="8">
        <x:v>1640</x:v>
      </x:c>
      <x:c r="F884" s="8" t="s">
        <x:v>40</x:v>
      </x:c>
      <x:c r="G884" s="15" t="str">
        <x:f>IF(OR(N884="",N884&gt;기본입력!$C$34),"",VLOOKUP(O884,기본입력!$A$9:$F$33,5))</x:f>
        <x:v>양현수_53778</x:v>
      </x:c>
      <x:c r="H884" s="15" t="str">
        <x:f>IF(OR(N884="",N884&gt;기본입력!$C$34),"",기본입력!$C$6)</x:f>
        <x:v>1교육실(실습겸용강의실)_243089</x:v>
      </x:c>
      <x:c r="I884" s="15" t="str">
        <x:f>IF(OR(O884="",N884&gt;기본입력!$C$34),"",VLOOKUP(O884,기본입력!$A$9:$F$33,6,FALSE))</x:f>
        <x:v>Final 프로젝트__10</x:v>
      </x:c>
      <x:c r="J884" s="38" t="str">
        <x:f t="shared" si="84"/>
        <x:v>Final 프로젝트</x:v>
      </x:c>
      <x:c r="K884" s="38" t="str">
        <x:f t="shared" si="85"/>
        <x:v>1교육실(실습겸용강의실)</x:v>
      </x:c>
      <x:c r="L884" s="38" t="str">
        <x:f t="shared" si="86"/>
        <x:v>양현수</x:v>
      </x:c>
      <x:c r="M884" s="63"/>
      <x:c r="N884" s="30">
        <x:f>IF(F884="2","",COUNTIF($F$3:$F884,"=1"))</x:f>
        <x:v>784</x:v>
      </x:c>
      <x:c r="O884" s="30">
        <x:f t="shared" si="81"/>
        <x:v>10</x:v>
      </x:c>
      <x:c r="P884" s="30">
        <x:f t="shared" si="83"/>
        <x:v>2</x:v>
      </x:c>
      <x:c r="Q884" s="30">
        <x:f>COUNTIF($P$3:P884,"=3")</x:f>
        <x:v>98</x:v>
      </x:c>
      <x:c r="R884" s="29">
        <x:f>WORKDAY(기본입력!$H$2,Q884-1,공휴일)</x:f>
        <x:v>46066</x:v>
      </x:c>
    </x:row>
    <x:row r="885" spans="1:18">
      <x:c r="A885" s="144" t="str">
        <x:f t="shared" si="82"/>
        <x:v>20260219</x:v>
      </x:c>
      <x:c r="B885" s="6" t="s">
        <x:v>5</x:v>
      </x:c>
      <x:c r="C885" s="6">
        <x:v>1740</x:v>
      </x:c>
      <x:c r="D885" s="5" t="s">
        <x:v>1</x:v>
      </x:c>
      <x:c r="E885" s="6" t="s">
        <x:v>5</x:v>
      </x:c>
      <x:c r="F885" s="6" t="s">
        <x:v>40</x:v>
      </x:c>
      <x:c r="G885" s="14" t="str">
        <x:f>IF(OR(N885="",N885&gt;기본입력!$C$34),"",VLOOKUP(O885,기본입력!$A$9:$F$33,5))</x:f>
        <x:v>양현수_53778</x:v>
      </x:c>
      <x:c r="H885" s="14" t="str">
        <x:f>IF(OR(N885="",N885&gt;기본입력!$C$34),"",기본입력!$C$6)</x:f>
        <x:v>1교육실(실습겸용강의실)_243089</x:v>
      </x:c>
      <x:c r="I885" s="14" t="str">
        <x:f>IF(OR(O885="",N885&gt;기본입력!$C$34),"",VLOOKUP(O885,기본입력!$A$9:$F$33,6,FALSE))</x:f>
        <x:v>Final 프로젝트__10</x:v>
      </x:c>
      <x:c r="J885" s="38" t="str">
        <x:f t="shared" si="84"/>
        <x:v>Final 프로젝트</x:v>
      </x:c>
      <x:c r="K885" s="38" t="str">
        <x:f t="shared" si="85"/>
        <x:v>1교육실(실습겸용강의실)</x:v>
      </x:c>
      <x:c r="L885" s="38" t="str">
        <x:f t="shared" si="86"/>
        <x:v>양현수</x:v>
      </x:c>
      <x:c r="M885" s="63"/>
      <x:c r="N885" s="30">
        <x:f>IF(F885="2","",COUNTIF($F$3:$F885,"=1"))</x:f>
        <x:v>785</x:v>
      </x:c>
      <x:c r="O885" s="30">
        <x:f t="shared" si="81"/>
        <x:v>10</x:v>
      </x:c>
      <x:c r="P885" s="30">
        <x:f t="shared" si="83"/>
        <x:v>3</x:v>
      </x:c>
      <x:c r="Q885" s="30">
        <x:f>COUNTIF($P$3:P885,"=3")</x:f>
        <x:v>99</x:v>
      </x:c>
      <x:c r="R885" s="29">
        <x:f>WORKDAY(기본입력!$H$2,Q885-1,공휴일)</x:f>
        <x:v>46072</x:v>
      </x:c>
    </x:row>
    <x:row r="886" spans="1:18">
      <x:c r="A886" s="144" t="str">
        <x:f t="shared" si="82"/>
        <x:v>20260219</x:v>
      </x:c>
      <x:c r="B886" s="6" t="s">
        <x:v>5</x:v>
      </x:c>
      <x:c r="C886" s="6">
        <x:v>1740</x:v>
      </x:c>
      <x:c r="D886" s="5" t="s">
        <x:v>1</x:v>
      </x:c>
      <x:c r="E886" s="6" t="s">
        <x:v>117</x:v>
      </x:c>
      <x:c r="F886" s="6" t="s">
        <x:v>40</x:v>
      </x:c>
      <x:c r="G886" s="14" t="str">
        <x:f>IF(OR(N886="",N886&gt;기본입력!$C$34),"",VLOOKUP(O886,기본입력!$A$9:$F$33,5))</x:f>
        <x:v>양현수_53778</x:v>
      </x:c>
      <x:c r="H886" s="14" t="str">
        <x:f>IF(OR(N886="",N886&gt;기본입력!$C$34),"",기본입력!$C$6)</x:f>
        <x:v>1교육실(실습겸용강의실)_243089</x:v>
      </x:c>
      <x:c r="I886" s="14" t="str">
        <x:f>IF(OR(O886="",N886&gt;기본입력!$C$34),"",VLOOKUP(O886,기본입력!$A$9:$F$33,6,FALSE))</x:f>
        <x:v>Final 프로젝트__10</x:v>
      </x:c>
      <x:c r="J886" s="38" t="str">
        <x:f t="shared" si="84"/>
        <x:v>Final 프로젝트</x:v>
      </x:c>
      <x:c r="K886" s="38" t="str">
        <x:f t="shared" si="85"/>
        <x:v>1교육실(실습겸용강의실)</x:v>
      </x:c>
      <x:c r="L886" s="38" t="str">
        <x:f t="shared" si="86"/>
        <x:v>양현수</x:v>
      </x:c>
      <x:c r="M886" s="63"/>
      <x:c r="N886" s="30">
        <x:f>IF(F886="2","",COUNTIF($F$3:$F886,"=1"))</x:f>
        <x:v>786</x:v>
      </x:c>
      <x:c r="O886" s="30">
        <x:f t="shared" si="81"/>
        <x:v>10</x:v>
      </x:c>
      <x:c r="P886" s="30">
        <x:f t="shared" si="83"/>
        <x:v>4</x:v>
      </x:c>
      <x:c r="Q886" s="30">
        <x:f>COUNTIF($P$3:P886,"=3")</x:f>
        <x:v>99</x:v>
      </x:c>
      <x:c r="R886" s="29">
        <x:f>WORKDAY(기본입력!$H$2,Q886-1,공휴일)</x:f>
        <x:v>46072</x:v>
      </x:c>
    </x:row>
    <x:row r="887" spans="1:18">
      <x:c r="A887" s="144" t="str">
        <x:f t="shared" si="82"/>
        <x:v>20260219</x:v>
      </x:c>
      <x:c r="B887" s="6" t="s">
        <x:v>5</x:v>
      </x:c>
      <x:c r="C887" s="6">
        <x:v>1740</x:v>
      </x:c>
      <x:c r="D887" s="5" t="s">
        <x:v>1</x:v>
      </x:c>
      <x:c r="E887" s="6" t="s">
        <x:v>87</x:v>
      </x:c>
      <x:c r="F887" s="6" t="s">
        <x:v>40</x:v>
      </x:c>
      <x:c r="G887" s="14" t="str">
        <x:f>IF(OR(N887="",N887&gt;기본입력!$C$34),"",VLOOKUP(O887,기본입력!$A$9:$F$33,5))</x:f>
        <x:v>양현수_53778</x:v>
      </x:c>
      <x:c r="H887" s="14" t="str">
        <x:f>IF(OR(N887="",N887&gt;기본입력!$C$34),"",기본입력!$C$6)</x:f>
        <x:v>1교육실(실습겸용강의실)_243089</x:v>
      </x:c>
      <x:c r="I887" s="14" t="str">
        <x:f>IF(OR(O887="",N887&gt;기본입력!$C$34),"",VLOOKUP(O887,기본입력!$A$9:$F$33,6,FALSE))</x:f>
        <x:v>Final 프로젝트__10</x:v>
      </x:c>
      <x:c r="J887" s="38" t="str">
        <x:f t="shared" si="84"/>
        <x:v>Final 프로젝트</x:v>
      </x:c>
      <x:c r="K887" s="38" t="str">
        <x:f t="shared" si="85"/>
        <x:v>1교육실(실습겸용강의실)</x:v>
      </x:c>
      <x:c r="L887" s="38" t="str">
        <x:f t="shared" si="86"/>
        <x:v>양현수</x:v>
      </x:c>
      <x:c r="M887" s="63"/>
      <x:c r="N887" s="30">
        <x:f>IF(F887="2","",COUNTIF($F$3:$F887,"=1"))</x:f>
        <x:v>787</x:v>
      </x:c>
      <x:c r="O887" s="30">
        <x:f t="shared" si="81"/>
        <x:v>10</x:v>
      </x:c>
      <x:c r="P887" s="30">
        <x:f t="shared" si="83"/>
        <x:v>5</x:v>
      </x:c>
      <x:c r="Q887" s="30">
        <x:f>COUNTIF($P$3:P887,"=3")</x:f>
        <x:v>99</x:v>
      </x:c>
      <x:c r="R887" s="29">
        <x:f>WORKDAY(기본입력!$H$2,Q887-1,공휴일)</x:f>
        <x:v>46072</x:v>
      </x:c>
    </x:row>
    <x:row r="888" spans="1:18">
      <x:c r="A888" s="144" t="str">
        <x:f t="shared" si="82"/>
        <x:v>20260219</x:v>
      </x:c>
      <x:c r="B888" s="6" t="s">
        <x:v>5</x:v>
      </x:c>
      <x:c r="C888" s="6">
        <x:v>1740</x:v>
      </x:c>
      <x:c r="D888" s="5" t="s">
        <x:v>1</x:v>
      </x:c>
      <x:c r="E888" s="6" t="s">
        <x:v>88</x:v>
      </x:c>
      <x:c r="F888" s="6" t="s">
        <x:v>40</x:v>
      </x:c>
      <x:c r="G888" s="14" t="str">
        <x:f>IF(OR(N888="",N888&gt;기본입력!$C$34),"",VLOOKUP(O888,기본입력!$A$9:$F$33,5))</x:f>
        <x:v>양현수_53778</x:v>
      </x:c>
      <x:c r="H888" s="14" t="str">
        <x:f>IF(OR(N888="",N888&gt;기본입력!$C$34),"",기본입력!$C$6)</x:f>
        <x:v>1교육실(실습겸용강의실)_243089</x:v>
      </x:c>
      <x:c r="I888" s="14" t="str">
        <x:f>IF(OR(O888="",N888&gt;기본입력!$C$34),"",VLOOKUP(O888,기본입력!$A$9:$F$33,6,FALSE))</x:f>
        <x:v>Final 프로젝트__10</x:v>
      </x:c>
      <x:c r="J888" s="38" t="str">
        <x:f t="shared" si="84"/>
        <x:v>Final 프로젝트</x:v>
      </x:c>
      <x:c r="K888" s="38" t="str">
        <x:f t="shared" si="85"/>
        <x:v>1교육실(실습겸용강의실)</x:v>
      </x:c>
      <x:c r="L888" s="38" t="str">
        <x:f t="shared" si="86"/>
        <x:v>양현수</x:v>
      </x:c>
      <x:c r="M888" s="63"/>
      <x:c r="N888" s="30">
        <x:f>IF(F888="2","",COUNTIF($F$3:$F888,"=1"))</x:f>
        <x:v>788</x:v>
      </x:c>
      <x:c r="O888" s="30">
        <x:f t="shared" si="81"/>
        <x:v>10</x:v>
      </x:c>
      <x:c r="P888" s="30">
        <x:f t="shared" si="83"/>
        <x:v>6</x:v>
      </x:c>
      <x:c r="Q888" s="30">
        <x:f>COUNTIF($P$3:P888,"=3")</x:f>
        <x:v>99</x:v>
      </x:c>
      <x:c r="R888" s="29">
        <x:f>WORKDAY(기본입력!$H$2,Q888-1,공휴일)</x:f>
        <x:v>46072</x:v>
      </x:c>
    </x:row>
    <x:row r="889" spans="1:18">
      <x:c r="A889" s="144" t="str">
        <x:f t="shared" si="82"/>
        <x:v>20260219</x:v>
      </x:c>
      <x:c r="B889" s="6" t="s">
        <x:v>5</x:v>
      </x:c>
      <x:c r="C889" s="6">
        <x:v>1740</x:v>
      </x:c>
      <x:c r="D889" s="5" t="s">
        <x:v>1</x:v>
      </x:c>
      <x:c r="E889" s="6" t="s">
        <x:v>0</x:v>
      </x:c>
      <x:c r="F889" s="6" t="s">
        <x:v>41</x:v>
      </x:c>
      <x:c r="G889" s="14" t="str">
        <x:f>IF(OR(N889="",N889&gt;기본입력!$C$34),"",VLOOKUP(O889,기본입력!$A$9:$F$33,5))</x:f>
        <x:v/>
      </x:c>
      <x:c r="H889" s="14" t="str">
        <x:f>IF(OR(N889="",N889&gt;기본입력!$C$34),"",기본입력!$C$6)</x:f>
        <x:v/>
      </x:c>
      <x:c r="I889" s="14" t="str">
        <x:f>IF(OR(O889="",N889&gt;기본입력!$C$34),"",VLOOKUP(O889,기본입력!$A$9:$F$33,6,FALSE))</x:f>
        <x:v/>
      </x:c>
      <x:c r="J889" s="38" t="str">
        <x:f t="shared" si="84"/>
        <x:v/>
      </x:c>
      <x:c r="K889" s="38" t="str">
        <x:f t="shared" si="85"/>
        <x:v/>
      </x:c>
      <x:c r="L889" s="38" t="str">
        <x:f t="shared" si="86"/>
        <x:v/>
      </x:c>
      <x:c r="M889" s="63"/>
      <x:c r="N889" s="30" t="str">
        <x:f>IF(F889="2","",COUNTIF($F$3:$F889,"=1"))</x:f>
        <x:v/>
      </x:c>
      <x:c r="O889" s="30" t="str">
        <x:f t="shared" si="81"/>
        <x:v/>
      </x:c>
      <x:c r="P889" s="30">
        <x:f t="shared" si="83"/>
        <x:v>7</x:v>
      </x:c>
      <x:c r="Q889" s="30">
        <x:f>COUNTIF($P$3:P889,"=3")</x:f>
        <x:v>99</x:v>
      </x:c>
      <x:c r="R889" s="29">
        <x:f>WORKDAY(기본입력!$H$2,Q889-1,공휴일)</x:f>
        <x:v>46072</x:v>
      </x:c>
    </x:row>
    <x:row r="890" spans="1:18">
      <x:c r="A890" s="144" t="str">
        <x:f t="shared" si="82"/>
        <x:v>20260219</x:v>
      </x:c>
      <x:c r="B890" s="6" t="s">
        <x:v>5</x:v>
      </x:c>
      <x:c r="C890" s="6">
        <x:v>1740</x:v>
      </x:c>
      <x:c r="D890" s="5" t="s">
        <x:v>1</x:v>
      </x:c>
      <x:c r="E890" s="6">
        <x:v>1340</x:v>
      </x:c>
      <x:c r="F890" s="6" t="s">
        <x:v>40</x:v>
      </x:c>
      <x:c r="G890" s="14" t="str">
        <x:f>IF(OR(N890="",N890&gt;기본입력!$C$34),"",VLOOKUP(O890,기본입력!$A$9:$F$33,5))</x:f>
        <x:v>양현수_53778</x:v>
      </x:c>
      <x:c r="H890" s="14" t="str">
        <x:f>IF(OR(N890="",N890&gt;기본입력!$C$34),"",기본입력!$C$6)</x:f>
        <x:v>1교육실(실습겸용강의실)_243089</x:v>
      </x:c>
      <x:c r="I890" s="14" t="str">
        <x:f>IF(OR(O890="",N890&gt;기본입력!$C$34),"",VLOOKUP(O890,기본입력!$A$9:$F$33,6,FALSE))</x:f>
        <x:v>Final 프로젝트__10</x:v>
      </x:c>
      <x:c r="J890" s="38" t="str">
        <x:f t="shared" si="84"/>
        <x:v>Final 프로젝트</x:v>
      </x:c>
      <x:c r="K890" s="38" t="str">
        <x:f t="shared" si="85"/>
        <x:v>1교육실(실습겸용강의실)</x:v>
      </x:c>
      <x:c r="L890" s="38" t="str">
        <x:f t="shared" si="86"/>
        <x:v>양현수</x:v>
      </x:c>
      <x:c r="M890" s="63"/>
      <x:c r="N890" s="30">
        <x:f>IF(F890="2","",COUNTIF($F$3:$F890,"=1"))</x:f>
        <x:v>789</x:v>
      </x:c>
      <x:c r="O890" s="30">
        <x:f t="shared" si="81"/>
        <x:v>10</x:v>
      </x:c>
      <x:c r="P890" s="30">
        <x:f t="shared" si="83"/>
        <x:v>8</x:v>
      </x:c>
      <x:c r="Q890" s="30">
        <x:f>COUNTIF($P$3:P890,"=3")</x:f>
        <x:v>99</x:v>
      </x:c>
      <x:c r="R890" s="29">
        <x:f>WORKDAY(기본입력!$H$2,Q890-1,공휴일)</x:f>
        <x:v>46072</x:v>
      </x:c>
    </x:row>
    <x:row r="891" spans="1:18">
      <x:c r="A891" s="144" t="str">
        <x:f t="shared" si="82"/>
        <x:v>20260219</x:v>
      </x:c>
      <x:c r="B891" s="6" t="s">
        <x:v>5</x:v>
      </x:c>
      <x:c r="C891" s="6">
        <x:v>1740</x:v>
      </x:c>
      <x:c r="D891" s="5" t="s">
        <x:v>1</x:v>
      </x:c>
      <x:c r="E891" s="6">
        <x:v>1440</x:v>
      </x:c>
      <x:c r="F891" s="6" t="s">
        <x:v>40</x:v>
      </x:c>
      <x:c r="G891" s="14" t="str">
        <x:f>IF(OR(N891="",N891&gt;기본입력!$C$34),"",VLOOKUP(O891,기본입력!$A$9:$F$33,5))</x:f>
        <x:v>양현수_53778</x:v>
      </x:c>
      <x:c r="H891" s="14" t="str">
        <x:f>IF(OR(N891="",N891&gt;기본입력!$C$34),"",기본입력!$C$6)</x:f>
        <x:v>1교육실(실습겸용강의실)_243089</x:v>
      </x:c>
      <x:c r="I891" s="14" t="str">
        <x:f>IF(OR(O891="",N891&gt;기본입력!$C$34),"",VLOOKUP(O891,기본입력!$A$9:$F$33,6,FALSE))</x:f>
        <x:v>Final 프로젝트__10</x:v>
      </x:c>
      <x:c r="J891" s="38" t="str">
        <x:f t="shared" si="84"/>
        <x:v>Final 프로젝트</x:v>
      </x:c>
      <x:c r="K891" s="38" t="str">
        <x:f t="shared" si="85"/>
        <x:v>1교육실(실습겸용강의실)</x:v>
      </x:c>
      <x:c r="L891" s="38" t="str">
        <x:f t="shared" si="86"/>
        <x:v>양현수</x:v>
      </x:c>
      <x:c r="M891" s="63"/>
      <x:c r="N891" s="30">
        <x:f>IF(F891="2","",COUNTIF($F$3:$F891,"=1"))</x:f>
        <x:v>790</x:v>
      </x:c>
      <x:c r="O891" s="30">
        <x:f t="shared" si="81"/>
        <x:v>10</x:v>
      </x:c>
      <x:c r="P891" s="30">
        <x:f t="shared" si="83"/>
        <x:v>0</x:v>
      </x:c>
      <x:c r="Q891" s="30">
        <x:f>COUNTIF($P$3:P891,"=3")</x:f>
        <x:v>99</x:v>
      </x:c>
      <x:c r="R891" s="29">
        <x:f>WORKDAY(기본입력!$H$2,Q891-1,공휴일)</x:f>
        <x:v>46072</x:v>
      </x:c>
    </x:row>
    <x:row r="892" spans="1:18">
      <x:c r="A892" s="144" t="str">
        <x:f t="shared" si="82"/>
        <x:v>20260219</x:v>
      </x:c>
      <x:c r="B892" s="6" t="s">
        <x:v>5</x:v>
      </x:c>
      <x:c r="C892" s="6">
        <x:v>1740</x:v>
      </x:c>
      <x:c r="D892" s="5" t="s">
        <x:v>1</x:v>
      </x:c>
      <x:c r="E892" s="6">
        <x:v>1540</x:v>
      </x:c>
      <x:c r="F892" s="6" t="s">
        <x:v>40</x:v>
      </x:c>
      <x:c r="G892" s="14" t="str">
        <x:f>IF(OR(N892="",N892&gt;기본입력!$C$34),"",VLOOKUP(O892,기본입력!$A$9:$F$33,5))</x:f>
        <x:v>양현수_53778</x:v>
      </x:c>
      <x:c r="H892" s="14" t="str">
        <x:f>IF(OR(N892="",N892&gt;기본입력!$C$34),"",기본입력!$C$6)</x:f>
        <x:v>1교육실(실습겸용강의실)_243089</x:v>
      </x:c>
      <x:c r="I892" s="14" t="str">
        <x:f>IF(OR(O892="",N892&gt;기본입력!$C$34),"",VLOOKUP(O892,기본입력!$A$9:$F$33,6,FALSE))</x:f>
        <x:v>Final 프로젝트__10</x:v>
      </x:c>
      <x:c r="J892" s="38" t="str">
        <x:f t="shared" si="84"/>
        <x:v>Final 프로젝트</x:v>
      </x:c>
      <x:c r="K892" s="38" t="str">
        <x:f t="shared" si="85"/>
        <x:v>1교육실(실습겸용강의실)</x:v>
      </x:c>
      <x:c r="L892" s="38" t="str">
        <x:f t="shared" si="86"/>
        <x:v>양현수</x:v>
      </x:c>
      <x:c r="M892" s="63"/>
      <x:c r="N892" s="30">
        <x:f>IF(F892="2","",COUNTIF($F$3:$F892,"=1"))</x:f>
        <x:v>791</x:v>
      </x:c>
      <x:c r="O892" s="30">
        <x:f t="shared" si="81"/>
        <x:v>10</x:v>
      </x:c>
      <x:c r="P892" s="30">
        <x:f t="shared" si="83"/>
        <x:v>1</x:v>
      </x:c>
      <x:c r="Q892" s="30">
        <x:f>COUNTIF($P$3:P892,"=3")</x:f>
        <x:v>99</x:v>
      </x:c>
      <x:c r="R892" s="29">
        <x:f>WORKDAY(기본입력!$H$2,Q892-1,공휴일)</x:f>
        <x:v>46072</x:v>
      </x:c>
    </x:row>
    <x:row r="893" spans="1:18">
      <x:c r="A893" s="144" t="str">
        <x:f t="shared" si="82"/>
        <x:v>20260219</x:v>
      </x:c>
      <x:c r="B893" s="6" t="s">
        <x:v>5</x:v>
      </x:c>
      <x:c r="C893" s="6">
        <x:v>1740</x:v>
      </x:c>
      <x:c r="D893" s="5" t="s">
        <x:v>1</x:v>
      </x:c>
      <x:c r="E893" s="6">
        <x:v>1640</x:v>
      </x:c>
      <x:c r="F893" s="6" t="s">
        <x:v>40</x:v>
      </x:c>
      <x:c r="G893" s="14" t="str">
        <x:f>IF(OR(N893="",N893&gt;기본입력!$C$34),"",VLOOKUP(O893,기본입력!$A$9:$F$33,5))</x:f>
        <x:v>양현수_53778</x:v>
      </x:c>
      <x:c r="H893" s="14" t="str">
        <x:f>IF(OR(N893="",N893&gt;기본입력!$C$34),"",기본입력!$C$6)</x:f>
        <x:v>1교육실(실습겸용강의실)_243089</x:v>
      </x:c>
      <x:c r="I893" s="14" t="str">
        <x:f>IF(OR(O893="",N893&gt;기본입력!$C$34),"",VLOOKUP(O893,기본입력!$A$9:$F$33,6,FALSE))</x:f>
        <x:v>Final 프로젝트__10</x:v>
      </x:c>
      <x:c r="J893" s="38" t="str">
        <x:f t="shared" si="84"/>
        <x:v>Final 프로젝트</x:v>
      </x:c>
      <x:c r="K893" s="38" t="str">
        <x:f t="shared" si="85"/>
        <x:v>1교육실(실습겸용강의실)</x:v>
      </x:c>
      <x:c r="L893" s="38" t="str">
        <x:f t="shared" si="86"/>
        <x:v>양현수</x:v>
      </x:c>
      <x:c r="M893" s="63"/>
      <x:c r="N893" s="30">
        <x:f>IF(F893="2","",COUNTIF($F$3:$F893,"=1"))</x:f>
        <x:v>792</x:v>
      </x:c>
      <x:c r="O893" s="30">
        <x:f t="shared" si="81"/>
        <x:v>10</x:v>
      </x:c>
      <x:c r="P893" s="30">
        <x:f t="shared" si="83"/>
        <x:v>2</x:v>
      </x:c>
      <x:c r="Q893" s="30">
        <x:f>COUNTIF($P$3:P893,"=3")</x:f>
        <x:v>99</x:v>
      </x:c>
      <x:c r="R893" s="29">
        <x:f>WORKDAY(기본입력!$H$2,Q893-1,공휴일)</x:f>
        <x:v>46072</x:v>
      </x:c>
    </x:row>
    <x:row r="894" spans="1:18">
      <x:c r="A894" s="145" t="str">
        <x:f t="shared" si="82"/>
        <x:v>20260220</x:v>
      </x:c>
      <x:c r="B894" s="8" t="s">
        <x:v>5</x:v>
      </x:c>
      <x:c r="C894" s="8">
        <x:v>1740</x:v>
      </x:c>
      <x:c r="D894" s="7" t="s">
        <x:v>1</x:v>
      </x:c>
      <x:c r="E894" s="8" t="s">
        <x:v>5</x:v>
      </x:c>
      <x:c r="F894" s="8" t="s">
        <x:v>40</x:v>
      </x:c>
      <x:c r="G894" s="15" t="str">
        <x:f>IF(OR(N894="",N894&gt;기본입력!$C$34),"",VLOOKUP(O894,기본입력!$A$9:$F$33,5))</x:f>
        <x:v>양현수_53778</x:v>
      </x:c>
      <x:c r="H894" s="15" t="str">
        <x:f>IF(OR(N894="",N894&gt;기본입력!$C$34),"",기본입력!$C$6)</x:f>
        <x:v>1교육실(실습겸용강의실)_243089</x:v>
      </x:c>
      <x:c r="I894" s="15" t="str">
        <x:f>IF(OR(O894="",N894&gt;기본입력!$C$34),"",VLOOKUP(O894,기본입력!$A$9:$F$33,6,FALSE))</x:f>
        <x:v>Final 프로젝트__10</x:v>
      </x:c>
      <x:c r="J894" s="38" t="str">
        <x:f t="shared" si="84"/>
        <x:v>Final 프로젝트</x:v>
      </x:c>
      <x:c r="K894" s="38" t="str">
        <x:f t="shared" si="85"/>
        <x:v>1교육실(실습겸용강의실)</x:v>
      </x:c>
      <x:c r="L894" s="38" t="str">
        <x:f t="shared" si="86"/>
        <x:v>양현수</x:v>
      </x:c>
      <x:c r="M894" s="63"/>
      <x:c r="N894" s="30">
        <x:f>IF(F894="2","",COUNTIF($F$3:$F894,"=1"))</x:f>
        <x:v>793</x:v>
      </x:c>
      <x:c r="O894" s="30">
        <x:f t="shared" si="81"/>
        <x:v>10</x:v>
      </x:c>
      <x:c r="P894" s="30">
        <x:f t="shared" si="83"/>
        <x:v>3</x:v>
      </x:c>
      <x:c r="Q894" s="30">
        <x:f>COUNTIF($P$3:P894,"=3")</x:f>
        <x:v>100</x:v>
      </x:c>
      <x:c r="R894" s="29">
        <x:f>WORKDAY(기본입력!$H$2,Q894-1,공휴일)</x:f>
        <x:v>46073</x:v>
      </x:c>
    </x:row>
    <x:row r="895" spans="1:18">
      <x:c r="A895" s="145" t="str">
        <x:f t="shared" si="82"/>
        <x:v>20260220</x:v>
      </x:c>
      <x:c r="B895" s="8" t="s">
        <x:v>5</x:v>
      </x:c>
      <x:c r="C895" s="8">
        <x:v>1740</x:v>
      </x:c>
      <x:c r="D895" s="7" t="s">
        <x:v>1</x:v>
      </x:c>
      <x:c r="E895" s="8" t="s">
        <x:v>117</x:v>
      </x:c>
      <x:c r="F895" s="8" t="s">
        <x:v>40</x:v>
      </x:c>
      <x:c r="G895" s="15" t="str">
        <x:f>IF(OR(N895="",N895&gt;기본입력!$C$34),"",VLOOKUP(O895,기본입력!$A$9:$F$33,5))</x:f>
        <x:v>양현수_53778</x:v>
      </x:c>
      <x:c r="H895" s="15" t="str">
        <x:f>IF(OR(N895="",N895&gt;기본입력!$C$34),"",기본입력!$C$6)</x:f>
        <x:v>1교육실(실습겸용강의실)_243089</x:v>
      </x:c>
      <x:c r="I895" s="15" t="str">
        <x:f>IF(OR(O895="",N895&gt;기본입력!$C$34),"",VLOOKUP(O895,기본입력!$A$9:$F$33,6,FALSE))</x:f>
        <x:v>Final 프로젝트__10</x:v>
      </x:c>
      <x:c r="J895" s="38" t="str">
        <x:f t="shared" si="84"/>
        <x:v>Final 프로젝트</x:v>
      </x:c>
      <x:c r="K895" s="38" t="str">
        <x:f t="shared" si="85"/>
        <x:v>1교육실(실습겸용강의실)</x:v>
      </x:c>
      <x:c r="L895" s="38" t="str">
        <x:f t="shared" si="86"/>
        <x:v>양현수</x:v>
      </x:c>
      <x:c r="M895" s="63"/>
      <x:c r="N895" s="30">
        <x:f>IF(F895="2","",COUNTIF($F$3:$F895,"=1"))</x:f>
        <x:v>794</x:v>
      </x:c>
      <x:c r="O895" s="30">
        <x:f t="shared" si="81"/>
        <x:v>10</x:v>
      </x:c>
      <x:c r="P895" s="30">
        <x:f t="shared" si="83"/>
        <x:v>4</x:v>
      </x:c>
      <x:c r="Q895" s="30">
        <x:f>COUNTIF($P$3:P895,"=3")</x:f>
        <x:v>100</x:v>
      </x:c>
      <x:c r="R895" s="29">
        <x:f>WORKDAY(기본입력!$H$2,Q895-1,공휴일)</x:f>
        <x:v>46073</x:v>
      </x:c>
    </x:row>
    <x:row r="896" spans="1:18">
      <x:c r="A896" s="145" t="str">
        <x:f t="shared" si="82"/>
        <x:v>20260220</x:v>
      </x:c>
      <x:c r="B896" s="8" t="s">
        <x:v>5</x:v>
      </x:c>
      <x:c r="C896" s="8">
        <x:v>1740</x:v>
      </x:c>
      <x:c r="D896" s="7" t="s">
        <x:v>1</x:v>
      </x:c>
      <x:c r="E896" s="8" t="s">
        <x:v>87</x:v>
      </x:c>
      <x:c r="F896" s="8" t="s">
        <x:v>40</x:v>
      </x:c>
      <x:c r="G896" s="15" t="str">
        <x:f>IF(OR(N896="",N896&gt;기본입력!$C$34),"",VLOOKUP(O896,기본입력!$A$9:$F$33,5))</x:f>
        <x:v>양현수_53778</x:v>
      </x:c>
      <x:c r="H896" s="15" t="str">
        <x:f>IF(OR(N896="",N896&gt;기본입력!$C$34),"",기본입력!$C$6)</x:f>
        <x:v>1교육실(실습겸용강의실)_243089</x:v>
      </x:c>
      <x:c r="I896" s="15" t="str">
        <x:f>IF(OR(O896="",N896&gt;기본입력!$C$34),"",VLOOKUP(O896,기본입력!$A$9:$F$33,6,FALSE))</x:f>
        <x:v>Final 프로젝트__10</x:v>
      </x:c>
      <x:c r="J896" s="38" t="str">
        <x:f t="shared" si="84"/>
        <x:v>Final 프로젝트</x:v>
      </x:c>
      <x:c r="K896" s="38" t="str">
        <x:f t="shared" si="85"/>
        <x:v>1교육실(실습겸용강의실)</x:v>
      </x:c>
      <x:c r="L896" s="38" t="str">
        <x:f t="shared" si="86"/>
        <x:v>양현수</x:v>
      </x:c>
      <x:c r="M896" s="63"/>
      <x:c r="N896" s="30">
        <x:f>IF(F896="2","",COUNTIF($F$3:$F896,"=1"))</x:f>
        <x:v>795</x:v>
      </x:c>
      <x:c r="O896" s="30">
        <x:f t="shared" si="81"/>
        <x:v>10</x:v>
      </x:c>
      <x:c r="P896" s="30">
        <x:f t="shared" si="83"/>
        <x:v>5</x:v>
      </x:c>
      <x:c r="Q896" s="30">
        <x:f>COUNTIF($P$3:P896,"=3")</x:f>
        <x:v>100</x:v>
      </x:c>
      <x:c r="R896" s="29">
        <x:f>WORKDAY(기본입력!$H$2,Q896-1,공휴일)</x:f>
        <x:v>46073</x:v>
      </x:c>
    </x:row>
    <x:row r="897" spans="1:18">
      <x:c r="A897" s="145" t="str">
        <x:f t="shared" si="82"/>
        <x:v>20260220</x:v>
      </x:c>
      <x:c r="B897" s="8" t="s">
        <x:v>5</x:v>
      </x:c>
      <x:c r="C897" s="8">
        <x:v>1740</x:v>
      </x:c>
      <x:c r="D897" s="7" t="s">
        <x:v>1</x:v>
      </x:c>
      <x:c r="E897" s="8" t="s">
        <x:v>88</x:v>
      </x:c>
      <x:c r="F897" s="8" t="s">
        <x:v>40</x:v>
      </x:c>
      <x:c r="G897" s="15" t="str">
        <x:f>IF(OR(N897="",N897&gt;기본입력!$C$34),"",VLOOKUP(O897,기본입력!$A$9:$F$33,5))</x:f>
        <x:v>양현수_53778</x:v>
      </x:c>
      <x:c r="H897" s="15" t="str">
        <x:f>IF(OR(N897="",N897&gt;기본입력!$C$34),"",기본입력!$C$6)</x:f>
        <x:v>1교육실(실습겸용강의실)_243089</x:v>
      </x:c>
      <x:c r="I897" s="15" t="str">
        <x:f>IF(OR(O897="",N897&gt;기본입력!$C$34),"",VLOOKUP(O897,기본입력!$A$9:$F$33,6,FALSE))</x:f>
        <x:v>Final 프로젝트__10</x:v>
      </x:c>
      <x:c r="J897" s="38" t="str">
        <x:f t="shared" si="84"/>
        <x:v>Final 프로젝트</x:v>
      </x:c>
      <x:c r="K897" s="38" t="str">
        <x:f t="shared" si="85"/>
        <x:v>1교육실(실습겸용강의실)</x:v>
      </x:c>
      <x:c r="L897" s="38" t="str">
        <x:f t="shared" si="86"/>
        <x:v>양현수</x:v>
      </x:c>
      <x:c r="M897" s="63"/>
      <x:c r="N897" s="30">
        <x:f>IF(F897="2","",COUNTIF($F$3:$F897,"=1"))</x:f>
        <x:v>796</x:v>
      </x:c>
      <x:c r="O897" s="30">
        <x:f t="shared" si="81"/>
        <x:v>10</x:v>
      </x:c>
      <x:c r="P897" s="30">
        <x:f t="shared" si="83"/>
        <x:v>6</x:v>
      </x:c>
      <x:c r="Q897" s="30">
        <x:f>COUNTIF($P$3:P897,"=3")</x:f>
        <x:v>100</x:v>
      </x:c>
      <x:c r="R897" s="29">
        <x:f>WORKDAY(기본입력!$H$2,Q897-1,공휴일)</x:f>
        <x:v>46073</x:v>
      </x:c>
    </x:row>
    <x:row r="898" spans="1:18">
      <x:c r="A898" s="145" t="str">
        <x:f t="shared" si="82"/>
        <x:v>20260220</x:v>
      </x:c>
      <x:c r="B898" s="8" t="s">
        <x:v>5</x:v>
      </x:c>
      <x:c r="C898" s="8">
        <x:v>1740</x:v>
      </x:c>
      <x:c r="D898" s="7" t="s">
        <x:v>1</x:v>
      </x:c>
      <x:c r="E898" s="8" t="s">
        <x:v>0</x:v>
      </x:c>
      <x:c r="F898" s="8" t="s">
        <x:v>41</x:v>
      </x:c>
      <x:c r="G898" s="15" t="str">
        <x:f>IF(OR(N898="",N898&gt;기본입력!$C$34),"",VLOOKUP(O898,기본입력!$A$9:$F$33,5))</x:f>
        <x:v/>
      </x:c>
      <x:c r="H898" s="15" t="str">
        <x:f>IF(OR(N898="",N898&gt;기본입력!$C$34),"",기본입력!$C$6)</x:f>
        <x:v/>
      </x:c>
      <x:c r="I898" s="15" t="str">
        <x:f>IF(OR(O898="",N898&gt;기본입력!$C$34),"",VLOOKUP(O898,기본입력!$A$9:$F$33,6,FALSE))</x:f>
        <x:v/>
      </x:c>
      <x:c r="J898" s="38" t="str">
        <x:f t="shared" si="84"/>
        <x:v/>
      </x:c>
      <x:c r="K898" s="38" t="str">
        <x:f t="shared" si="85"/>
        <x:v/>
      </x:c>
      <x:c r="L898" s="38" t="str">
        <x:f t="shared" si="86"/>
        <x:v/>
      </x:c>
      <x:c r="M898" s="63"/>
      <x:c r="N898" s="30" t="str">
        <x:f>IF(F898="2","",COUNTIF($F$3:$F898,"=1"))</x:f>
        <x:v/>
      </x:c>
      <x:c r="O898" s="30" t="str">
        <x:f t="shared" si="81"/>
        <x:v/>
      </x:c>
      <x:c r="P898" s="30">
        <x:f t="shared" si="83"/>
        <x:v>7</x:v>
      </x:c>
      <x:c r="Q898" s="30">
        <x:f>COUNTIF($P$3:P898,"=3")</x:f>
        <x:v>100</x:v>
      </x:c>
      <x:c r="R898" s="29">
        <x:f>WORKDAY(기본입력!$H$2,Q898-1,공휴일)</x:f>
        <x:v>46073</x:v>
      </x:c>
    </x:row>
    <x:row r="899" spans="1:18">
      <x:c r="A899" s="145" t="str">
        <x:f t="shared" si="82"/>
        <x:v>20260220</x:v>
      </x:c>
      <x:c r="B899" s="8" t="s">
        <x:v>5</x:v>
      </x:c>
      <x:c r="C899" s="8">
        <x:v>1740</x:v>
      </x:c>
      <x:c r="D899" s="7" t="s">
        <x:v>1</x:v>
      </x:c>
      <x:c r="E899" s="8">
        <x:v>1340</x:v>
      </x:c>
      <x:c r="F899" s="8" t="s">
        <x:v>40</x:v>
      </x:c>
      <x:c r="G899" s="15" t="str">
        <x:f>IF(OR(N899="",N899&gt;기본입력!$C$34),"",VLOOKUP(O899,기본입력!$A$9:$F$33,5))</x:f>
        <x:v>양현수_53778</x:v>
      </x:c>
      <x:c r="H899" s="15" t="str">
        <x:f>IF(OR(N899="",N899&gt;기본입력!$C$34),"",기본입력!$C$6)</x:f>
        <x:v>1교육실(실습겸용강의실)_243089</x:v>
      </x:c>
      <x:c r="I899" s="15" t="str">
        <x:f>IF(OR(O899="",N899&gt;기본입력!$C$34),"",VLOOKUP(O899,기본입력!$A$9:$F$33,6,FALSE))</x:f>
        <x:v>Final 프로젝트__10</x:v>
      </x:c>
      <x:c r="J899" s="38" t="str">
        <x:f t="shared" si="84"/>
        <x:v>Final 프로젝트</x:v>
      </x:c>
      <x:c r="K899" s="38" t="str">
        <x:f t="shared" si="85"/>
        <x:v>1교육실(실습겸용강의실)</x:v>
      </x:c>
      <x:c r="L899" s="38" t="str">
        <x:f t="shared" si="86"/>
        <x:v>양현수</x:v>
      </x:c>
      <x:c r="M899" s="63"/>
      <x:c r="N899" s="30">
        <x:f>IF(F899="2","",COUNTIF($F$3:$F899,"=1"))</x:f>
        <x:v>797</x:v>
      </x:c>
      <x:c r="O899" s="30">
        <x:f t="shared" ref="O899:O962" si="87">IF(F899="2","",IF(N899&lt;=누적시수1,1,IF(N899&lt;=누적시수2,2,IF(N899&lt;=누적시수3,3,IF(N899&lt;=누적시수4,4,IF(N899&lt;=누적시수5,5,IF(N899&lt;=누적시수6,6,IF(N899&lt;=누적시수7,7,IF(N899&lt;=누적시수8,8,IF(N899&lt;=누적시수9,9,IF(N899&lt;=누적시수10,10,IF(N899&lt;=누적시수11,11,IF(N899&lt;=누적시수12,12,IF(N899&lt;=누적시수13,13,IF(N899&lt;=누적시수14,14,IF(N899&lt;=누적시수15,15,IF(N899&lt;=누적시수16,16,IF(N899&lt;=누적시수17,17,IF(N899&lt;=누적시수18,18,IF(N899&lt;=누적시수19,19,IF(N899&lt;=누적시수20,20,IF(N899&lt;=누적시수21,21,IF(N899&lt;=누적시수22,22,IF(N899&lt;=누적시수23,23,IF(N899&lt;=누적시수24,24,IF(N899&lt;=누적시수25,25,0))))))))))))))))))))))))))</x:f>
        <x:v>10</x:v>
      </x:c>
      <x:c r="P899" s="30">
        <x:f t="shared" si="83"/>
        <x:v>8</x:v>
      </x:c>
      <x:c r="Q899" s="30">
        <x:f>COUNTIF($P$3:P899,"=3")</x:f>
        <x:v>100</x:v>
      </x:c>
      <x:c r="R899" s="29">
        <x:f>WORKDAY(기본입력!$H$2,Q899-1,공휴일)</x:f>
        <x:v>46073</x:v>
      </x:c>
    </x:row>
    <x:row r="900" spans="1:18">
      <x:c r="A900" s="145" t="str">
        <x:f t="shared" ref="A900:A963" si="88">TEXT(R900,"yyyymmdd")</x:f>
        <x:v>20260220</x:v>
      </x:c>
      <x:c r="B900" s="8" t="s">
        <x:v>5</x:v>
      </x:c>
      <x:c r="C900" s="8">
        <x:v>1740</x:v>
      </x:c>
      <x:c r="D900" s="7" t="s">
        <x:v>1</x:v>
      </x:c>
      <x:c r="E900" s="8">
        <x:v>1440</x:v>
      </x:c>
      <x:c r="F900" s="8" t="s">
        <x:v>40</x:v>
      </x:c>
      <x:c r="G900" s="15" t="str">
        <x:f>IF(OR(N900="",N900&gt;기본입력!$C$34),"",VLOOKUP(O900,기본입력!$A$9:$F$33,5))</x:f>
        <x:v>양현수_53778</x:v>
      </x:c>
      <x:c r="H900" s="15" t="str">
        <x:f>IF(OR(N900="",N900&gt;기본입력!$C$34),"",기본입력!$C$6)</x:f>
        <x:v>1교육실(실습겸용강의실)_243089</x:v>
      </x:c>
      <x:c r="I900" s="15" t="str">
        <x:f>IF(OR(O900="",N900&gt;기본입력!$C$34),"",VLOOKUP(O900,기본입력!$A$9:$F$33,6,FALSE))</x:f>
        <x:v>Final 프로젝트__10</x:v>
      </x:c>
      <x:c r="J900" s="38" t="str">
        <x:f t="shared" si="84"/>
        <x:v>Final 프로젝트</x:v>
      </x:c>
      <x:c r="K900" s="38" t="str">
        <x:f t="shared" si="85"/>
        <x:v>1교육실(실습겸용강의실)</x:v>
      </x:c>
      <x:c r="L900" s="38" t="str">
        <x:f t="shared" si="86"/>
        <x:v>양현수</x:v>
      </x:c>
      <x:c r="M900" s="63"/>
      <x:c r="N900" s="30">
        <x:f>IF(F900="2","",COUNTIF($F$3:$F900,"=1"))</x:f>
        <x:v>798</x:v>
      </x:c>
      <x:c r="O900" s="30">
        <x:f t="shared" si="87"/>
        <x:v>10</x:v>
      </x:c>
      <x:c r="P900" s="30">
        <x:f t="shared" ref="P900:P963" si="89">MOD(ROW(),9)</x:f>
        <x:v>0</x:v>
      </x:c>
      <x:c r="Q900" s="30">
        <x:f>COUNTIF($P$3:P900,"=3")</x:f>
        <x:v>100</x:v>
      </x:c>
      <x:c r="R900" s="29">
        <x:f>WORKDAY(기본입력!$H$2,Q900-1,공휴일)</x:f>
        <x:v>46073</x:v>
      </x:c>
    </x:row>
    <x:row r="901" spans="1:18">
      <x:c r="A901" s="145" t="str">
        <x:f t="shared" si="88"/>
        <x:v>20260220</x:v>
      </x:c>
      <x:c r="B901" s="8" t="s">
        <x:v>5</x:v>
      </x:c>
      <x:c r="C901" s="8">
        <x:v>1740</x:v>
      </x:c>
      <x:c r="D901" s="7" t="s">
        <x:v>1</x:v>
      </x:c>
      <x:c r="E901" s="8">
        <x:v>1540</x:v>
      </x:c>
      <x:c r="F901" s="8" t="s">
        <x:v>40</x:v>
      </x:c>
      <x:c r="G901" s="15" t="str">
        <x:f>IF(OR(N901="",N901&gt;기본입력!$C$34),"",VLOOKUP(O901,기본입력!$A$9:$F$33,5))</x:f>
        <x:v>양현수_53778</x:v>
      </x:c>
      <x:c r="H901" s="15" t="str">
        <x:f>IF(OR(N901="",N901&gt;기본입력!$C$34),"",기본입력!$C$6)</x:f>
        <x:v>1교육실(실습겸용강의실)_243089</x:v>
      </x:c>
      <x:c r="I901" s="15" t="str">
        <x:f>IF(OR(O901="",N901&gt;기본입력!$C$34),"",VLOOKUP(O901,기본입력!$A$9:$F$33,6,FALSE))</x:f>
        <x:v>Final 프로젝트__10</x:v>
      </x:c>
      <x:c r="J901" s="38" t="str">
        <x:f t="shared" si="84"/>
        <x:v>Final 프로젝트</x:v>
      </x:c>
      <x:c r="K901" s="38" t="str">
        <x:f t="shared" si="85"/>
        <x:v>1교육실(실습겸용강의실)</x:v>
      </x:c>
      <x:c r="L901" s="38" t="str">
        <x:f t="shared" si="86"/>
        <x:v>양현수</x:v>
      </x:c>
      <x:c r="M901" s="63"/>
      <x:c r="N901" s="30">
        <x:f>IF(F901="2","",COUNTIF($F$3:$F901,"=1"))</x:f>
        <x:v>799</x:v>
      </x:c>
      <x:c r="O901" s="30">
        <x:f t="shared" si="87"/>
        <x:v>10</x:v>
      </x:c>
      <x:c r="P901" s="30">
        <x:f t="shared" si="89"/>
        <x:v>1</x:v>
      </x:c>
      <x:c r="Q901" s="30">
        <x:f>COUNTIF($P$3:P901,"=3")</x:f>
        <x:v>100</x:v>
      </x:c>
      <x:c r="R901" s="29">
        <x:f>WORKDAY(기본입력!$H$2,Q901-1,공휴일)</x:f>
        <x:v>46073</x:v>
      </x:c>
    </x:row>
    <x:row r="902" spans="1:18">
      <x:c r="A902" s="145" t="str">
        <x:f t="shared" si="88"/>
        <x:v>20260220</x:v>
      </x:c>
      <x:c r="B902" s="8" t="s">
        <x:v>5</x:v>
      </x:c>
      <x:c r="C902" s="8">
        <x:v>1740</x:v>
      </x:c>
      <x:c r="D902" s="7" t="s">
        <x:v>1</x:v>
      </x:c>
      <x:c r="E902" s="8">
        <x:v>1640</x:v>
      </x:c>
      <x:c r="F902" s="8" t="s">
        <x:v>40</x:v>
      </x:c>
      <x:c r="G902" s="15" t="str">
        <x:f>IF(OR(N902="",N902&gt;기본입력!$C$34),"",VLOOKUP(O902,기본입력!$A$9:$F$33,5))</x:f>
        <x:v>양현수_53778</x:v>
      </x:c>
      <x:c r="H902" s="15" t="str">
        <x:f>IF(OR(N902="",N902&gt;기본입력!$C$34),"",기본입력!$C$6)</x:f>
        <x:v>1교육실(실습겸용강의실)_243089</x:v>
      </x:c>
      <x:c r="I902" s="15" t="str">
        <x:f>IF(OR(O902="",N902&gt;기본입력!$C$34),"",VLOOKUP(O902,기본입력!$A$9:$F$33,6,FALSE))</x:f>
        <x:v>Final 프로젝트__10</x:v>
      </x:c>
      <x:c r="J902" s="38" t="str">
        <x:f t="shared" si="84"/>
        <x:v>Final 프로젝트</x:v>
      </x:c>
      <x:c r="K902" s="38" t="str">
        <x:f t="shared" si="85"/>
        <x:v>1교육실(실습겸용강의실)</x:v>
      </x:c>
      <x:c r="L902" s="38" t="str">
        <x:f t="shared" si="86"/>
        <x:v>양현수</x:v>
      </x:c>
      <x:c r="M902" s="63"/>
      <x:c r="N902" s="30">
        <x:f>IF(F902="2","",COUNTIF($F$3:$F902,"=1"))</x:f>
        <x:v>800</x:v>
      </x:c>
      <x:c r="O902" s="30">
        <x:f t="shared" si="87"/>
        <x:v>10</x:v>
      </x:c>
      <x:c r="P902" s="30">
        <x:f t="shared" si="89"/>
        <x:v>2</x:v>
      </x:c>
      <x:c r="Q902" s="30">
        <x:f>COUNTIF($P$3:P902,"=3")</x:f>
        <x:v>100</x:v>
      </x:c>
      <x:c r="R902" s="29">
        <x:f>WORKDAY(기본입력!$H$2,Q902-1,공휴일)</x:f>
        <x:v>46073</x:v>
      </x:c>
    </x:row>
    <x:row r="903" spans="1:18">
      <x:c r="A903" s="144" t="str">
        <x:f t="shared" si="88"/>
        <x:v>20260223</x:v>
      </x:c>
      <x:c r="B903" s="6" t="s">
        <x:v>5</x:v>
      </x:c>
      <x:c r="C903" s="6">
        <x:v>1740</x:v>
      </x:c>
      <x:c r="D903" s="5" t="s">
        <x:v>1</x:v>
      </x:c>
      <x:c r="E903" s="6" t="s">
        <x:v>5</x:v>
      </x:c>
      <x:c r="F903" s="6" t="s">
        <x:v>40</x:v>
      </x:c>
      <x:c r="G903" s="14" t="str">
        <x:f>IF(OR(N903="",N903&gt;기본입력!$C$34),"",VLOOKUP(O903,기본입력!$A$9:$F$33,5))</x:f>
        <x:v>양현수_53778</x:v>
      </x:c>
      <x:c r="H903" s="14" t="str">
        <x:f>IF(OR(N903="",N903&gt;기본입력!$C$34),"",기본입력!$C$6)</x:f>
        <x:v>1교육실(실습겸용강의실)_243089</x:v>
      </x:c>
      <x:c r="I903" s="14" t="str">
        <x:f>IF(OR(O903="",N903&gt;기본입력!$C$34),"",VLOOKUP(O903,기본입력!$A$9:$F$33,6,FALSE))</x:f>
        <x:v>Final 프로젝트__10</x:v>
      </x:c>
      <x:c r="J903" s="38" t="str">
        <x:f t="shared" si="84"/>
        <x:v>Final 프로젝트</x:v>
      </x:c>
      <x:c r="K903" s="38" t="str">
        <x:f t="shared" si="85"/>
        <x:v>1교육실(실습겸용강의실)</x:v>
      </x:c>
      <x:c r="L903" s="38" t="str">
        <x:f t="shared" si="86"/>
        <x:v>양현수</x:v>
      </x:c>
      <x:c r="M903" s="63"/>
      <x:c r="N903" s="30">
        <x:f>IF(F903="2","",COUNTIF($F$3:$F903,"=1"))</x:f>
        <x:v>801</x:v>
      </x:c>
      <x:c r="O903" s="30">
        <x:f t="shared" si="87"/>
        <x:v>10</x:v>
      </x:c>
      <x:c r="P903" s="30">
        <x:f t="shared" si="89"/>
        <x:v>3</x:v>
      </x:c>
      <x:c r="Q903" s="30">
        <x:f>COUNTIF($P$3:P903,"=3")</x:f>
        <x:v>101</x:v>
      </x:c>
      <x:c r="R903" s="29">
        <x:f>WORKDAY(기본입력!$H$2,Q903-1,공휴일)</x:f>
        <x:v>46076</x:v>
      </x:c>
    </x:row>
    <x:row r="904" spans="1:18">
      <x:c r="A904" s="144" t="str">
        <x:f t="shared" si="88"/>
        <x:v>20260223</x:v>
      </x:c>
      <x:c r="B904" s="6" t="s">
        <x:v>5</x:v>
      </x:c>
      <x:c r="C904" s="6">
        <x:v>1740</x:v>
      </x:c>
      <x:c r="D904" s="5" t="s">
        <x:v>1</x:v>
      </x:c>
      <x:c r="E904" s="6" t="s">
        <x:v>117</x:v>
      </x:c>
      <x:c r="F904" s="6" t="s">
        <x:v>40</x:v>
      </x:c>
      <x:c r="G904" s="14" t="str">
        <x:f>IF(OR(N904="",N904&gt;기본입력!$C$34),"",VLOOKUP(O904,기본입력!$A$9:$F$33,5))</x:f>
        <x:v>양현수_53778</x:v>
      </x:c>
      <x:c r="H904" s="14" t="str">
        <x:f>IF(OR(N904="",N904&gt;기본입력!$C$34),"",기본입력!$C$6)</x:f>
        <x:v>1교육실(실습겸용강의실)_243089</x:v>
      </x:c>
      <x:c r="I904" s="14" t="str">
        <x:f>IF(OR(O904="",N904&gt;기본입력!$C$34),"",VLOOKUP(O904,기본입력!$A$9:$F$33,6,FALSE))</x:f>
        <x:v>Final 프로젝트__10</x:v>
      </x:c>
      <x:c r="J904" s="38" t="str">
        <x:f t="shared" si="84"/>
        <x:v>Final 프로젝트</x:v>
      </x:c>
      <x:c r="K904" s="38" t="str">
        <x:f t="shared" si="85"/>
        <x:v>1교육실(실습겸용강의실)</x:v>
      </x:c>
      <x:c r="L904" s="38" t="str">
        <x:f t="shared" si="86"/>
        <x:v>양현수</x:v>
      </x:c>
      <x:c r="M904" s="63"/>
      <x:c r="N904" s="30">
        <x:f>IF(F904="2","",COUNTIF($F$3:$F904,"=1"))</x:f>
        <x:v>802</x:v>
      </x:c>
      <x:c r="O904" s="30">
        <x:f t="shared" si="87"/>
        <x:v>10</x:v>
      </x:c>
      <x:c r="P904" s="30">
        <x:f t="shared" si="89"/>
        <x:v>4</x:v>
      </x:c>
      <x:c r="Q904" s="30">
        <x:f>COUNTIF($P$3:P904,"=3")</x:f>
        <x:v>101</x:v>
      </x:c>
      <x:c r="R904" s="29">
        <x:f>WORKDAY(기본입력!$H$2,Q904-1,공휴일)</x:f>
        <x:v>46076</x:v>
      </x:c>
    </x:row>
    <x:row r="905" spans="1:18">
      <x:c r="A905" s="144" t="str">
        <x:f t="shared" si="88"/>
        <x:v>20260223</x:v>
      </x:c>
      <x:c r="B905" s="6" t="s">
        <x:v>5</x:v>
      </x:c>
      <x:c r="C905" s="6">
        <x:v>1740</x:v>
      </x:c>
      <x:c r="D905" s="5" t="s">
        <x:v>1</x:v>
      </x:c>
      <x:c r="E905" s="6" t="s">
        <x:v>87</x:v>
      </x:c>
      <x:c r="F905" s="6" t="s">
        <x:v>40</x:v>
      </x:c>
      <x:c r="G905" s="14" t="str">
        <x:f>IF(OR(N905="",N905&gt;기본입력!$C$34),"",VLOOKUP(O905,기본입력!$A$9:$F$33,5))</x:f>
        <x:v>양현수_53778</x:v>
      </x:c>
      <x:c r="H905" s="14" t="str">
        <x:f>IF(OR(N905="",N905&gt;기본입력!$C$34),"",기본입력!$C$6)</x:f>
        <x:v>1교육실(실습겸용강의실)_243089</x:v>
      </x:c>
      <x:c r="I905" s="14" t="str">
        <x:f>IF(OR(O905="",N905&gt;기본입력!$C$34),"",VLOOKUP(O905,기본입력!$A$9:$F$33,6,FALSE))</x:f>
        <x:v>Final 프로젝트__10</x:v>
      </x:c>
      <x:c r="J905" s="38" t="str">
        <x:f t="shared" si="84"/>
        <x:v>Final 프로젝트</x:v>
      </x:c>
      <x:c r="K905" s="38" t="str">
        <x:f t="shared" si="85"/>
        <x:v>1교육실(실습겸용강의실)</x:v>
      </x:c>
      <x:c r="L905" s="38" t="str">
        <x:f t="shared" si="86"/>
        <x:v>양현수</x:v>
      </x:c>
      <x:c r="M905" s="63"/>
      <x:c r="N905" s="30">
        <x:f>IF(F905="2","",COUNTIF($F$3:$F905,"=1"))</x:f>
        <x:v>803</x:v>
      </x:c>
      <x:c r="O905" s="30">
        <x:f t="shared" si="87"/>
        <x:v>10</x:v>
      </x:c>
      <x:c r="P905" s="30">
        <x:f t="shared" si="89"/>
        <x:v>5</x:v>
      </x:c>
      <x:c r="Q905" s="30">
        <x:f>COUNTIF($P$3:P905,"=3")</x:f>
        <x:v>101</x:v>
      </x:c>
      <x:c r="R905" s="29">
        <x:f>WORKDAY(기본입력!$H$2,Q905-1,공휴일)</x:f>
        <x:v>46076</x:v>
      </x:c>
    </x:row>
    <x:row r="906" spans="1:18">
      <x:c r="A906" s="144" t="str">
        <x:f t="shared" si="88"/>
        <x:v>20260223</x:v>
      </x:c>
      <x:c r="B906" s="6" t="s">
        <x:v>5</x:v>
      </x:c>
      <x:c r="C906" s="6">
        <x:v>1740</x:v>
      </x:c>
      <x:c r="D906" s="5" t="s">
        <x:v>1</x:v>
      </x:c>
      <x:c r="E906" s="6" t="s">
        <x:v>88</x:v>
      </x:c>
      <x:c r="F906" s="6" t="s">
        <x:v>40</x:v>
      </x:c>
      <x:c r="G906" s="14" t="str">
        <x:f>IF(OR(N906="",N906&gt;기본입력!$C$34),"",VLOOKUP(O906,기본입력!$A$9:$F$33,5))</x:f>
        <x:v>양현수_53778</x:v>
      </x:c>
      <x:c r="H906" s="14" t="str">
        <x:f>IF(OR(N906="",N906&gt;기본입력!$C$34),"",기본입력!$C$6)</x:f>
        <x:v>1교육실(실습겸용강의실)_243089</x:v>
      </x:c>
      <x:c r="I906" s="14" t="str">
        <x:f>IF(OR(O906="",N906&gt;기본입력!$C$34),"",VLOOKUP(O906,기본입력!$A$9:$F$33,6,FALSE))</x:f>
        <x:v>Final 프로젝트__10</x:v>
      </x:c>
      <x:c r="J906" s="38" t="str">
        <x:f t="shared" si="84"/>
        <x:v>Final 프로젝트</x:v>
      </x:c>
      <x:c r="K906" s="38" t="str">
        <x:f t="shared" si="85"/>
        <x:v>1교육실(실습겸용강의실)</x:v>
      </x:c>
      <x:c r="L906" s="38" t="str">
        <x:f t="shared" si="86"/>
        <x:v>양현수</x:v>
      </x:c>
      <x:c r="M906" s="63"/>
      <x:c r="N906" s="30">
        <x:f>IF(F906="2","",COUNTIF($F$3:$F906,"=1"))</x:f>
        <x:v>804</x:v>
      </x:c>
      <x:c r="O906" s="30">
        <x:f t="shared" si="87"/>
        <x:v>10</x:v>
      </x:c>
      <x:c r="P906" s="30">
        <x:f t="shared" si="89"/>
        <x:v>6</x:v>
      </x:c>
      <x:c r="Q906" s="30">
        <x:f>COUNTIF($P$3:P906,"=3")</x:f>
        <x:v>101</x:v>
      </x:c>
      <x:c r="R906" s="29">
        <x:f>WORKDAY(기본입력!$H$2,Q906-1,공휴일)</x:f>
        <x:v>46076</x:v>
      </x:c>
    </x:row>
    <x:row r="907" spans="1:18">
      <x:c r="A907" s="144" t="str">
        <x:f t="shared" si="88"/>
        <x:v>20260223</x:v>
      </x:c>
      <x:c r="B907" s="6" t="s">
        <x:v>5</x:v>
      </x:c>
      <x:c r="C907" s="6">
        <x:v>1740</x:v>
      </x:c>
      <x:c r="D907" s="5" t="s">
        <x:v>1</x:v>
      </x:c>
      <x:c r="E907" s="6" t="s">
        <x:v>0</x:v>
      </x:c>
      <x:c r="F907" s="6" t="s">
        <x:v>41</x:v>
      </x:c>
      <x:c r="G907" s="14" t="str">
        <x:f>IF(OR(N907="",N907&gt;기본입력!$C$34),"",VLOOKUP(O907,기본입력!$A$9:$F$33,5))</x:f>
        <x:v/>
      </x:c>
      <x:c r="H907" s="14" t="str">
        <x:f>IF(OR(N907="",N907&gt;기본입력!$C$34),"",기본입력!$C$6)</x:f>
        <x:v/>
      </x:c>
      <x:c r="I907" s="14" t="str">
        <x:f>IF(OR(O907="",N907&gt;기본입력!$C$34),"",VLOOKUP(O907,기본입력!$A$9:$F$33,6,FALSE))</x:f>
        <x:v/>
      </x:c>
      <x:c r="J907" s="38" t="str">
        <x:f t="shared" si="84"/>
        <x:v/>
      </x:c>
      <x:c r="K907" s="38" t="str">
        <x:f t="shared" si="85"/>
        <x:v/>
      </x:c>
      <x:c r="L907" s="38" t="str">
        <x:f t="shared" si="86"/>
        <x:v/>
      </x:c>
      <x:c r="M907" s="63"/>
      <x:c r="N907" s="30" t="str">
        <x:f>IF(F907="2","",COUNTIF($F$3:$F907,"=1"))</x:f>
        <x:v/>
      </x:c>
      <x:c r="O907" s="30" t="str">
        <x:f t="shared" si="87"/>
        <x:v/>
      </x:c>
      <x:c r="P907" s="30">
        <x:f t="shared" si="89"/>
        <x:v>7</x:v>
      </x:c>
      <x:c r="Q907" s="30">
        <x:f>COUNTIF($P$3:P907,"=3")</x:f>
        <x:v>101</x:v>
      </x:c>
      <x:c r="R907" s="29">
        <x:f>WORKDAY(기본입력!$H$2,Q907-1,공휴일)</x:f>
        <x:v>46076</x:v>
      </x:c>
    </x:row>
    <x:row r="908" spans="1:18">
      <x:c r="A908" s="144" t="str">
        <x:f t="shared" si="88"/>
        <x:v>20260223</x:v>
      </x:c>
      <x:c r="B908" s="6" t="s">
        <x:v>5</x:v>
      </x:c>
      <x:c r="C908" s="6">
        <x:v>1740</x:v>
      </x:c>
      <x:c r="D908" s="5" t="s">
        <x:v>1</x:v>
      </x:c>
      <x:c r="E908" s="6">
        <x:v>1340</x:v>
      </x:c>
      <x:c r="F908" s="6" t="s">
        <x:v>40</x:v>
      </x:c>
      <x:c r="G908" s="14" t="str">
        <x:f>IF(OR(N908="",N908&gt;기본입력!$C$34),"",VLOOKUP(O908,기본입력!$A$9:$F$33,5))</x:f>
        <x:v>양현수_53778</x:v>
      </x:c>
      <x:c r="H908" s="14" t="str">
        <x:f>IF(OR(N908="",N908&gt;기본입력!$C$34),"",기본입력!$C$6)</x:f>
        <x:v>1교육실(실습겸용강의실)_243089</x:v>
      </x:c>
      <x:c r="I908" s="14" t="str">
        <x:f>IF(OR(O908="",N908&gt;기본입력!$C$34),"",VLOOKUP(O908,기본입력!$A$9:$F$33,6,FALSE))</x:f>
        <x:v>Final 프로젝트__10</x:v>
      </x:c>
      <x:c r="J908" s="38" t="str">
        <x:f t="shared" si="84"/>
        <x:v>Final 프로젝트</x:v>
      </x:c>
      <x:c r="K908" s="38" t="str">
        <x:f t="shared" si="85"/>
        <x:v>1교육실(실습겸용강의실)</x:v>
      </x:c>
      <x:c r="L908" s="38" t="str">
        <x:f t="shared" si="86"/>
        <x:v>양현수</x:v>
      </x:c>
      <x:c r="M908" s="63"/>
      <x:c r="N908" s="30">
        <x:f>IF(F908="2","",COUNTIF($F$3:$F908,"=1"))</x:f>
        <x:v>805</x:v>
      </x:c>
      <x:c r="O908" s="30">
        <x:f t="shared" si="87"/>
        <x:v>10</x:v>
      </x:c>
      <x:c r="P908" s="30">
        <x:f t="shared" si="89"/>
        <x:v>8</x:v>
      </x:c>
      <x:c r="Q908" s="30">
        <x:f>COUNTIF($P$3:P908,"=3")</x:f>
        <x:v>101</x:v>
      </x:c>
      <x:c r="R908" s="29">
        <x:f>WORKDAY(기본입력!$H$2,Q908-1,공휴일)</x:f>
        <x:v>46076</x:v>
      </x:c>
    </x:row>
    <x:row r="909" spans="1:18">
      <x:c r="A909" s="144" t="str">
        <x:f t="shared" si="88"/>
        <x:v>20260223</x:v>
      </x:c>
      <x:c r="B909" s="6" t="s">
        <x:v>5</x:v>
      </x:c>
      <x:c r="C909" s="6">
        <x:v>1740</x:v>
      </x:c>
      <x:c r="D909" s="5" t="s">
        <x:v>1</x:v>
      </x:c>
      <x:c r="E909" s="6">
        <x:v>1440</x:v>
      </x:c>
      <x:c r="F909" s="6" t="s">
        <x:v>40</x:v>
      </x:c>
      <x:c r="G909" s="14" t="str">
        <x:f>IF(OR(N909="",N909&gt;기본입력!$C$34),"",VLOOKUP(O909,기본입력!$A$9:$F$33,5))</x:f>
        <x:v>양현수_53778</x:v>
      </x:c>
      <x:c r="H909" s="14" t="str">
        <x:f>IF(OR(N909="",N909&gt;기본입력!$C$34),"",기본입력!$C$6)</x:f>
        <x:v>1교육실(실습겸용강의실)_243089</x:v>
      </x:c>
      <x:c r="I909" s="14" t="str">
        <x:f>IF(OR(O909="",N909&gt;기본입력!$C$34),"",VLOOKUP(O909,기본입력!$A$9:$F$33,6,FALSE))</x:f>
        <x:v>Final 프로젝트__10</x:v>
      </x:c>
      <x:c r="J909" s="38" t="str">
        <x:f t="shared" si="84"/>
        <x:v>Final 프로젝트</x:v>
      </x:c>
      <x:c r="K909" s="38" t="str">
        <x:f t="shared" si="85"/>
        <x:v>1교육실(실습겸용강의실)</x:v>
      </x:c>
      <x:c r="L909" s="38" t="str">
        <x:f t="shared" si="86"/>
        <x:v>양현수</x:v>
      </x:c>
      <x:c r="M909" s="63"/>
      <x:c r="N909" s="30">
        <x:f>IF(F909="2","",COUNTIF($F$3:$F909,"=1"))</x:f>
        <x:v>806</x:v>
      </x:c>
      <x:c r="O909" s="30">
        <x:f t="shared" si="87"/>
        <x:v>10</x:v>
      </x:c>
      <x:c r="P909" s="30">
        <x:f t="shared" si="89"/>
        <x:v>0</x:v>
      </x:c>
      <x:c r="Q909" s="30">
        <x:f>COUNTIF($P$3:P909,"=3")</x:f>
        <x:v>101</x:v>
      </x:c>
      <x:c r="R909" s="29">
        <x:f>WORKDAY(기본입력!$H$2,Q909-1,공휴일)</x:f>
        <x:v>46076</x:v>
      </x:c>
    </x:row>
    <x:row r="910" spans="1:18">
      <x:c r="A910" s="144" t="str">
        <x:f t="shared" si="88"/>
        <x:v>20260223</x:v>
      </x:c>
      <x:c r="B910" s="6" t="s">
        <x:v>5</x:v>
      </x:c>
      <x:c r="C910" s="6">
        <x:v>1740</x:v>
      </x:c>
      <x:c r="D910" s="5" t="s">
        <x:v>1</x:v>
      </x:c>
      <x:c r="E910" s="6">
        <x:v>1540</x:v>
      </x:c>
      <x:c r="F910" s="6" t="s">
        <x:v>40</x:v>
      </x:c>
      <x:c r="G910" s="14" t="str">
        <x:f>IF(OR(N910="",N910&gt;기본입력!$C$34),"",VLOOKUP(O910,기본입력!$A$9:$F$33,5))</x:f>
        <x:v>양현수_53778</x:v>
      </x:c>
      <x:c r="H910" s="14" t="str">
        <x:f>IF(OR(N910="",N910&gt;기본입력!$C$34),"",기본입력!$C$6)</x:f>
        <x:v>1교육실(실습겸용강의실)_243089</x:v>
      </x:c>
      <x:c r="I910" s="14" t="str">
        <x:f>IF(OR(O910="",N910&gt;기본입력!$C$34),"",VLOOKUP(O910,기본입력!$A$9:$F$33,6,FALSE))</x:f>
        <x:v>Final 프로젝트__10</x:v>
      </x:c>
      <x:c r="J910" s="38" t="str">
        <x:f t="shared" si="84"/>
        <x:v>Final 프로젝트</x:v>
      </x:c>
      <x:c r="K910" s="38" t="str">
        <x:f t="shared" si="85"/>
        <x:v>1교육실(실습겸용강의실)</x:v>
      </x:c>
      <x:c r="L910" s="38" t="str">
        <x:f t="shared" si="86"/>
        <x:v>양현수</x:v>
      </x:c>
      <x:c r="M910" s="63"/>
      <x:c r="N910" s="30">
        <x:f>IF(F910="2","",COUNTIF($F$3:$F910,"=1"))</x:f>
        <x:v>807</x:v>
      </x:c>
      <x:c r="O910" s="30">
        <x:f t="shared" si="87"/>
        <x:v>10</x:v>
      </x:c>
      <x:c r="P910" s="30">
        <x:f t="shared" si="89"/>
        <x:v>1</x:v>
      </x:c>
      <x:c r="Q910" s="30">
        <x:f>COUNTIF($P$3:P910,"=3")</x:f>
        <x:v>101</x:v>
      </x:c>
      <x:c r="R910" s="29">
        <x:f>WORKDAY(기본입력!$H$2,Q910-1,공휴일)</x:f>
        <x:v>46076</x:v>
      </x:c>
    </x:row>
    <x:row r="911" spans="1:18">
      <x:c r="A911" s="144" t="str">
        <x:f t="shared" si="88"/>
        <x:v>20260223</x:v>
      </x:c>
      <x:c r="B911" s="6" t="s">
        <x:v>5</x:v>
      </x:c>
      <x:c r="C911" s="6">
        <x:v>1740</x:v>
      </x:c>
      <x:c r="D911" s="5" t="s">
        <x:v>1</x:v>
      </x:c>
      <x:c r="E911" s="6">
        <x:v>1640</x:v>
      </x:c>
      <x:c r="F911" s="6" t="s">
        <x:v>40</x:v>
      </x:c>
      <x:c r="G911" s="14" t="str">
        <x:f>IF(OR(N911="",N911&gt;기본입력!$C$34),"",VLOOKUP(O911,기본입력!$A$9:$F$33,5))</x:f>
        <x:v>양현수_53778</x:v>
      </x:c>
      <x:c r="H911" s="14" t="str">
        <x:f>IF(OR(N911="",N911&gt;기본입력!$C$34),"",기본입력!$C$6)</x:f>
        <x:v>1교육실(실습겸용강의실)_243089</x:v>
      </x:c>
      <x:c r="I911" s="14" t="str">
        <x:f>IF(OR(O911="",N911&gt;기본입력!$C$34),"",VLOOKUP(O911,기본입력!$A$9:$F$33,6,FALSE))</x:f>
        <x:v>Final 프로젝트__10</x:v>
      </x:c>
      <x:c r="J911" s="38" t="str">
        <x:f t="shared" si="84"/>
        <x:v>Final 프로젝트</x:v>
      </x:c>
      <x:c r="K911" s="38" t="str">
        <x:f t="shared" si="85"/>
        <x:v>1교육실(실습겸용강의실)</x:v>
      </x:c>
      <x:c r="L911" s="38" t="str">
        <x:f t="shared" si="86"/>
        <x:v>양현수</x:v>
      </x:c>
      <x:c r="M911" s="63"/>
      <x:c r="N911" s="30">
        <x:f>IF(F911="2","",COUNTIF($F$3:$F911,"=1"))</x:f>
        <x:v>808</x:v>
      </x:c>
      <x:c r="O911" s="30">
        <x:f t="shared" si="87"/>
        <x:v>10</x:v>
      </x:c>
      <x:c r="P911" s="30">
        <x:f t="shared" si="89"/>
        <x:v>2</x:v>
      </x:c>
      <x:c r="Q911" s="30">
        <x:f>COUNTIF($P$3:P911,"=3")</x:f>
        <x:v>101</x:v>
      </x:c>
      <x:c r="R911" s="29">
        <x:f>WORKDAY(기본입력!$H$2,Q911-1,공휴일)</x:f>
        <x:v>46076</x:v>
      </x:c>
    </x:row>
    <x:row r="912" spans="1:18">
      <x:c r="A912" s="145" t="str">
        <x:f t="shared" si="88"/>
        <x:v>20260224</x:v>
      </x:c>
      <x:c r="B912" s="8" t="s">
        <x:v>5</x:v>
      </x:c>
      <x:c r="C912" s="8">
        <x:v>1740</x:v>
      </x:c>
      <x:c r="D912" s="7" t="s">
        <x:v>1</x:v>
      </x:c>
      <x:c r="E912" s="8" t="s">
        <x:v>5</x:v>
      </x:c>
      <x:c r="F912" s="8" t="s">
        <x:v>40</x:v>
      </x:c>
      <x:c r="G912" s="15" t="str">
        <x:f>IF(OR(N912="",N912&gt;기본입력!$C$34),"",VLOOKUP(O912,기본입력!$A$9:$F$33,5))</x:f>
        <x:v>양현수_53778</x:v>
      </x:c>
      <x:c r="H912" s="15" t="str">
        <x:f>IF(OR(N912="",N912&gt;기본입력!$C$34),"",기본입력!$C$6)</x:f>
        <x:v>1교육실(실습겸용강의실)_243089</x:v>
      </x:c>
      <x:c r="I912" s="15" t="str">
        <x:f>IF(OR(O912="",N912&gt;기본입력!$C$34),"",VLOOKUP(O912,기본입력!$A$9:$F$33,6,FALSE))</x:f>
        <x:v>Final 프로젝트__10</x:v>
      </x:c>
      <x:c r="J912" s="38" t="str">
        <x:f t="shared" si="84"/>
        <x:v>Final 프로젝트</x:v>
      </x:c>
      <x:c r="K912" s="38" t="str">
        <x:f t="shared" si="85"/>
        <x:v>1교육실(실습겸용강의실)</x:v>
      </x:c>
      <x:c r="L912" s="38" t="str">
        <x:f t="shared" si="86"/>
        <x:v>양현수</x:v>
      </x:c>
      <x:c r="M912" s="63"/>
      <x:c r="N912" s="30">
        <x:f>IF(F912="2","",COUNTIF($F$3:$F912,"=1"))</x:f>
        <x:v>809</x:v>
      </x:c>
      <x:c r="O912" s="30">
        <x:f t="shared" si="87"/>
        <x:v>10</x:v>
      </x:c>
      <x:c r="P912" s="30">
        <x:f t="shared" si="89"/>
        <x:v>3</x:v>
      </x:c>
      <x:c r="Q912" s="30">
        <x:f>COUNTIF($P$3:P912,"=3")</x:f>
        <x:v>102</x:v>
      </x:c>
      <x:c r="R912" s="29">
        <x:f>WORKDAY(기본입력!$H$2,Q912-1,공휴일)</x:f>
        <x:v>46077</x:v>
      </x:c>
    </x:row>
    <x:row r="913" spans="1:18">
      <x:c r="A913" s="145" t="str">
        <x:f t="shared" si="88"/>
        <x:v>20260224</x:v>
      </x:c>
      <x:c r="B913" s="8" t="s">
        <x:v>5</x:v>
      </x:c>
      <x:c r="C913" s="8">
        <x:v>1740</x:v>
      </x:c>
      <x:c r="D913" s="7" t="s">
        <x:v>1</x:v>
      </x:c>
      <x:c r="E913" s="8" t="s">
        <x:v>117</x:v>
      </x:c>
      <x:c r="F913" s="8" t="s">
        <x:v>40</x:v>
      </x:c>
      <x:c r="G913" s="15" t="str">
        <x:f>IF(OR(N913="",N913&gt;기본입력!$C$34),"",VLOOKUP(O913,기본입력!$A$9:$F$33,5))</x:f>
        <x:v>양현수_53778</x:v>
      </x:c>
      <x:c r="H913" s="15" t="str">
        <x:f>IF(OR(N913="",N913&gt;기본입력!$C$34),"",기본입력!$C$6)</x:f>
        <x:v>1교육실(실습겸용강의실)_243089</x:v>
      </x:c>
      <x:c r="I913" s="15" t="str">
        <x:f>IF(OR(O913="",N913&gt;기본입력!$C$34),"",VLOOKUP(O913,기본입력!$A$9:$F$33,6,FALSE))</x:f>
        <x:v>Final 프로젝트__10</x:v>
      </x:c>
      <x:c r="J913" s="38" t="str">
        <x:f t="shared" si="84"/>
        <x:v>Final 프로젝트</x:v>
      </x:c>
      <x:c r="K913" s="38" t="str">
        <x:f t="shared" si="85"/>
        <x:v>1교육실(실습겸용강의실)</x:v>
      </x:c>
      <x:c r="L913" s="38" t="str">
        <x:f t="shared" si="86"/>
        <x:v>양현수</x:v>
      </x:c>
      <x:c r="M913" s="63"/>
      <x:c r="N913" s="30">
        <x:f>IF(F913="2","",COUNTIF($F$3:$F913,"=1"))</x:f>
        <x:v>810</x:v>
      </x:c>
      <x:c r="O913" s="30">
        <x:f t="shared" si="87"/>
        <x:v>10</x:v>
      </x:c>
      <x:c r="P913" s="30">
        <x:f t="shared" si="89"/>
        <x:v>4</x:v>
      </x:c>
      <x:c r="Q913" s="30">
        <x:f>COUNTIF($P$3:P913,"=3")</x:f>
        <x:v>102</x:v>
      </x:c>
      <x:c r="R913" s="29">
        <x:f>WORKDAY(기본입력!$H$2,Q913-1,공휴일)</x:f>
        <x:v>46077</x:v>
      </x:c>
    </x:row>
    <x:row r="914" spans="1:18">
      <x:c r="A914" s="145" t="str">
        <x:f t="shared" si="88"/>
        <x:v>20260224</x:v>
      </x:c>
      <x:c r="B914" s="8" t="s">
        <x:v>5</x:v>
      </x:c>
      <x:c r="C914" s="8">
        <x:v>1740</x:v>
      </x:c>
      <x:c r="D914" s="7" t="s">
        <x:v>1</x:v>
      </x:c>
      <x:c r="E914" s="8" t="s">
        <x:v>87</x:v>
      </x:c>
      <x:c r="F914" s="8" t="s">
        <x:v>40</x:v>
      </x:c>
      <x:c r="G914" s="15" t="str">
        <x:f>IF(OR(N914="",N914&gt;기본입력!$C$34),"",VLOOKUP(O914,기본입력!$A$9:$F$33,5))</x:f>
        <x:v>양현수_53778</x:v>
      </x:c>
      <x:c r="H914" s="15" t="str">
        <x:f>IF(OR(N914="",N914&gt;기본입력!$C$34),"",기본입력!$C$6)</x:f>
        <x:v>1교육실(실습겸용강의실)_243089</x:v>
      </x:c>
      <x:c r="I914" s="15" t="str">
        <x:f>IF(OR(O914="",N914&gt;기본입력!$C$34),"",VLOOKUP(O914,기본입력!$A$9:$F$33,6,FALSE))</x:f>
        <x:v>Final 프로젝트__10</x:v>
      </x:c>
      <x:c r="J914" s="38" t="str">
        <x:f t="shared" si="84"/>
        <x:v>Final 프로젝트</x:v>
      </x:c>
      <x:c r="K914" s="38" t="str">
        <x:f t="shared" si="85"/>
        <x:v>1교육실(실습겸용강의실)</x:v>
      </x:c>
      <x:c r="L914" s="38" t="str">
        <x:f t="shared" si="86"/>
        <x:v>양현수</x:v>
      </x:c>
      <x:c r="M914" s="63"/>
      <x:c r="N914" s="30">
        <x:f>IF(F914="2","",COUNTIF($F$3:$F914,"=1"))</x:f>
        <x:v>811</x:v>
      </x:c>
      <x:c r="O914" s="30">
        <x:f t="shared" si="87"/>
        <x:v>10</x:v>
      </x:c>
      <x:c r="P914" s="30">
        <x:f t="shared" si="89"/>
        <x:v>5</x:v>
      </x:c>
      <x:c r="Q914" s="30">
        <x:f>COUNTIF($P$3:P914,"=3")</x:f>
        <x:v>102</x:v>
      </x:c>
      <x:c r="R914" s="29">
        <x:f>WORKDAY(기본입력!$H$2,Q914-1,공휴일)</x:f>
        <x:v>46077</x:v>
      </x:c>
    </x:row>
    <x:row r="915" spans="1:18">
      <x:c r="A915" s="145" t="str">
        <x:f t="shared" si="88"/>
        <x:v>20260224</x:v>
      </x:c>
      <x:c r="B915" s="8" t="s">
        <x:v>5</x:v>
      </x:c>
      <x:c r="C915" s="8">
        <x:v>1740</x:v>
      </x:c>
      <x:c r="D915" s="7" t="s">
        <x:v>1</x:v>
      </x:c>
      <x:c r="E915" s="8" t="s">
        <x:v>88</x:v>
      </x:c>
      <x:c r="F915" s="8" t="s">
        <x:v>40</x:v>
      </x:c>
      <x:c r="G915" s="15" t="str">
        <x:f>IF(OR(N915="",N915&gt;기본입력!$C$34),"",VLOOKUP(O915,기본입력!$A$9:$F$33,5))</x:f>
        <x:v>양현수_53778</x:v>
      </x:c>
      <x:c r="H915" s="15" t="str">
        <x:f>IF(OR(N915="",N915&gt;기본입력!$C$34),"",기본입력!$C$6)</x:f>
        <x:v>1교육실(실습겸용강의실)_243089</x:v>
      </x:c>
      <x:c r="I915" s="15" t="str">
        <x:f>IF(OR(O915="",N915&gt;기본입력!$C$34),"",VLOOKUP(O915,기본입력!$A$9:$F$33,6,FALSE))</x:f>
        <x:v>Final 프로젝트__10</x:v>
      </x:c>
      <x:c r="J915" s="38" t="str">
        <x:f t="shared" si="84"/>
        <x:v>Final 프로젝트</x:v>
      </x:c>
      <x:c r="K915" s="38" t="str">
        <x:f t="shared" si="85"/>
        <x:v>1교육실(실습겸용강의실)</x:v>
      </x:c>
      <x:c r="L915" s="38" t="str">
        <x:f t="shared" si="86"/>
        <x:v>양현수</x:v>
      </x:c>
      <x:c r="M915" s="63"/>
      <x:c r="N915" s="30">
        <x:f>IF(F915="2","",COUNTIF($F$3:$F915,"=1"))</x:f>
        <x:v>812</x:v>
      </x:c>
      <x:c r="O915" s="30">
        <x:f t="shared" si="87"/>
        <x:v>10</x:v>
      </x:c>
      <x:c r="P915" s="30">
        <x:f t="shared" si="89"/>
        <x:v>6</x:v>
      </x:c>
      <x:c r="Q915" s="30">
        <x:f>COUNTIF($P$3:P915,"=3")</x:f>
        <x:v>102</x:v>
      </x:c>
      <x:c r="R915" s="29">
        <x:f>WORKDAY(기본입력!$H$2,Q915-1,공휴일)</x:f>
        <x:v>46077</x:v>
      </x:c>
    </x:row>
    <x:row r="916" spans="1:18">
      <x:c r="A916" s="145" t="str">
        <x:f t="shared" si="88"/>
        <x:v>20260224</x:v>
      </x:c>
      <x:c r="B916" s="8" t="s">
        <x:v>5</x:v>
      </x:c>
      <x:c r="C916" s="8">
        <x:v>1740</x:v>
      </x:c>
      <x:c r="D916" s="7" t="s">
        <x:v>1</x:v>
      </x:c>
      <x:c r="E916" s="8" t="s">
        <x:v>0</x:v>
      </x:c>
      <x:c r="F916" s="8" t="s">
        <x:v>41</x:v>
      </x:c>
      <x:c r="G916" s="15" t="str">
        <x:f>IF(OR(N916="",N916&gt;기본입력!$C$34),"",VLOOKUP(O916,기본입력!$A$9:$F$33,5))</x:f>
        <x:v/>
      </x:c>
      <x:c r="H916" s="15" t="str">
        <x:f>IF(OR(N916="",N916&gt;기본입력!$C$34),"",기본입력!$C$6)</x:f>
        <x:v/>
      </x:c>
      <x:c r="I916" s="15" t="str">
        <x:f>IF(OR(O916="",N916&gt;기본입력!$C$34),"",VLOOKUP(O916,기본입력!$A$9:$F$33,6,FALSE))</x:f>
        <x:v/>
      </x:c>
      <x:c r="J916" s="38" t="str">
        <x:f t="shared" si="84"/>
        <x:v/>
      </x:c>
      <x:c r="K916" s="38" t="str">
        <x:f t="shared" si="85"/>
        <x:v/>
      </x:c>
      <x:c r="L916" s="38" t="str">
        <x:f t="shared" si="86"/>
        <x:v/>
      </x:c>
      <x:c r="M916" s="63"/>
      <x:c r="N916" s="30" t="str">
        <x:f>IF(F916="2","",COUNTIF($F$3:$F916,"=1"))</x:f>
        <x:v/>
      </x:c>
      <x:c r="O916" s="30" t="str">
        <x:f t="shared" si="87"/>
        <x:v/>
      </x:c>
      <x:c r="P916" s="30">
        <x:f t="shared" si="89"/>
        <x:v>7</x:v>
      </x:c>
      <x:c r="Q916" s="30">
        <x:f>COUNTIF($P$3:P916,"=3")</x:f>
        <x:v>102</x:v>
      </x:c>
      <x:c r="R916" s="29">
        <x:f>WORKDAY(기본입력!$H$2,Q916-1,공휴일)</x:f>
        <x:v>46077</x:v>
      </x:c>
    </x:row>
    <x:row r="917" spans="1:18">
      <x:c r="A917" s="145" t="str">
        <x:f t="shared" si="88"/>
        <x:v>20260224</x:v>
      </x:c>
      <x:c r="B917" s="8" t="s">
        <x:v>5</x:v>
      </x:c>
      <x:c r="C917" s="8">
        <x:v>1740</x:v>
      </x:c>
      <x:c r="D917" s="7" t="s">
        <x:v>1</x:v>
      </x:c>
      <x:c r="E917" s="8">
        <x:v>1340</x:v>
      </x:c>
      <x:c r="F917" s="8" t="s">
        <x:v>40</x:v>
      </x:c>
      <x:c r="G917" s="15" t="str">
        <x:f>IF(OR(N917="",N917&gt;기본입력!$C$34),"",VLOOKUP(O917,기본입력!$A$9:$F$33,5))</x:f>
        <x:v>양현수_53778</x:v>
      </x:c>
      <x:c r="H917" s="15" t="str">
        <x:f>IF(OR(N917="",N917&gt;기본입력!$C$34),"",기본입력!$C$6)</x:f>
        <x:v>1교육실(실습겸용강의실)_243089</x:v>
      </x:c>
      <x:c r="I917" s="15" t="str">
        <x:f>IF(OR(O917="",N917&gt;기본입력!$C$34),"",VLOOKUP(O917,기본입력!$A$9:$F$33,6,FALSE))</x:f>
        <x:v>Final 프로젝트__10</x:v>
      </x:c>
      <x:c r="J917" s="38" t="str">
        <x:f t="shared" si="84"/>
        <x:v>Final 프로젝트</x:v>
      </x:c>
      <x:c r="K917" s="38" t="str">
        <x:f t="shared" si="85"/>
        <x:v>1교육실(실습겸용강의실)</x:v>
      </x:c>
      <x:c r="L917" s="38" t="str">
        <x:f t="shared" si="86"/>
        <x:v>양현수</x:v>
      </x:c>
      <x:c r="M917" s="63"/>
      <x:c r="N917" s="30">
        <x:f>IF(F917="2","",COUNTIF($F$3:$F917,"=1"))</x:f>
        <x:v>813</x:v>
      </x:c>
      <x:c r="O917" s="30">
        <x:f t="shared" si="87"/>
        <x:v>10</x:v>
      </x:c>
      <x:c r="P917" s="30">
        <x:f t="shared" si="89"/>
        <x:v>8</x:v>
      </x:c>
      <x:c r="Q917" s="30">
        <x:f>COUNTIF($P$3:P917,"=3")</x:f>
        <x:v>102</x:v>
      </x:c>
      <x:c r="R917" s="29">
        <x:f>WORKDAY(기본입력!$H$2,Q917-1,공휴일)</x:f>
        <x:v>46077</x:v>
      </x:c>
    </x:row>
    <x:row r="918" spans="1:18">
      <x:c r="A918" s="145" t="str">
        <x:f t="shared" si="88"/>
        <x:v>20260224</x:v>
      </x:c>
      <x:c r="B918" s="8" t="s">
        <x:v>5</x:v>
      </x:c>
      <x:c r="C918" s="8">
        <x:v>1740</x:v>
      </x:c>
      <x:c r="D918" s="7" t="s">
        <x:v>1</x:v>
      </x:c>
      <x:c r="E918" s="8">
        <x:v>1440</x:v>
      </x:c>
      <x:c r="F918" s="8" t="s">
        <x:v>40</x:v>
      </x:c>
      <x:c r="G918" s="15" t="str">
        <x:f>IF(OR(N918="",N918&gt;기본입력!$C$34),"",VLOOKUP(O918,기본입력!$A$9:$F$33,5))</x:f>
        <x:v>양현수_53778</x:v>
      </x:c>
      <x:c r="H918" s="15" t="str">
        <x:f>IF(OR(N918="",N918&gt;기본입력!$C$34),"",기본입력!$C$6)</x:f>
        <x:v>1교육실(실습겸용강의실)_243089</x:v>
      </x:c>
      <x:c r="I918" s="15" t="str">
        <x:f>IF(OR(O918="",N918&gt;기본입력!$C$34),"",VLOOKUP(O918,기본입력!$A$9:$F$33,6,FALSE))</x:f>
        <x:v>Final 프로젝트__10</x:v>
      </x:c>
      <x:c r="J918" s="38" t="str">
        <x:f t="shared" si="84"/>
        <x:v>Final 프로젝트</x:v>
      </x:c>
      <x:c r="K918" s="38" t="str">
        <x:f t="shared" si="85"/>
        <x:v>1교육실(실습겸용강의실)</x:v>
      </x:c>
      <x:c r="L918" s="38" t="str">
        <x:f t="shared" si="86"/>
        <x:v>양현수</x:v>
      </x:c>
      <x:c r="M918" s="63"/>
      <x:c r="N918" s="30">
        <x:f>IF(F918="2","",COUNTIF($F$3:$F918,"=1"))</x:f>
        <x:v>814</x:v>
      </x:c>
      <x:c r="O918" s="30">
        <x:f t="shared" si="87"/>
        <x:v>10</x:v>
      </x:c>
      <x:c r="P918" s="30">
        <x:f t="shared" si="89"/>
        <x:v>0</x:v>
      </x:c>
      <x:c r="Q918" s="30">
        <x:f>COUNTIF($P$3:P918,"=3")</x:f>
        <x:v>102</x:v>
      </x:c>
      <x:c r="R918" s="29">
        <x:f>WORKDAY(기본입력!$H$2,Q918-1,공휴일)</x:f>
        <x:v>46077</x:v>
      </x:c>
    </x:row>
    <x:row r="919" spans="1:18">
      <x:c r="A919" s="145" t="str">
        <x:f t="shared" si="88"/>
        <x:v>20260224</x:v>
      </x:c>
      <x:c r="B919" s="8" t="s">
        <x:v>5</x:v>
      </x:c>
      <x:c r="C919" s="8">
        <x:v>1740</x:v>
      </x:c>
      <x:c r="D919" s="7" t="s">
        <x:v>1</x:v>
      </x:c>
      <x:c r="E919" s="8">
        <x:v>1540</x:v>
      </x:c>
      <x:c r="F919" s="8" t="s">
        <x:v>40</x:v>
      </x:c>
      <x:c r="G919" s="15" t="str">
        <x:f>IF(OR(N919="",N919&gt;기본입력!$C$34),"",VLOOKUP(O919,기본입력!$A$9:$F$33,5))</x:f>
        <x:v>양현수_53778</x:v>
      </x:c>
      <x:c r="H919" s="15" t="str">
        <x:f>IF(OR(N919="",N919&gt;기본입력!$C$34),"",기본입력!$C$6)</x:f>
        <x:v>1교육실(실습겸용강의실)_243089</x:v>
      </x:c>
      <x:c r="I919" s="15" t="str">
        <x:f>IF(OR(O919="",N919&gt;기본입력!$C$34),"",VLOOKUP(O919,기본입력!$A$9:$F$33,6,FALSE))</x:f>
        <x:v>Final 프로젝트__10</x:v>
      </x:c>
      <x:c r="J919" s="38" t="str">
        <x:f t="shared" si="84"/>
        <x:v>Final 프로젝트</x:v>
      </x:c>
      <x:c r="K919" s="38" t="str">
        <x:f t="shared" si="85"/>
        <x:v>1교육실(실습겸용강의실)</x:v>
      </x:c>
      <x:c r="L919" s="38" t="str">
        <x:f t="shared" si="86"/>
        <x:v>양현수</x:v>
      </x:c>
      <x:c r="M919" s="63"/>
      <x:c r="N919" s="30">
        <x:f>IF(F919="2","",COUNTIF($F$3:$F919,"=1"))</x:f>
        <x:v>815</x:v>
      </x:c>
      <x:c r="O919" s="30">
        <x:f t="shared" si="87"/>
        <x:v>10</x:v>
      </x:c>
      <x:c r="P919" s="30">
        <x:f t="shared" si="89"/>
        <x:v>1</x:v>
      </x:c>
      <x:c r="Q919" s="30">
        <x:f>COUNTIF($P$3:P919,"=3")</x:f>
        <x:v>102</x:v>
      </x:c>
      <x:c r="R919" s="29">
        <x:f>WORKDAY(기본입력!$H$2,Q919-1,공휴일)</x:f>
        <x:v>46077</x:v>
      </x:c>
    </x:row>
    <x:row r="920" spans="1:18">
      <x:c r="A920" s="145" t="str">
        <x:f t="shared" si="88"/>
        <x:v>20260224</x:v>
      </x:c>
      <x:c r="B920" s="8" t="s">
        <x:v>5</x:v>
      </x:c>
      <x:c r="C920" s="8">
        <x:v>1740</x:v>
      </x:c>
      <x:c r="D920" s="7" t="s">
        <x:v>1</x:v>
      </x:c>
      <x:c r="E920" s="8">
        <x:v>1640</x:v>
      </x:c>
      <x:c r="F920" s="8" t="s">
        <x:v>40</x:v>
      </x:c>
      <x:c r="G920" s="15" t="str">
        <x:f>IF(OR(N920="",N920&gt;기본입력!$C$34),"",VLOOKUP(O920,기본입력!$A$9:$F$33,5))</x:f>
        <x:v>양현수_53778</x:v>
      </x:c>
      <x:c r="H920" s="15" t="str">
        <x:f>IF(OR(N920="",N920&gt;기본입력!$C$34),"",기본입력!$C$6)</x:f>
        <x:v>1교육실(실습겸용강의실)_243089</x:v>
      </x:c>
      <x:c r="I920" s="15" t="str">
        <x:f>IF(OR(O920="",N920&gt;기본입력!$C$34),"",VLOOKUP(O920,기본입력!$A$9:$F$33,6,FALSE))</x:f>
        <x:v>Final 프로젝트__10</x:v>
      </x:c>
      <x:c r="J920" s="38" t="str">
        <x:f t="shared" si="84"/>
        <x:v>Final 프로젝트</x:v>
      </x:c>
      <x:c r="K920" s="38" t="str">
        <x:f t="shared" si="85"/>
        <x:v>1교육실(실습겸용강의실)</x:v>
      </x:c>
      <x:c r="L920" s="38" t="str">
        <x:f t="shared" si="86"/>
        <x:v>양현수</x:v>
      </x:c>
      <x:c r="M920" s="63"/>
      <x:c r="N920" s="30">
        <x:f>IF(F920="2","",COUNTIF($F$3:$F920,"=1"))</x:f>
        <x:v>816</x:v>
      </x:c>
      <x:c r="O920" s="30">
        <x:f t="shared" si="87"/>
        <x:v>10</x:v>
      </x:c>
      <x:c r="P920" s="30">
        <x:f t="shared" si="89"/>
        <x:v>2</x:v>
      </x:c>
      <x:c r="Q920" s="30">
        <x:f>COUNTIF($P$3:P920,"=3")</x:f>
        <x:v>102</x:v>
      </x:c>
      <x:c r="R920" s="29">
        <x:f>WORKDAY(기본입력!$H$2,Q920-1,공휴일)</x:f>
        <x:v>46077</x:v>
      </x:c>
    </x:row>
    <x:row r="921" spans="1:18">
      <x:c r="A921" s="144" t="str">
        <x:f t="shared" si="88"/>
        <x:v>20260225</x:v>
      </x:c>
      <x:c r="B921" s="6" t="s">
        <x:v>5</x:v>
      </x:c>
      <x:c r="C921" s="6">
        <x:v>1740</x:v>
      </x:c>
      <x:c r="D921" s="5" t="s">
        <x:v>1</x:v>
      </x:c>
      <x:c r="E921" s="6" t="s">
        <x:v>5</x:v>
      </x:c>
      <x:c r="F921" s="6" t="s">
        <x:v>40</x:v>
      </x:c>
      <x:c r="G921" s="14" t="str">
        <x:f>IF(OR(N921="",N921&gt;기본입력!$C$34),"",VLOOKUP(O921,기본입력!$A$9:$F$33,5))</x:f>
        <x:v>양현수_53778</x:v>
      </x:c>
      <x:c r="H921" s="14" t="str">
        <x:f>IF(OR(N921="",N921&gt;기본입력!$C$34),"",기본입력!$C$6)</x:f>
        <x:v>1교육실(실습겸용강의실)_243089</x:v>
      </x:c>
      <x:c r="I921" s="14" t="str">
        <x:f>IF(OR(O921="",N921&gt;기본입력!$C$34),"",VLOOKUP(O921,기본입력!$A$9:$F$33,6,FALSE))</x:f>
        <x:v>Final 프로젝트__10</x:v>
      </x:c>
      <x:c r="J921" s="38" t="str">
        <x:f t="shared" si="84"/>
        <x:v>Final 프로젝트</x:v>
      </x:c>
      <x:c r="K921" s="38" t="str">
        <x:f t="shared" si="85"/>
        <x:v>1교육실(실습겸용강의실)</x:v>
      </x:c>
      <x:c r="L921" s="38" t="str">
        <x:f t="shared" si="86"/>
        <x:v>양현수</x:v>
      </x:c>
      <x:c r="M921" s="63"/>
      <x:c r="N921" s="30">
        <x:f>IF(F921="2","",COUNTIF($F$3:$F921,"=1"))</x:f>
        <x:v>817</x:v>
      </x:c>
      <x:c r="O921" s="30">
        <x:f t="shared" si="87"/>
        <x:v>10</x:v>
      </x:c>
      <x:c r="P921" s="30">
        <x:f t="shared" si="89"/>
        <x:v>3</x:v>
      </x:c>
      <x:c r="Q921" s="30">
        <x:f>COUNTIF($P$3:P921,"=3")</x:f>
        <x:v>103</x:v>
      </x:c>
      <x:c r="R921" s="29">
        <x:f>WORKDAY(기본입력!$H$2,Q921-1,공휴일)</x:f>
        <x:v>46078</x:v>
      </x:c>
    </x:row>
    <x:row r="922" spans="1:18">
      <x:c r="A922" s="144" t="str">
        <x:f t="shared" si="88"/>
        <x:v>20260225</x:v>
      </x:c>
      <x:c r="B922" s="6" t="s">
        <x:v>5</x:v>
      </x:c>
      <x:c r="C922" s="6">
        <x:v>1740</x:v>
      </x:c>
      <x:c r="D922" s="5" t="s">
        <x:v>1</x:v>
      </x:c>
      <x:c r="E922" s="6" t="s">
        <x:v>117</x:v>
      </x:c>
      <x:c r="F922" s="6" t="s">
        <x:v>40</x:v>
      </x:c>
      <x:c r="G922" s="14" t="str">
        <x:f>IF(OR(N922="",N922&gt;기본입력!$C$34),"",VLOOKUP(O922,기본입력!$A$9:$F$33,5))</x:f>
        <x:v>양현수_53778</x:v>
      </x:c>
      <x:c r="H922" s="14" t="str">
        <x:f>IF(OR(N922="",N922&gt;기본입력!$C$34),"",기본입력!$C$6)</x:f>
        <x:v>1교육실(실습겸용강의실)_243089</x:v>
      </x:c>
      <x:c r="I922" s="14" t="str">
        <x:f>IF(OR(O922="",N922&gt;기본입력!$C$34),"",VLOOKUP(O922,기본입력!$A$9:$F$33,6,FALSE))</x:f>
        <x:v>Final 프로젝트__10</x:v>
      </x:c>
      <x:c r="J922" s="38" t="str">
        <x:f t="shared" si="84"/>
        <x:v>Final 프로젝트</x:v>
      </x:c>
      <x:c r="K922" s="38" t="str">
        <x:f t="shared" si="85"/>
        <x:v>1교육실(실습겸용강의실)</x:v>
      </x:c>
      <x:c r="L922" s="38" t="str">
        <x:f t="shared" si="86"/>
        <x:v>양현수</x:v>
      </x:c>
      <x:c r="M922" s="63"/>
      <x:c r="N922" s="30">
        <x:f>IF(F922="2","",COUNTIF($F$3:$F922,"=1"))</x:f>
        <x:v>818</x:v>
      </x:c>
      <x:c r="O922" s="30">
        <x:f t="shared" si="87"/>
        <x:v>10</x:v>
      </x:c>
      <x:c r="P922" s="30">
        <x:f t="shared" si="89"/>
        <x:v>4</x:v>
      </x:c>
      <x:c r="Q922" s="30">
        <x:f>COUNTIF($P$3:P922,"=3")</x:f>
        <x:v>103</x:v>
      </x:c>
      <x:c r="R922" s="29">
        <x:f>WORKDAY(기본입력!$H$2,Q922-1,공휴일)</x:f>
        <x:v>46078</x:v>
      </x:c>
    </x:row>
    <x:row r="923" spans="1:18">
      <x:c r="A923" s="144" t="str">
        <x:f t="shared" si="88"/>
        <x:v>20260225</x:v>
      </x:c>
      <x:c r="B923" s="6" t="s">
        <x:v>5</x:v>
      </x:c>
      <x:c r="C923" s="6">
        <x:v>1740</x:v>
      </x:c>
      <x:c r="D923" s="5" t="s">
        <x:v>1</x:v>
      </x:c>
      <x:c r="E923" s="6" t="s">
        <x:v>87</x:v>
      </x:c>
      <x:c r="F923" s="6" t="s">
        <x:v>40</x:v>
      </x:c>
      <x:c r="G923" s="14" t="str">
        <x:f>IF(OR(N923="",N923&gt;기본입력!$C$34),"",VLOOKUP(O923,기본입력!$A$9:$F$33,5))</x:f>
        <x:v>양현수_53778</x:v>
      </x:c>
      <x:c r="H923" s="14" t="str">
        <x:f>IF(OR(N923="",N923&gt;기본입력!$C$34),"",기본입력!$C$6)</x:f>
        <x:v>1교육실(실습겸용강의실)_243089</x:v>
      </x:c>
      <x:c r="I923" s="14" t="str">
        <x:f>IF(OR(O923="",N923&gt;기본입력!$C$34),"",VLOOKUP(O923,기본입력!$A$9:$F$33,6,FALSE))</x:f>
        <x:v>Final 프로젝트__10</x:v>
      </x:c>
      <x:c r="J923" s="38" t="str">
        <x:f t="shared" si="84"/>
        <x:v>Final 프로젝트</x:v>
      </x:c>
      <x:c r="K923" s="38" t="str">
        <x:f t="shared" si="85"/>
        <x:v>1교육실(실습겸용강의실)</x:v>
      </x:c>
      <x:c r="L923" s="38" t="str">
        <x:f t="shared" si="86"/>
        <x:v>양현수</x:v>
      </x:c>
      <x:c r="M923" s="63"/>
      <x:c r="N923" s="30">
        <x:f>IF(F923="2","",COUNTIF($F$3:$F923,"=1"))</x:f>
        <x:v>819</x:v>
      </x:c>
      <x:c r="O923" s="30">
        <x:f t="shared" si="87"/>
        <x:v>10</x:v>
      </x:c>
      <x:c r="P923" s="30">
        <x:f t="shared" si="89"/>
        <x:v>5</x:v>
      </x:c>
      <x:c r="Q923" s="30">
        <x:f>COUNTIF($P$3:P923,"=3")</x:f>
        <x:v>103</x:v>
      </x:c>
      <x:c r="R923" s="29">
        <x:f>WORKDAY(기본입력!$H$2,Q923-1,공휴일)</x:f>
        <x:v>46078</x:v>
      </x:c>
    </x:row>
    <x:row r="924" spans="1:18">
      <x:c r="A924" s="144" t="str">
        <x:f t="shared" si="88"/>
        <x:v>20260225</x:v>
      </x:c>
      <x:c r="B924" s="6" t="s">
        <x:v>5</x:v>
      </x:c>
      <x:c r="C924" s="6">
        <x:v>1740</x:v>
      </x:c>
      <x:c r="D924" s="5" t="s">
        <x:v>1</x:v>
      </x:c>
      <x:c r="E924" s="6" t="s">
        <x:v>88</x:v>
      </x:c>
      <x:c r="F924" s="6" t="s">
        <x:v>40</x:v>
      </x:c>
      <x:c r="G924" s="14" t="str">
        <x:f>IF(OR(N924="",N924&gt;기본입력!$C$34),"",VLOOKUP(O924,기본입력!$A$9:$F$33,5))</x:f>
        <x:v>양현수_53778</x:v>
      </x:c>
      <x:c r="H924" s="14" t="str">
        <x:f>IF(OR(N924="",N924&gt;기본입력!$C$34),"",기본입력!$C$6)</x:f>
        <x:v>1교육실(실습겸용강의실)_243089</x:v>
      </x:c>
      <x:c r="I924" s="14" t="str">
        <x:f>IF(OR(O924="",N924&gt;기본입력!$C$34),"",VLOOKUP(O924,기본입력!$A$9:$F$33,6,FALSE))</x:f>
        <x:v>Final 프로젝트__10</x:v>
      </x:c>
      <x:c r="J924" s="38" t="str">
        <x:f t="shared" si="84"/>
        <x:v>Final 프로젝트</x:v>
      </x:c>
      <x:c r="K924" s="38" t="str">
        <x:f t="shared" si="85"/>
        <x:v>1교육실(실습겸용강의실)</x:v>
      </x:c>
      <x:c r="L924" s="38" t="str">
        <x:f t="shared" si="86"/>
        <x:v>양현수</x:v>
      </x:c>
      <x:c r="M924" s="63"/>
      <x:c r="N924" s="30">
        <x:f>IF(F924="2","",COUNTIF($F$3:$F924,"=1"))</x:f>
        <x:v>820</x:v>
      </x:c>
      <x:c r="O924" s="30">
        <x:f t="shared" si="87"/>
        <x:v>10</x:v>
      </x:c>
      <x:c r="P924" s="30">
        <x:f t="shared" si="89"/>
        <x:v>6</x:v>
      </x:c>
      <x:c r="Q924" s="30">
        <x:f>COUNTIF($P$3:P924,"=3")</x:f>
        <x:v>103</x:v>
      </x:c>
      <x:c r="R924" s="29">
        <x:f>WORKDAY(기본입력!$H$2,Q924-1,공휴일)</x:f>
        <x:v>46078</x:v>
      </x:c>
    </x:row>
    <x:row r="925" spans="1:18">
      <x:c r="A925" s="144" t="str">
        <x:f t="shared" si="88"/>
        <x:v>20260225</x:v>
      </x:c>
      <x:c r="B925" s="6" t="s">
        <x:v>5</x:v>
      </x:c>
      <x:c r="C925" s="6">
        <x:v>1740</x:v>
      </x:c>
      <x:c r="D925" s="5" t="s">
        <x:v>1</x:v>
      </x:c>
      <x:c r="E925" s="6" t="s">
        <x:v>0</x:v>
      </x:c>
      <x:c r="F925" s="6" t="s">
        <x:v>41</x:v>
      </x:c>
      <x:c r="G925" s="14" t="str">
        <x:f>IF(OR(N925="",N925&gt;기본입력!$C$34),"",VLOOKUP(O925,기본입력!$A$9:$F$33,5))</x:f>
        <x:v/>
      </x:c>
      <x:c r="H925" s="14" t="str">
        <x:f>IF(OR(N925="",N925&gt;기본입력!$C$34),"",기본입력!$C$6)</x:f>
        <x:v/>
      </x:c>
      <x:c r="I925" s="14" t="str">
        <x:f>IF(OR(O925="",N925&gt;기본입력!$C$34),"",VLOOKUP(O925,기본입력!$A$9:$F$33,6,FALSE))</x:f>
        <x:v/>
      </x:c>
      <x:c r="J925" s="38" t="str">
        <x:f t="shared" si="84"/>
        <x:v/>
      </x:c>
      <x:c r="K925" s="38" t="str">
        <x:f t="shared" si="85"/>
        <x:v/>
      </x:c>
      <x:c r="L925" s="38" t="str">
        <x:f t="shared" si="86"/>
        <x:v/>
      </x:c>
      <x:c r="M925" s="63"/>
      <x:c r="N925" s="30" t="str">
        <x:f>IF(F925="2","",COUNTIF($F$3:$F925,"=1"))</x:f>
        <x:v/>
      </x:c>
      <x:c r="O925" s="30" t="str">
        <x:f t="shared" si="87"/>
        <x:v/>
      </x:c>
      <x:c r="P925" s="30">
        <x:f t="shared" si="89"/>
        <x:v>7</x:v>
      </x:c>
      <x:c r="Q925" s="30">
        <x:f>COUNTIF($P$3:P925,"=3")</x:f>
        <x:v>103</x:v>
      </x:c>
      <x:c r="R925" s="29">
        <x:f>WORKDAY(기본입력!$H$2,Q925-1,공휴일)</x:f>
        <x:v>46078</x:v>
      </x:c>
    </x:row>
    <x:row r="926" spans="1:18">
      <x:c r="A926" s="144" t="str">
        <x:f t="shared" si="88"/>
        <x:v>20260225</x:v>
      </x:c>
      <x:c r="B926" s="6" t="s">
        <x:v>5</x:v>
      </x:c>
      <x:c r="C926" s="6">
        <x:v>1740</x:v>
      </x:c>
      <x:c r="D926" s="5" t="s">
        <x:v>1</x:v>
      </x:c>
      <x:c r="E926" s="6">
        <x:v>1340</x:v>
      </x:c>
      <x:c r="F926" s="6" t="s">
        <x:v>40</x:v>
      </x:c>
      <x:c r="G926" s="14" t="str">
        <x:f>IF(OR(N926="",N926&gt;기본입력!$C$34),"",VLOOKUP(O926,기본입력!$A$9:$F$33,5))</x:f>
        <x:v>양현수_53778</x:v>
      </x:c>
      <x:c r="H926" s="14" t="str">
        <x:f>IF(OR(N926="",N926&gt;기본입력!$C$34),"",기본입력!$C$6)</x:f>
        <x:v>1교육실(실습겸용강의실)_243089</x:v>
      </x:c>
      <x:c r="I926" s="14" t="str">
        <x:f>IF(OR(O926="",N926&gt;기본입력!$C$34),"",VLOOKUP(O926,기본입력!$A$9:$F$33,6,FALSE))</x:f>
        <x:v>Final 프로젝트__10</x:v>
      </x:c>
      <x:c r="J926" s="38" t="str">
        <x:f t="shared" si="84"/>
        <x:v>Final 프로젝트</x:v>
      </x:c>
      <x:c r="K926" s="38" t="str">
        <x:f t="shared" si="85"/>
        <x:v>1교육실(실습겸용강의실)</x:v>
      </x:c>
      <x:c r="L926" s="38" t="str">
        <x:f t="shared" si="86"/>
        <x:v>양현수</x:v>
      </x:c>
      <x:c r="M926" s="63"/>
      <x:c r="N926" s="30">
        <x:f>IF(F926="2","",COUNTIF($F$3:$F926,"=1"))</x:f>
        <x:v>821</x:v>
      </x:c>
      <x:c r="O926" s="30">
        <x:f t="shared" si="87"/>
        <x:v>10</x:v>
      </x:c>
      <x:c r="P926" s="30">
        <x:f t="shared" si="89"/>
        <x:v>8</x:v>
      </x:c>
      <x:c r="Q926" s="30">
        <x:f>COUNTIF($P$3:P926,"=3")</x:f>
        <x:v>103</x:v>
      </x:c>
      <x:c r="R926" s="29">
        <x:f>WORKDAY(기본입력!$H$2,Q926-1,공휴일)</x:f>
        <x:v>46078</x:v>
      </x:c>
    </x:row>
    <x:row r="927" spans="1:18">
      <x:c r="A927" s="144" t="str">
        <x:f t="shared" si="88"/>
        <x:v>20260225</x:v>
      </x:c>
      <x:c r="B927" s="6" t="s">
        <x:v>5</x:v>
      </x:c>
      <x:c r="C927" s="6">
        <x:v>1740</x:v>
      </x:c>
      <x:c r="D927" s="5" t="s">
        <x:v>1</x:v>
      </x:c>
      <x:c r="E927" s="6">
        <x:v>1440</x:v>
      </x:c>
      <x:c r="F927" s="6" t="s">
        <x:v>40</x:v>
      </x:c>
      <x:c r="G927" s="14" t="str">
        <x:f>IF(OR(N927="",N927&gt;기본입력!$C$34),"",VLOOKUP(O927,기본입력!$A$9:$F$33,5))</x:f>
        <x:v>양현수_53778</x:v>
      </x:c>
      <x:c r="H927" s="14" t="str">
        <x:f>IF(OR(N927="",N927&gt;기본입력!$C$34),"",기본입력!$C$6)</x:f>
        <x:v>1교육실(실습겸용강의실)_243089</x:v>
      </x:c>
      <x:c r="I927" s="14" t="str">
        <x:f>IF(OR(O927="",N927&gt;기본입력!$C$34),"",VLOOKUP(O927,기본입력!$A$9:$F$33,6,FALSE))</x:f>
        <x:v>Final 프로젝트__10</x:v>
      </x:c>
      <x:c r="J927" s="38" t="str">
        <x:f t="shared" si="84"/>
        <x:v>Final 프로젝트</x:v>
      </x:c>
      <x:c r="K927" s="38" t="str">
        <x:f t="shared" si="85"/>
        <x:v>1교육실(실습겸용강의실)</x:v>
      </x:c>
      <x:c r="L927" s="38" t="str">
        <x:f t="shared" si="86"/>
        <x:v>양현수</x:v>
      </x:c>
      <x:c r="M927" s="63"/>
      <x:c r="N927" s="30">
        <x:f>IF(F927="2","",COUNTIF($F$3:$F927,"=1"))</x:f>
        <x:v>822</x:v>
      </x:c>
      <x:c r="O927" s="30">
        <x:f t="shared" si="87"/>
        <x:v>10</x:v>
      </x:c>
      <x:c r="P927" s="30">
        <x:f t="shared" si="89"/>
        <x:v>0</x:v>
      </x:c>
      <x:c r="Q927" s="30">
        <x:f>COUNTIF($P$3:P927,"=3")</x:f>
        <x:v>103</x:v>
      </x:c>
      <x:c r="R927" s="29">
        <x:f>WORKDAY(기본입력!$H$2,Q927-1,공휴일)</x:f>
        <x:v>46078</x:v>
      </x:c>
    </x:row>
    <x:row r="928" spans="1:18">
      <x:c r="A928" s="144" t="str">
        <x:f t="shared" si="88"/>
        <x:v>20260225</x:v>
      </x:c>
      <x:c r="B928" s="6" t="s">
        <x:v>5</x:v>
      </x:c>
      <x:c r="C928" s="6">
        <x:v>1740</x:v>
      </x:c>
      <x:c r="D928" s="5" t="s">
        <x:v>1</x:v>
      </x:c>
      <x:c r="E928" s="6">
        <x:v>1540</x:v>
      </x:c>
      <x:c r="F928" s="6" t="s">
        <x:v>40</x:v>
      </x:c>
      <x:c r="G928" s="14" t="str">
        <x:f>IF(OR(N928="",N928&gt;기본입력!$C$34),"",VLOOKUP(O928,기본입력!$A$9:$F$33,5))</x:f>
        <x:v>양현수_53778</x:v>
      </x:c>
      <x:c r="H928" s="14" t="str">
        <x:f>IF(OR(N928="",N928&gt;기본입력!$C$34),"",기본입력!$C$6)</x:f>
        <x:v>1교육실(실습겸용강의실)_243089</x:v>
      </x:c>
      <x:c r="I928" s="14" t="str">
        <x:f>IF(OR(O928="",N928&gt;기본입력!$C$34),"",VLOOKUP(O928,기본입력!$A$9:$F$33,6,FALSE))</x:f>
        <x:v>Final 프로젝트__10</x:v>
      </x:c>
      <x:c r="J928" s="38" t="str">
        <x:f t="shared" si="84"/>
        <x:v>Final 프로젝트</x:v>
      </x:c>
      <x:c r="K928" s="38" t="str">
        <x:f t="shared" si="85"/>
        <x:v>1교육실(실습겸용강의실)</x:v>
      </x:c>
      <x:c r="L928" s="38" t="str">
        <x:f t="shared" si="86"/>
        <x:v>양현수</x:v>
      </x:c>
      <x:c r="M928" s="63"/>
      <x:c r="N928" s="30">
        <x:f>IF(F928="2","",COUNTIF($F$3:$F928,"=1"))</x:f>
        <x:v>823</x:v>
      </x:c>
      <x:c r="O928" s="30">
        <x:f t="shared" si="87"/>
        <x:v>10</x:v>
      </x:c>
      <x:c r="P928" s="30">
        <x:f t="shared" si="89"/>
        <x:v>1</x:v>
      </x:c>
      <x:c r="Q928" s="30">
        <x:f>COUNTIF($P$3:P928,"=3")</x:f>
        <x:v>103</x:v>
      </x:c>
      <x:c r="R928" s="29">
        <x:f>WORKDAY(기본입력!$H$2,Q928-1,공휴일)</x:f>
        <x:v>46078</x:v>
      </x:c>
    </x:row>
    <x:row r="929" spans="1:18">
      <x:c r="A929" s="144" t="str">
        <x:f t="shared" si="88"/>
        <x:v>20260225</x:v>
      </x:c>
      <x:c r="B929" s="6" t="s">
        <x:v>5</x:v>
      </x:c>
      <x:c r="C929" s="6">
        <x:v>1740</x:v>
      </x:c>
      <x:c r="D929" s="5" t="s">
        <x:v>1</x:v>
      </x:c>
      <x:c r="E929" s="6">
        <x:v>1640</x:v>
      </x:c>
      <x:c r="F929" s="6" t="s">
        <x:v>40</x:v>
      </x:c>
      <x:c r="G929" s="14" t="str">
        <x:f>IF(OR(N929="",N929&gt;기본입력!$C$34),"",VLOOKUP(O929,기본입력!$A$9:$F$33,5))</x:f>
        <x:v>양현수_53778</x:v>
      </x:c>
      <x:c r="H929" s="14" t="str">
        <x:f>IF(OR(N929="",N929&gt;기본입력!$C$34),"",기본입력!$C$6)</x:f>
        <x:v>1교육실(실습겸용강의실)_243089</x:v>
      </x:c>
      <x:c r="I929" s="14" t="str">
        <x:f>IF(OR(O929="",N929&gt;기본입력!$C$34),"",VLOOKUP(O929,기본입력!$A$9:$F$33,6,FALSE))</x:f>
        <x:v>Final 프로젝트__10</x:v>
      </x:c>
      <x:c r="J929" s="38" t="str">
        <x:f t="shared" si="84"/>
        <x:v>Final 프로젝트</x:v>
      </x:c>
      <x:c r="K929" s="38" t="str">
        <x:f t="shared" si="85"/>
        <x:v>1교육실(실습겸용강의실)</x:v>
      </x:c>
      <x:c r="L929" s="38" t="str">
        <x:f t="shared" si="86"/>
        <x:v>양현수</x:v>
      </x:c>
      <x:c r="M929" s="63"/>
      <x:c r="N929" s="30">
        <x:f>IF(F929="2","",COUNTIF($F$3:$F929,"=1"))</x:f>
        <x:v>824</x:v>
      </x:c>
      <x:c r="O929" s="30">
        <x:f t="shared" si="87"/>
        <x:v>10</x:v>
      </x:c>
      <x:c r="P929" s="30">
        <x:f t="shared" si="89"/>
        <x:v>2</x:v>
      </x:c>
      <x:c r="Q929" s="30">
        <x:f>COUNTIF($P$3:P929,"=3")</x:f>
        <x:v>103</x:v>
      </x:c>
      <x:c r="R929" s="29">
        <x:f>WORKDAY(기본입력!$H$2,Q929-1,공휴일)</x:f>
        <x:v>46078</x:v>
      </x:c>
    </x:row>
    <x:row r="930" spans="1:18">
      <x:c r="A930" s="145" t="str">
        <x:f t="shared" si="88"/>
        <x:v>20260226</x:v>
      </x:c>
      <x:c r="B930" s="8" t="s">
        <x:v>5</x:v>
      </x:c>
      <x:c r="C930" s="8">
        <x:v>1740</x:v>
      </x:c>
      <x:c r="D930" s="7" t="s">
        <x:v>1</x:v>
      </x:c>
      <x:c r="E930" s="8" t="s">
        <x:v>5</x:v>
      </x:c>
      <x:c r="F930" s="8" t="s">
        <x:v>40</x:v>
      </x:c>
      <x:c r="G930" s="15" t="str">
        <x:f>IF(OR(N930="",N930&gt;기본입력!$C$34),"",VLOOKUP(O930,기본입력!$A$9:$F$33,5))</x:f>
        <x:v>양현수_53778</x:v>
      </x:c>
      <x:c r="H930" s="15" t="str">
        <x:f>IF(OR(N930="",N930&gt;기본입력!$C$34),"",기본입력!$C$6)</x:f>
        <x:v>1교육실(실습겸용강의실)_243089</x:v>
      </x:c>
      <x:c r="I930" s="15" t="str">
        <x:f>IF(OR(O930="",N930&gt;기본입력!$C$34),"",VLOOKUP(O930,기본입력!$A$9:$F$33,6,FALSE))</x:f>
        <x:v>Final 프로젝트__10</x:v>
      </x:c>
      <x:c r="J930" s="38" t="str">
        <x:f t="shared" si="84"/>
        <x:v>Final 프로젝트</x:v>
      </x:c>
      <x:c r="K930" s="38" t="str">
        <x:f t="shared" si="85"/>
        <x:v>1교육실(실습겸용강의실)</x:v>
      </x:c>
      <x:c r="L930" s="38" t="str">
        <x:f t="shared" si="86"/>
        <x:v>양현수</x:v>
      </x:c>
      <x:c r="M930" s="63"/>
      <x:c r="N930" s="30">
        <x:f>IF(F930="2","",COUNTIF($F$3:$F930,"=1"))</x:f>
        <x:v>825</x:v>
      </x:c>
      <x:c r="O930" s="30">
        <x:f t="shared" si="87"/>
        <x:v>10</x:v>
      </x:c>
      <x:c r="P930" s="30">
        <x:f t="shared" si="89"/>
        <x:v>3</x:v>
      </x:c>
      <x:c r="Q930" s="30">
        <x:f>COUNTIF($P$3:P930,"=3")</x:f>
        <x:v>104</x:v>
      </x:c>
      <x:c r="R930" s="29">
        <x:f>WORKDAY(기본입력!$H$2,Q930-1,공휴일)</x:f>
        <x:v>46079</x:v>
      </x:c>
    </x:row>
    <x:row r="931" spans="1:18">
      <x:c r="A931" s="145" t="str">
        <x:f t="shared" si="88"/>
        <x:v>20260226</x:v>
      </x:c>
      <x:c r="B931" s="8" t="s">
        <x:v>5</x:v>
      </x:c>
      <x:c r="C931" s="8">
        <x:v>1740</x:v>
      </x:c>
      <x:c r="D931" s="7" t="s">
        <x:v>1</x:v>
      </x:c>
      <x:c r="E931" s="8" t="s">
        <x:v>117</x:v>
      </x:c>
      <x:c r="F931" s="8" t="s">
        <x:v>40</x:v>
      </x:c>
      <x:c r="G931" s="15" t="str">
        <x:f>IF(OR(N931="",N931&gt;기본입력!$C$34),"",VLOOKUP(O931,기본입력!$A$9:$F$33,5))</x:f>
        <x:v>양현수_53778</x:v>
      </x:c>
      <x:c r="H931" s="15" t="str">
        <x:f>IF(OR(N931="",N931&gt;기본입력!$C$34),"",기본입력!$C$6)</x:f>
        <x:v>1교육실(실습겸용강의실)_243089</x:v>
      </x:c>
      <x:c r="I931" s="15" t="str">
        <x:f>IF(OR(O931="",N931&gt;기본입력!$C$34),"",VLOOKUP(O931,기본입력!$A$9:$F$33,6,FALSE))</x:f>
        <x:v>Final 프로젝트__10</x:v>
      </x:c>
      <x:c r="J931" s="38" t="str">
        <x:f t="shared" si="84"/>
        <x:v>Final 프로젝트</x:v>
      </x:c>
      <x:c r="K931" s="38" t="str">
        <x:f t="shared" si="85"/>
        <x:v>1교육실(실습겸용강의실)</x:v>
      </x:c>
      <x:c r="L931" s="38" t="str">
        <x:f t="shared" si="86"/>
        <x:v>양현수</x:v>
      </x:c>
      <x:c r="M931" s="63"/>
      <x:c r="N931" s="30">
        <x:f>IF(F931="2","",COUNTIF($F$3:$F931,"=1"))</x:f>
        <x:v>826</x:v>
      </x:c>
      <x:c r="O931" s="30">
        <x:f t="shared" si="87"/>
        <x:v>10</x:v>
      </x:c>
      <x:c r="P931" s="30">
        <x:f t="shared" si="89"/>
        <x:v>4</x:v>
      </x:c>
      <x:c r="Q931" s="30">
        <x:f>COUNTIF($P$3:P931,"=3")</x:f>
        <x:v>104</x:v>
      </x:c>
      <x:c r="R931" s="29">
        <x:f>WORKDAY(기본입력!$H$2,Q931-1,공휴일)</x:f>
        <x:v>46079</x:v>
      </x:c>
    </x:row>
    <x:row r="932" spans="1:18">
      <x:c r="A932" s="145" t="str">
        <x:f t="shared" si="88"/>
        <x:v>20260226</x:v>
      </x:c>
      <x:c r="B932" s="8" t="s">
        <x:v>5</x:v>
      </x:c>
      <x:c r="C932" s="8">
        <x:v>1740</x:v>
      </x:c>
      <x:c r="D932" s="7" t="s">
        <x:v>1</x:v>
      </x:c>
      <x:c r="E932" s="8" t="s">
        <x:v>87</x:v>
      </x:c>
      <x:c r="F932" s="8" t="s">
        <x:v>40</x:v>
      </x:c>
      <x:c r="G932" s="15" t="str">
        <x:f>IF(OR(N932="",N932&gt;기본입력!$C$34),"",VLOOKUP(O932,기본입력!$A$9:$F$33,5))</x:f>
        <x:v>양현수_53778</x:v>
      </x:c>
      <x:c r="H932" s="15" t="str">
        <x:f>IF(OR(N932="",N932&gt;기본입력!$C$34),"",기본입력!$C$6)</x:f>
        <x:v>1교육실(실습겸용강의실)_243089</x:v>
      </x:c>
      <x:c r="I932" s="15" t="str">
        <x:f>IF(OR(O932="",N932&gt;기본입력!$C$34),"",VLOOKUP(O932,기본입력!$A$9:$F$33,6,FALSE))</x:f>
        <x:v>Final 프로젝트__10</x:v>
      </x:c>
      <x:c r="J932" s="38" t="str">
        <x:f t="shared" si="84"/>
        <x:v>Final 프로젝트</x:v>
      </x:c>
      <x:c r="K932" s="38" t="str">
        <x:f t="shared" si="85"/>
        <x:v>1교육실(실습겸용강의실)</x:v>
      </x:c>
      <x:c r="L932" s="38" t="str">
        <x:f t="shared" si="86"/>
        <x:v>양현수</x:v>
      </x:c>
      <x:c r="M932" s="63"/>
      <x:c r="N932" s="30">
        <x:f>IF(F932="2","",COUNTIF($F$3:$F932,"=1"))</x:f>
        <x:v>827</x:v>
      </x:c>
      <x:c r="O932" s="30">
        <x:f t="shared" si="87"/>
        <x:v>10</x:v>
      </x:c>
      <x:c r="P932" s="30">
        <x:f t="shared" si="89"/>
        <x:v>5</x:v>
      </x:c>
      <x:c r="Q932" s="30">
        <x:f>COUNTIF($P$3:P932,"=3")</x:f>
        <x:v>104</x:v>
      </x:c>
      <x:c r="R932" s="29">
        <x:f>WORKDAY(기본입력!$H$2,Q932-1,공휴일)</x:f>
        <x:v>46079</x:v>
      </x:c>
    </x:row>
    <x:row r="933" spans="1:18">
      <x:c r="A933" s="145" t="str">
        <x:f t="shared" si="88"/>
        <x:v>20260226</x:v>
      </x:c>
      <x:c r="B933" s="8" t="s">
        <x:v>5</x:v>
      </x:c>
      <x:c r="C933" s="8">
        <x:v>1740</x:v>
      </x:c>
      <x:c r="D933" s="7" t="s">
        <x:v>1</x:v>
      </x:c>
      <x:c r="E933" s="8" t="s">
        <x:v>88</x:v>
      </x:c>
      <x:c r="F933" s="8" t="s">
        <x:v>40</x:v>
      </x:c>
      <x:c r="G933" s="15" t="str">
        <x:f>IF(OR(N933="",N933&gt;기본입력!$C$34),"",VLOOKUP(O933,기본입력!$A$9:$F$33,5))</x:f>
        <x:v>양현수_53778</x:v>
      </x:c>
      <x:c r="H933" s="15" t="str">
        <x:f>IF(OR(N933="",N933&gt;기본입력!$C$34),"",기본입력!$C$6)</x:f>
        <x:v>1교육실(실습겸용강의실)_243089</x:v>
      </x:c>
      <x:c r="I933" s="15" t="str">
        <x:f>IF(OR(O933="",N933&gt;기본입력!$C$34),"",VLOOKUP(O933,기본입력!$A$9:$F$33,6,FALSE))</x:f>
        <x:v>Final 프로젝트__10</x:v>
      </x:c>
      <x:c r="J933" s="38" t="str">
        <x:f t="shared" si="84"/>
        <x:v>Final 프로젝트</x:v>
      </x:c>
      <x:c r="K933" s="38" t="str">
        <x:f t="shared" si="85"/>
        <x:v>1교육실(실습겸용강의실)</x:v>
      </x:c>
      <x:c r="L933" s="38" t="str">
        <x:f t="shared" si="86"/>
        <x:v>양현수</x:v>
      </x:c>
      <x:c r="M933" s="63"/>
      <x:c r="N933" s="30">
        <x:f>IF(F933="2","",COUNTIF($F$3:$F933,"=1"))</x:f>
        <x:v>828</x:v>
      </x:c>
      <x:c r="O933" s="30">
        <x:f t="shared" si="87"/>
        <x:v>10</x:v>
      </x:c>
      <x:c r="P933" s="30">
        <x:f t="shared" si="89"/>
        <x:v>6</x:v>
      </x:c>
      <x:c r="Q933" s="30">
        <x:f>COUNTIF($P$3:P933,"=3")</x:f>
        <x:v>104</x:v>
      </x:c>
      <x:c r="R933" s="29">
        <x:f>WORKDAY(기본입력!$H$2,Q933-1,공휴일)</x:f>
        <x:v>46079</x:v>
      </x:c>
    </x:row>
    <x:row r="934" spans="1:18">
      <x:c r="A934" s="145" t="str">
        <x:f t="shared" si="88"/>
        <x:v>20260226</x:v>
      </x:c>
      <x:c r="B934" s="8" t="s">
        <x:v>5</x:v>
      </x:c>
      <x:c r="C934" s="8">
        <x:v>1740</x:v>
      </x:c>
      <x:c r="D934" s="7" t="s">
        <x:v>1</x:v>
      </x:c>
      <x:c r="E934" s="8" t="s">
        <x:v>0</x:v>
      </x:c>
      <x:c r="F934" s="8" t="s">
        <x:v>41</x:v>
      </x:c>
      <x:c r="G934" s="15" t="str">
        <x:f>IF(OR(N934="",N934&gt;기본입력!$C$34),"",VLOOKUP(O934,기본입력!$A$9:$F$33,5))</x:f>
        <x:v/>
      </x:c>
      <x:c r="H934" s="15" t="str">
        <x:f>IF(OR(N934="",N934&gt;기본입력!$C$34),"",기본입력!$C$6)</x:f>
        <x:v/>
      </x:c>
      <x:c r="I934" s="15" t="str">
        <x:f>IF(OR(O934="",N934&gt;기본입력!$C$34),"",VLOOKUP(O934,기본입력!$A$9:$F$33,6,FALSE))</x:f>
        <x:v/>
      </x:c>
      <x:c r="J934" s="38" t="str">
        <x:f t="shared" si="84"/>
        <x:v/>
      </x:c>
      <x:c r="K934" s="38" t="str">
        <x:f t="shared" si="85"/>
        <x:v/>
      </x:c>
      <x:c r="L934" s="38" t="str">
        <x:f t="shared" si="86"/>
        <x:v/>
      </x:c>
      <x:c r="M934" s="63"/>
      <x:c r="N934" s="30" t="str">
        <x:f>IF(F934="2","",COUNTIF($F$3:$F934,"=1"))</x:f>
        <x:v/>
      </x:c>
      <x:c r="O934" s="30" t="str">
        <x:f t="shared" si="87"/>
        <x:v/>
      </x:c>
      <x:c r="P934" s="30">
        <x:f t="shared" si="89"/>
        <x:v>7</x:v>
      </x:c>
      <x:c r="Q934" s="30">
        <x:f>COUNTIF($P$3:P934,"=3")</x:f>
        <x:v>104</x:v>
      </x:c>
      <x:c r="R934" s="29">
        <x:f>WORKDAY(기본입력!$H$2,Q934-1,공휴일)</x:f>
        <x:v>46079</x:v>
      </x:c>
    </x:row>
    <x:row r="935" spans="1:18">
      <x:c r="A935" s="145" t="str">
        <x:f t="shared" si="88"/>
        <x:v>20260226</x:v>
      </x:c>
      <x:c r="B935" s="8" t="s">
        <x:v>5</x:v>
      </x:c>
      <x:c r="C935" s="8">
        <x:v>1740</x:v>
      </x:c>
      <x:c r="D935" s="7" t="s">
        <x:v>1</x:v>
      </x:c>
      <x:c r="E935" s="8">
        <x:v>1340</x:v>
      </x:c>
      <x:c r="F935" s="8" t="s">
        <x:v>40</x:v>
      </x:c>
      <x:c r="G935" s="15" t="str">
        <x:f>IF(OR(N935="",N935&gt;기본입력!$C$34),"",VLOOKUP(O935,기본입력!$A$9:$F$33,5))</x:f>
        <x:v>양현수_53778</x:v>
      </x:c>
      <x:c r="H935" s="15" t="str">
        <x:f>IF(OR(N935="",N935&gt;기본입력!$C$34),"",기본입력!$C$6)</x:f>
        <x:v>1교육실(실습겸용강의실)_243089</x:v>
      </x:c>
      <x:c r="I935" s="15" t="str">
        <x:f>IF(OR(O935="",N935&gt;기본입력!$C$34),"",VLOOKUP(O935,기본입력!$A$9:$F$33,6,FALSE))</x:f>
        <x:v>Final 프로젝트__10</x:v>
      </x:c>
      <x:c r="J935" s="38" t="str">
        <x:f t="shared" si="84"/>
        <x:v>Final 프로젝트</x:v>
      </x:c>
      <x:c r="K935" s="38" t="str">
        <x:f t="shared" si="85"/>
        <x:v>1교육실(실습겸용강의실)</x:v>
      </x:c>
      <x:c r="L935" s="38" t="str">
        <x:f t="shared" si="86"/>
        <x:v>양현수</x:v>
      </x:c>
      <x:c r="M935" s="63"/>
      <x:c r="N935" s="30">
        <x:f>IF(F935="2","",COUNTIF($F$3:$F935,"=1"))</x:f>
        <x:v>829</x:v>
      </x:c>
      <x:c r="O935" s="30">
        <x:f t="shared" si="87"/>
        <x:v>10</x:v>
      </x:c>
      <x:c r="P935" s="30">
        <x:f t="shared" si="89"/>
        <x:v>8</x:v>
      </x:c>
      <x:c r="Q935" s="30">
        <x:f>COUNTIF($P$3:P935,"=3")</x:f>
        <x:v>104</x:v>
      </x:c>
      <x:c r="R935" s="29">
        <x:f>WORKDAY(기본입력!$H$2,Q935-1,공휴일)</x:f>
        <x:v>46079</x:v>
      </x:c>
    </x:row>
    <x:row r="936" spans="1:18">
      <x:c r="A936" s="145" t="str">
        <x:f t="shared" si="88"/>
        <x:v>20260226</x:v>
      </x:c>
      <x:c r="B936" s="8" t="s">
        <x:v>5</x:v>
      </x:c>
      <x:c r="C936" s="8">
        <x:v>1740</x:v>
      </x:c>
      <x:c r="D936" s="7" t="s">
        <x:v>1</x:v>
      </x:c>
      <x:c r="E936" s="8">
        <x:v>1440</x:v>
      </x:c>
      <x:c r="F936" s="8" t="s">
        <x:v>40</x:v>
      </x:c>
      <x:c r="G936" s="15" t="str">
        <x:f>IF(OR(N936="",N936&gt;기본입력!$C$34),"",VLOOKUP(O936,기본입력!$A$9:$F$33,5))</x:f>
        <x:v>양현수_53778</x:v>
      </x:c>
      <x:c r="H936" s="15" t="str">
        <x:f>IF(OR(N936="",N936&gt;기본입력!$C$34),"",기본입력!$C$6)</x:f>
        <x:v>1교육실(실습겸용강의실)_243089</x:v>
      </x:c>
      <x:c r="I936" s="15" t="str">
        <x:f>IF(OR(O936="",N936&gt;기본입력!$C$34),"",VLOOKUP(O936,기본입력!$A$9:$F$33,6,FALSE))</x:f>
        <x:v>Final 프로젝트__10</x:v>
      </x:c>
      <x:c r="J936" s="38" t="str">
        <x:f t="shared" si="84"/>
        <x:v>Final 프로젝트</x:v>
      </x:c>
      <x:c r="K936" s="38" t="str">
        <x:f t="shared" si="85"/>
        <x:v>1교육실(실습겸용강의실)</x:v>
      </x:c>
      <x:c r="L936" s="38" t="str">
        <x:f t="shared" si="86"/>
        <x:v>양현수</x:v>
      </x:c>
      <x:c r="M936" s="63"/>
      <x:c r="N936" s="30">
        <x:f>IF(F936="2","",COUNTIF($F$3:$F936,"=1"))</x:f>
        <x:v>830</x:v>
      </x:c>
      <x:c r="O936" s="30">
        <x:f t="shared" si="87"/>
        <x:v>10</x:v>
      </x:c>
      <x:c r="P936" s="30">
        <x:f t="shared" si="89"/>
        <x:v>0</x:v>
      </x:c>
      <x:c r="Q936" s="30">
        <x:f>COUNTIF($P$3:P936,"=3")</x:f>
        <x:v>104</x:v>
      </x:c>
      <x:c r="R936" s="29">
        <x:f>WORKDAY(기본입력!$H$2,Q936-1,공휴일)</x:f>
        <x:v>46079</x:v>
      </x:c>
    </x:row>
    <x:row r="937" spans="1:18">
      <x:c r="A937" s="145" t="str">
        <x:f t="shared" si="88"/>
        <x:v>20260226</x:v>
      </x:c>
      <x:c r="B937" s="8" t="s">
        <x:v>5</x:v>
      </x:c>
      <x:c r="C937" s="8">
        <x:v>1740</x:v>
      </x:c>
      <x:c r="D937" s="7" t="s">
        <x:v>1</x:v>
      </x:c>
      <x:c r="E937" s="8">
        <x:v>1540</x:v>
      </x:c>
      <x:c r="F937" s="8" t="s">
        <x:v>40</x:v>
      </x:c>
      <x:c r="G937" s="15" t="str">
        <x:f>IF(OR(N937="",N937&gt;기본입력!$C$34),"",VLOOKUP(O937,기본입력!$A$9:$F$33,5))</x:f>
        <x:v>양현수_53778</x:v>
      </x:c>
      <x:c r="H937" s="15" t="str">
        <x:f>IF(OR(N937="",N937&gt;기본입력!$C$34),"",기본입력!$C$6)</x:f>
        <x:v>1교육실(실습겸용강의실)_243089</x:v>
      </x:c>
      <x:c r="I937" s="15" t="str">
        <x:f>IF(OR(O937="",N937&gt;기본입력!$C$34),"",VLOOKUP(O937,기본입력!$A$9:$F$33,6,FALSE))</x:f>
        <x:v>Final 프로젝트__10</x:v>
      </x:c>
      <x:c r="J937" s="38" t="str">
        <x:f t="shared" si="84"/>
        <x:v>Final 프로젝트</x:v>
      </x:c>
      <x:c r="K937" s="38" t="str">
        <x:f t="shared" si="85"/>
        <x:v>1교육실(실습겸용강의실)</x:v>
      </x:c>
      <x:c r="L937" s="38" t="str">
        <x:f t="shared" si="86"/>
        <x:v>양현수</x:v>
      </x:c>
      <x:c r="M937" s="63"/>
      <x:c r="N937" s="30">
        <x:f>IF(F937="2","",COUNTIF($F$3:$F937,"=1"))</x:f>
        <x:v>831</x:v>
      </x:c>
      <x:c r="O937" s="30">
        <x:f t="shared" si="87"/>
        <x:v>10</x:v>
      </x:c>
      <x:c r="P937" s="30">
        <x:f t="shared" si="89"/>
        <x:v>1</x:v>
      </x:c>
      <x:c r="Q937" s="30">
        <x:f>COUNTIF($P$3:P937,"=3")</x:f>
        <x:v>104</x:v>
      </x:c>
      <x:c r="R937" s="29">
        <x:f>WORKDAY(기본입력!$H$2,Q937-1,공휴일)</x:f>
        <x:v>46079</x:v>
      </x:c>
    </x:row>
    <x:row r="938" spans="1:18">
      <x:c r="A938" s="145" t="str">
        <x:f t="shared" si="88"/>
        <x:v>20260226</x:v>
      </x:c>
      <x:c r="B938" s="8" t="s">
        <x:v>5</x:v>
      </x:c>
      <x:c r="C938" s="8">
        <x:v>1740</x:v>
      </x:c>
      <x:c r="D938" s="7" t="s">
        <x:v>1</x:v>
      </x:c>
      <x:c r="E938" s="8">
        <x:v>1640</x:v>
      </x:c>
      <x:c r="F938" s="8" t="s">
        <x:v>40</x:v>
      </x:c>
      <x:c r="G938" s="15" t="str">
        <x:f>IF(OR(N938="",N938&gt;기본입력!$C$34),"",VLOOKUP(O938,기본입력!$A$9:$F$33,5))</x:f>
        <x:v>양현수_53778</x:v>
      </x:c>
      <x:c r="H938" s="15" t="str">
        <x:f>IF(OR(N938="",N938&gt;기본입력!$C$34),"",기본입력!$C$6)</x:f>
        <x:v>1교육실(실습겸용강의실)_243089</x:v>
      </x:c>
      <x:c r="I938" s="15" t="str">
        <x:f>IF(OR(O938="",N938&gt;기본입력!$C$34),"",VLOOKUP(O938,기본입력!$A$9:$F$33,6,FALSE))</x:f>
        <x:v>Final 프로젝트__10</x:v>
      </x:c>
      <x:c r="J938" s="38" t="str">
        <x:f t="shared" si="84"/>
        <x:v>Final 프로젝트</x:v>
      </x:c>
      <x:c r="K938" s="38" t="str">
        <x:f t="shared" si="85"/>
        <x:v>1교육실(실습겸용강의실)</x:v>
      </x:c>
      <x:c r="L938" s="38" t="str">
        <x:f t="shared" si="86"/>
        <x:v>양현수</x:v>
      </x:c>
      <x:c r="M938" s="63"/>
      <x:c r="N938" s="30">
        <x:f>IF(F938="2","",COUNTIF($F$3:$F938,"=1"))</x:f>
        <x:v>832</x:v>
      </x:c>
      <x:c r="O938" s="30">
        <x:f t="shared" si="87"/>
        <x:v>10</x:v>
      </x:c>
      <x:c r="P938" s="30">
        <x:f t="shared" si="89"/>
        <x:v>2</x:v>
      </x:c>
      <x:c r="Q938" s="30">
        <x:f>COUNTIF($P$3:P938,"=3")</x:f>
        <x:v>104</x:v>
      </x:c>
      <x:c r="R938" s="29">
        <x:f>WORKDAY(기본입력!$H$2,Q938-1,공휴일)</x:f>
        <x:v>46079</x:v>
      </x:c>
    </x:row>
    <x:row r="939" spans="1:18">
      <x:c r="A939" s="144" t="str">
        <x:f t="shared" si="88"/>
        <x:v>20260227</x:v>
      </x:c>
      <x:c r="B939" s="6" t="s">
        <x:v>5</x:v>
      </x:c>
      <x:c r="C939" s="6">
        <x:v>1740</x:v>
      </x:c>
      <x:c r="D939" s="5" t="s">
        <x:v>1</x:v>
      </x:c>
      <x:c r="E939" s="6" t="s">
        <x:v>5</x:v>
      </x:c>
      <x:c r="F939" s="6" t="s">
        <x:v>40</x:v>
      </x:c>
      <x:c r="G939" s="14" t="str">
        <x:f>IF(OR(N939="",N939&gt;기본입력!$C$34),"",VLOOKUP(O939,기본입력!$A$9:$F$33,5))</x:f>
        <x:v>양현수_53778</x:v>
      </x:c>
      <x:c r="H939" s="14" t="str">
        <x:f>IF(OR(N939="",N939&gt;기본입력!$C$34),"",기본입력!$C$6)</x:f>
        <x:v>1교육실(실습겸용강의실)_243089</x:v>
      </x:c>
      <x:c r="I939" s="14" t="str">
        <x:f>IF(OR(O939="",N939&gt;기본입력!$C$34),"",VLOOKUP(O939,기본입력!$A$9:$F$33,6,FALSE))</x:f>
        <x:v>Final 프로젝트__10</x:v>
      </x:c>
      <x:c r="J939" s="38" t="str">
        <x:f t="shared" si="84"/>
        <x:v>Final 프로젝트</x:v>
      </x:c>
      <x:c r="K939" s="38" t="str">
        <x:f t="shared" si="85"/>
        <x:v>1교육실(실습겸용강의실)</x:v>
      </x:c>
      <x:c r="L939" s="38" t="str">
        <x:f t="shared" si="86"/>
        <x:v>양현수</x:v>
      </x:c>
      <x:c r="M939" s="63"/>
      <x:c r="N939" s="30">
        <x:f>IF(F939="2","",COUNTIF($F$3:$F939,"=1"))</x:f>
        <x:v>833</x:v>
      </x:c>
      <x:c r="O939" s="30">
        <x:f t="shared" si="87"/>
        <x:v>10</x:v>
      </x:c>
      <x:c r="P939" s="30">
        <x:f t="shared" si="89"/>
        <x:v>3</x:v>
      </x:c>
      <x:c r="Q939" s="30">
        <x:f>COUNTIF($P$3:P939,"=3")</x:f>
        <x:v>105</x:v>
      </x:c>
      <x:c r="R939" s="29">
        <x:f>WORKDAY(기본입력!$H$2,Q939-1,공휴일)</x:f>
        <x:v>46080</x:v>
      </x:c>
    </x:row>
    <x:row r="940" spans="1:18">
      <x:c r="A940" s="144" t="str">
        <x:f t="shared" si="88"/>
        <x:v>20260227</x:v>
      </x:c>
      <x:c r="B940" s="6" t="s">
        <x:v>5</x:v>
      </x:c>
      <x:c r="C940" s="6">
        <x:v>1740</x:v>
      </x:c>
      <x:c r="D940" s="5" t="s">
        <x:v>1</x:v>
      </x:c>
      <x:c r="E940" s="6" t="s">
        <x:v>117</x:v>
      </x:c>
      <x:c r="F940" s="6" t="s">
        <x:v>40</x:v>
      </x:c>
      <x:c r="G940" s="14" t="str">
        <x:f>IF(OR(N940="",N940&gt;기본입력!$C$34),"",VLOOKUP(O940,기본입력!$A$9:$F$33,5))</x:f>
        <x:v>양현수_53778</x:v>
      </x:c>
      <x:c r="H940" s="14" t="str">
        <x:f>IF(OR(N940="",N940&gt;기본입력!$C$34),"",기본입력!$C$6)</x:f>
        <x:v>1교육실(실습겸용강의실)_243089</x:v>
      </x:c>
      <x:c r="I940" s="14" t="str">
        <x:f>IF(OR(O940="",N940&gt;기본입력!$C$34),"",VLOOKUP(O940,기본입력!$A$9:$F$33,6,FALSE))</x:f>
        <x:v>Final 프로젝트__10</x:v>
      </x:c>
      <x:c r="J940" s="38" t="str">
        <x:f t="shared" si="84"/>
        <x:v>Final 프로젝트</x:v>
      </x:c>
      <x:c r="K940" s="38" t="str">
        <x:f t="shared" si="85"/>
        <x:v>1교육실(실습겸용강의실)</x:v>
      </x:c>
      <x:c r="L940" s="38" t="str">
        <x:f t="shared" si="86"/>
        <x:v>양현수</x:v>
      </x:c>
      <x:c r="M940" s="63"/>
      <x:c r="N940" s="30">
        <x:f>IF(F940="2","",COUNTIF($F$3:$F940,"=1"))</x:f>
        <x:v>834</x:v>
      </x:c>
      <x:c r="O940" s="30">
        <x:f t="shared" si="87"/>
        <x:v>10</x:v>
      </x:c>
      <x:c r="P940" s="30">
        <x:f t="shared" si="89"/>
        <x:v>4</x:v>
      </x:c>
      <x:c r="Q940" s="30">
        <x:f>COUNTIF($P$3:P940,"=3")</x:f>
        <x:v>105</x:v>
      </x:c>
      <x:c r="R940" s="29">
        <x:f>WORKDAY(기본입력!$H$2,Q940-1,공휴일)</x:f>
        <x:v>46080</x:v>
      </x:c>
    </x:row>
    <x:row r="941" spans="1:18">
      <x:c r="A941" s="144" t="str">
        <x:f t="shared" si="88"/>
        <x:v>20260227</x:v>
      </x:c>
      <x:c r="B941" s="6" t="s">
        <x:v>5</x:v>
      </x:c>
      <x:c r="C941" s="6">
        <x:v>1740</x:v>
      </x:c>
      <x:c r="D941" s="5" t="s">
        <x:v>1</x:v>
      </x:c>
      <x:c r="E941" s="6" t="s">
        <x:v>87</x:v>
      </x:c>
      <x:c r="F941" s="6" t="s">
        <x:v>40</x:v>
      </x:c>
      <x:c r="G941" s="14" t="str">
        <x:f>IF(OR(N941="",N941&gt;기본입력!$C$34),"",VLOOKUP(O941,기본입력!$A$9:$F$33,5))</x:f>
        <x:v>양현수_53778</x:v>
      </x:c>
      <x:c r="H941" s="14" t="str">
        <x:f>IF(OR(N941="",N941&gt;기본입력!$C$34),"",기본입력!$C$6)</x:f>
        <x:v>1교육실(실습겸용강의실)_243089</x:v>
      </x:c>
      <x:c r="I941" s="14" t="str">
        <x:f>IF(OR(O941="",N941&gt;기본입력!$C$34),"",VLOOKUP(O941,기본입력!$A$9:$F$33,6,FALSE))</x:f>
        <x:v>Final 프로젝트__10</x:v>
      </x:c>
      <x:c r="J941" s="38" t="str">
        <x:f t="shared" si="84"/>
        <x:v>Final 프로젝트</x:v>
      </x:c>
      <x:c r="K941" s="38" t="str">
        <x:f t="shared" si="85"/>
        <x:v>1교육실(실습겸용강의실)</x:v>
      </x:c>
      <x:c r="L941" s="38" t="str">
        <x:f t="shared" si="86"/>
        <x:v>양현수</x:v>
      </x:c>
      <x:c r="M941" s="63"/>
      <x:c r="N941" s="30">
        <x:f>IF(F941="2","",COUNTIF($F$3:$F941,"=1"))</x:f>
        <x:v>835</x:v>
      </x:c>
      <x:c r="O941" s="30">
        <x:f t="shared" si="87"/>
        <x:v>10</x:v>
      </x:c>
      <x:c r="P941" s="30">
        <x:f t="shared" si="89"/>
        <x:v>5</x:v>
      </x:c>
      <x:c r="Q941" s="30">
        <x:f>COUNTIF($P$3:P941,"=3")</x:f>
        <x:v>105</x:v>
      </x:c>
      <x:c r="R941" s="29">
        <x:f>WORKDAY(기본입력!$H$2,Q941-1,공휴일)</x:f>
        <x:v>46080</x:v>
      </x:c>
    </x:row>
    <x:row r="942" spans="1:18">
      <x:c r="A942" s="144" t="str">
        <x:f t="shared" si="88"/>
        <x:v>20260227</x:v>
      </x:c>
      <x:c r="B942" s="6" t="s">
        <x:v>5</x:v>
      </x:c>
      <x:c r="C942" s="6">
        <x:v>1740</x:v>
      </x:c>
      <x:c r="D942" s="5" t="s">
        <x:v>1</x:v>
      </x:c>
      <x:c r="E942" s="6" t="s">
        <x:v>88</x:v>
      </x:c>
      <x:c r="F942" s="6" t="s">
        <x:v>40</x:v>
      </x:c>
      <x:c r="G942" s="14" t="str">
        <x:f>IF(OR(N942="",N942&gt;기본입력!$C$34),"",VLOOKUP(O942,기본입력!$A$9:$F$33,5))</x:f>
        <x:v>양현수_53778</x:v>
      </x:c>
      <x:c r="H942" s="14" t="str">
        <x:f>IF(OR(N942="",N942&gt;기본입력!$C$34),"",기본입력!$C$6)</x:f>
        <x:v>1교육실(실습겸용강의실)_243089</x:v>
      </x:c>
      <x:c r="I942" s="14" t="str">
        <x:f>IF(OR(O942="",N942&gt;기본입력!$C$34),"",VLOOKUP(O942,기본입력!$A$9:$F$33,6,FALSE))</x:f>
        <x:v>Final 프로젝트__10</x:v>
      </x:c>
      <x:c r="J942" s="38" t="str">
        <x:f t="shared" si="84"/>
        <x:v>Final 프로젝트</x:v>
      </x:c>
      <x:c r="K942" s="38" t="str">
        <x:f t="shared" si="85"/>
        <x:v>1교육실(실습겸용강의실)</x:v>
      </x:c>
      <x:c r="L942" s="38" t="str">
        <x:f t="shared" si="86"/>
        <x:v>양현수</x:v>
      </x:c>
      <x:c r="M942" s="63"/>
      <x:c r="N942" s="30">
        <x:f>IF(F942="2","",COUNTIF($F$3:$F942,"=1"))</x:f>
        <x:v>836</x:v>
      </x:c>
      <x:c r="O942" s="30">
        <x:f t="shared" si="87"/>
        <x:v>10</x:v>
      </x:c>
      <x:c r="P942" s="30">
        <x:f t="shared" si="89"/>
        <x:v>6</x:v>
      </x:c>
      <x:c r="Q942" s="30">
        <x:f>COUNTIF($P$3:P942,"=3")</x:f>
        <x:v>105</x:v>
      </x:c>
      <x:c r="R942" s="29">
        <x:f>WORKDAY(기본입력!$H$2,Q942-1,공휴일)</x:f>
        <x:v>46080</x:v>
      </x:c>
    </x:row>
    <x:row r="943" spans="1:18">
      <x:c r="A943" s="144" t="str">
        <x:f t="shared" si="88"/>
        <x:v>20260227</x:v>
      </x:c>
      <x:c r="B943" s="6" t="s">
        <x:v>5</x:v>
      </x:c>
      <x:c r="C943" s="6">
        <x:v>1740</x:v>
      </x:c>
      <x:c r="D943" s="5" t="s">
        <x:v>1</x:v>
      </x:c>
      <x:c r="E943" s="6" t="s">
        <x:v>0</x:v>
      </x:c>
      <x:c r="F943" s="6" t="s">
        <x:v>41</x:v>
      </x:c>
      <x:c r="G943" s="14" t="str">
        <x:f>IF(OR(N943="",N943&gt;기본입력!$C$34),"",VLOOKUP(O943,기본입력!$A$9:$F$33,5))</x:f>
        <x:v/>
      </x:c>
      <x:c r="H943" s="14" t="str">
        <x:f>IF(OR(N943="",N943&gt;기본입력!$C$34),"",기본입력!$C$6)</x:f>
        <x:v/>
      </x:c>
      <x:c r="I943" s="14" t="str">
        <x:f>IF(OR(O943="",N943&gt;기본입력!$C$34),"",VLOOKUP(O943,기본입력!$A$9:$F$33,6,FALSE))</x:f>
        <x:v/>
      </x:c>
      <x:c r="J943" s="38" t="str">
        <x:f t="shared" si="84"/>
        <x:v/>
      </x:c>
      <x:c r="K943" s="38" t="str">
        <x:f t="shared" si="85"/>
        <x:v/>
      </x:c>
      <x:c r="L943" s="38" t="str">
        <x:f t="shared" si="86"/>
        <x:v/>
      </x:c>
      <x:c r="M943" s="63"/>
      <x:c r="N943" s="30" t="str">
        <x:f>IF(F943="2","",COUNTIF($F$3:$F943,"=1"))</x:f>
        <x:v/>
      </x:c>
      <x:c r="O943" s="30" t="str">
        <x:f t="shared" si="87"/>
        <x:v/>
      </x:c>
      <x:c r="P943" s="30">
        <x:f t="shared" si="89"/>
        <x:v>7</x:v>
      </x:c>
      <x:c r="Q943" s="30">
        <x:f>COUNTIF($P$3:P943,"=3")</x:f>
        <x:v>105</x:v>
      </x:c>
      <x:c r="R943" s="29">
        <x:f>WORKDAY(기본입력!$H$2,Q943-1,공휴일)</x:f>
        <x:v>46080</x:v>
      </x:c>
    </x:row>
    <x:row r="944" spans="1:18">
      <x:c r="A944" s="144" t="str">
        <x:f t="shared" si="88"/>
        <x:v>20260227</x:v>
      </x:c>
      <x:c r="B944" s="6" t="s">
        <x:v>5</x:v>
      </x:c>
      <x:c r="C944" s="6">
        <x:v>1740</x:v>
      </x:c>
      <x:c r="D944" s="5" t="s">
        <x:v>1</x:v>
      </x:c>
      <x:c r="E944" s="6">
        <x:v>1340</x:v>
      </x:c>
      <x:c r="F944" s="6" t="s">
        <x:v>40</x:v>
      </x:c>
      <x:c r="G944" s="14" t="str">
        <x:f>IF(OR(N944="",N944&gt;기본입력!$C$34),"",VLOOKUP(O944,기본입력!$A$9:$F$33,5))</x:f>
        <x:v>양현수_53778</x:v>
      </x:c>
      <x:c r="H944" s="14" t="str">
        <x:f>IF(OR(N944="",N944&gt;기본입력!$C$34),"",기본입력!$C$6)</x:f>
        <x:v>1교육실(실습겸용강의실)_243089</x:v>
      </x:c>
      <x:c r="I944" s="14" t="str">
        <x:f>IF(OR(O944="",N944&gt;기본입력!$C$34),"",VLOOKUP(O944,기본입력!$A$9:$F$33,6,FALSE))</x:f>
        <x:v>Final 프로젝트__10</x:v>
      </x:c>
      <x:c r="J944" s="38" t="str">
        <x:f t="shared" si="84"/>
        <x:v>Final 프로젝트</x:v>
      </x:c>
      <x:c r="K944" s="38" t="str">
        <x:f t="shared" si="85"/>
        <x:v>1교육실(실습겸용강의실)</x:v>
      </x:c>
      <x:c r="L944" s="38" t="str">
        <x:f t="shared" si="86"/>
        <x:v>양현수</x:v>
      </x:c>
      <x:c r="M944" s="63"/>
      <x:c r="N944" s="30">
        <x:f>IF(F944="2","",COUNTIF($F$3:$F944,"=1"))</x:f>
        <x:v>837</x:v>
      </x:c>
      <x:c r="O944" s="30">
        <x:f t="shared" si="87"/>
        <x:v>10</x:v>
      </x:c>
      <x:c r="P944" s="30">
        <x:f t="shared" si="89"/>
        <x:v>8</x:v>
      </x:c>
      <x:c r="Q944" s="30">
        <x:f>COUNTIF($P$3:P944,"=3")</x:f>
        <x:v>105</x:v>
      </x:c>
      <x:c r="R944" s="29">
        <x:f>WORKDAY(기본입력!$H$2,Q944-1,공휴일)</x:f>
        <x:v>46080</x:v>
      </x:c>
    </x:row>
    <x:row r="945" spans="1:18">
      <x:c r="A945" s="144" t="str">
        <x:f t="shared" si="88"/>
        <x:v>20260227</x:v>
      </x:c>
      <x:c r="B945" s="6" t="s">
        <x:v>5</x:v>
      </x:c>
      <x:c r="C945" s="6">
        <x:v>1740</x:v>
      </x:c>
      <x:c r="D945" s="5" t="s">
        <x:v>1</x:v>
      </x:c>
      <x:c r="E945" s="6">
        <x:v>1440</x:v>
      </x:c>
      <x:c r="F945" s="6" t="s">
        <x:v>40</x:v>
      </x:c>
      <x:c r="G945" s="14" t="str">
        <x:f>IF(OR(N945="",N945&gt;기본입력!$C$34),"",VLOOKUP(O945,기본입력!$A$9:$F$33,5))</x:f>
        <x:v>양현수_53778</x:v>
      </x:c>
      <x:c r="H945" s="14" t="str">
        <x:f>IF(OR(N945="",N945&gt;기본입력!$C$34),"",기본입력!$C$6)</x:f>
        <x:v>1교육실(실습겸용강의실)_243089</x:v>
      </x:c>
      <x:c r="I945" s="14" t="str">
        <x:f>IF(OR(O945="",N945&gt;기본입력!$C$34),"",VLOOKUP(O945,기본입력!$A$9:$F$33,6,FALSE))</x:f>
        <x:v>Final 프로젝트__10</x:v>
      </x:c>
      <x:c r="J945" s="38" t="str">
        <x:f t="shared" si="84"/>
        <x:v>Final 프로젝트</x:v>
      </x:c>
      <x:c r="K945" s="38" t="str">
        <x:f t="shared" si="85"/>
        <x:v>1교육실(실습겸용강의실)</x:v>
      </x:c>
      <x:c r="L945" s="38" t="str">
        <x:f t="shared" si="86"/>
        <x:v>양현수</x:v>
      </x:c>
      <x:c r="M945" s="63"/>
      <x:c r="N945" s="30">
        <x:f>IF(F945="2","",COUNTIF($F$3:$F945,"=1"))</x:f>
        <x:v>838</x:v>
      </x:c>
      <x:c r="O945" s="30">
        <x:f t="shared" si="87"/>
        <x:v>10</x:v>
      </x:c>
      <x:c r="P945" s="30">
        <x:f t="shared" si="89"/>
        <x:v>0</x:v>
      </x:c>
      <x:c r="Q945" s="30">
        <x:f>COUNTIF($P$3:P945,"=3")</x:f>
        <x:v>105</x:v>
      </x:c>
      <x:c r="R945" s="29">
        <x:f>WORKDAY(기본입력!$H$2,Q945-1,공휴일)</x:f>
        <x:v>46080</x:v>
      </x:c>
    </x:row>
    <x:row r="946" spans="1:18">
      <x:c r="A946" s="144" t="str">
        <x:f t="shared" si="88"/>
        <x:v>20260227</x:v>
      </x:c>
      <x:c r="B946" s="6" t="s">
        <x:v>5</x:v>
      </x:c>
      <x:c r="C946" s="6">
        <x:v>1740</x:v>
      </x:c>
      <x:c r="D946" s="5" t="s">
        <x:v>1</x:v>
      </x:c>
      <x:c r="E946" s="6">
        <x:v>1540</x:v>
      </x:c>
      <x:c r="F946" s="6" t="s">
        <x:v>40</x:v>
      </x:c>
      <x:c r="G946" s="14" t="str">
        <x:f>IF(OR(N946="",N946&gt;기본입력!$C$34),"",VLOOKUP(O946,기본입력!$A$9:$F$33,5))</x:f>
        <x:v>양현수_53778</x:v>
      </x:c>
      <x:c r="H946" s="14" t="str">
        <x:f>IF(OR(N946="",N946&gt;기본입력!$C$34),"",기본입력!$C$6)</x:f>
        <x:v>1교육실(실습겸용강의실)_243089</x:v>
      </x:c>
      <x:c r="I946" s="14" t="str">
        <x:f>IF(OR(O946="",N946&gt;기본입력!$C$34),"",VLOOKUP(O946,기본입력!$A$9:$F$33,6,FALSE))</x:f>
        <x:v>Final 프로젝트__10</x:v>
      </x:c>
      <x:c r="J946" s="38" t="str">
        <x:f t="shared" ref="J946:J1011" si="90">IF(F946="2","",LEFT(I946,FIND("_",I946,2)-1))</x:f>
        <x:v>Final 프로젝트</x:v>
      </x:c>
      <x:c r="K946" s="38" t="str">
        <x:f t="shared" ref="K946:K1011" si="91">IF(F946="2","",LEFT(H946,FIND("_",H946,2)-1))</x:f>
        <x:v>1교육실(실습겸용강의실)</x:v>
      </x:c>
      <x:c r="L946" s="38" t="str">
        <x:f t="shared" ref="L946:L1011" si="92">IF(F946="2","",LEFT(G946,FIND("_",G946,2)-1))</x:f>
        <x:v>양현수</x:v>
      </x:c>
      <x:c r="M946" s="63"/>
      <x:c r="N946" s="30">
        <x:f>IF(F946="2","",COUNTIF($F$3:$F946,"=1"))</x:f>
        <x:v>839</x:v>
      </x:c>
      <x:c r="O946" s="30">
        <x:f t="shared" si="87"/>
        <x:v>10</x:v>
      </x:c>
      <x:c r="P946" s="30">
        <x:f t="shared" si="89"/>
        <x:v>1</x:v>
      </x:c>
      <x:c r="Q946" s="30">
        <x:f>COUNTIF($P$3:P946,"=3")</x:f>
        <x:v>105</x:v>
      </x:c>
      <x:c r="R946" s="29">
        <x:f>WORKDAY(기본입력!$H$2,Q946-1,공휴일)</x:f>
        <x:v>46080</x:v>
      </x:c>
    </x:row>
    <x:row r="947" spans="1:18">
      <x:c r="A947" s="144" t="str">
        <x:f t="shared" si="88"/>
        <x:v>20260227</x:v>
      </x:c>
      <x:c r="B947" s="6" t="s">
        <x:v>5</x:v>
      </x:c>
      <x:c r="C947" s="6">
        <x:v>1740</x:v>
      </x:c>
      <x:c r="D947" s="5" t="s">
        <x:v>1</x:v>
      </x:c>
      <x:c r="E947" s="6">
        <x:v>1640</x:v>
      </x:c>
      <x:c r="F947" s="6" t="s">
        <x:v>40</x:v>
      </x:c>
      <x:c r="G947" s="14" t="str">
        <x:f>IF(OR(N947="",N947&gt;기본입력!$C$34),"",VLOOKUP(O947,기본입력!$A$9:$F$33,5))</x:f>
        <x:v>양현수_53778</x:v>
      </x:c>
      <x:c r="H947" s="14" t="str">
        <x:f>IF(OR(N947="",N947&gt;기본입력!$C$34),"",기본입력!$C$6)</x:f>
        <x:v>1교육실(실습겸용강의실)_243089</x:v>
      </x:c>
      <x:c r="I947" s="14" t="str">
        <x:f>IF(OR(O947="",N947&gt;기본입력!$C$34),"",VLOOKUP(O947,기본입력!$A$9:$F$33,6,FALSE))</x:f>
        <x:v>Final 프로젝트__10</x:v>
      </x:c>
      <x:c r="J947" s="38" t="str">
        <x:f t="shared" si="90"/>
        <x:v>Final 프로젝트</x:v>
      </x:c>
      <x:c r="K947" s="38" t="str">
        <x:f t="shared" si="91"/>
        <x:v>1교육실(실습겸용강의실)</x:v>
      </x:c>
      <x:c r="L947" s="38" t="str">
        <x:f t="shared" si="92"/>
        <x:v>양현수</x:v>
      </x:c>
      <x:c r="M947" s="63"/>
      <x:c r="N947" s="30">
        <x:f>IF(F947="2","",COUNTIF($F$3:$F947,"=1"))</x:f>
        <x:v>840</x:v>
      </x:c>
      <x:c r="O947" s="30">
        <x:f t="shared" si="87"/>
        <x:v>10</x:v>
      </x:c>
      <x:c r="P947" s="30">
        <x:f t="shared" si="89"/>
        <x:v>2</x:v>
      </x:c>
      <x:c r="Q947" s="30">
        <x:f>COUNTIF($P$3:P947,"=3")</x:f>
        <x:v>105</x:v>
      </x:c>
      <x:c r="R947" s="29">
        <x:f>WORKDAY(기본입력!$H$2,Q947-1,공휴일)</x:f>
        <x:v>46080</x:v>
      </x:c>
    </x:row>
    <x:row r="948" spans="1:18">
      <x:c r="A948" s="145" t="str">
        <x:f t="shared" si="88"/>
        <x:v>20260303</x:v>
      </x:c>
      <x:c r="B948" s="8" t="s">
        <x:v>5</x:v>
      </x:c>
      <x:c r="C948" s="8">
        <x:v>1740</x:v>
      </x:c>
      <x:c r="D948" s="7" t="s">
        <x:v>1</x:v>
      </x:c>
      <x:c r="E948" s="8" t="s">
        <x:v>5</x:v>
      </x:c>
      <x:c r="F948" s="8" t="s">
        <x:v>40</x:v>
      </x:c>
      <x:c r="G948" s="15" t="str">
        <x:f>IF(OR(N948="",N948&gt;기본입력!$C$34),"",VLOOKUP(O948,기본입력!$A$9:$F$33,5))</x:f>
        <x:v>양현수_53778</x:v>
      </x:c>
      <x:c r="H948" s="15" t="str">
        <x:f>IF(OR(N948="",N948&gt;기본입력!$C$34),"",기본입력!$C$6)</x:f>
        <x:v>1교육실(실습겸용강의실)_243089</x:v>
      </x:c>
      <x:c r="I948" s="15" t="str">
        <x:f>IF(OR(O948="",N948&gt;기본입력!$C$34),"",VLOOKUP(O948,기본입력!$A$9:$F$33,6,FALSE))</x:f>
        <x:v>Final 프로젝트__10</x:v>
      </x:c>
      <x:c r="J948" s="38" t="str">
        <x:f t="shared" si="90"/>
        <x:v>Final 프로젝트</x:v>
      </x:c>
      <x:c r="K948" s="38" t="str">
        <x:f t="shared" si="91"/>
        <x:v>1교육실(실습겸용강의실)</x:v>
      </x:c>
      <x:c r="L948" s="38" t="str">
        <x:f t="shared" si="92"/>
        <x:v>양현수</x:v>
      </x:c>
      <x:c r="M948" s="63"/>
      <x:c r="N948" s="30">
        <x:f>IF(F948="2","",COUNTIF($F$3:$F948,"=1"))</x:f>
        <x:v>841</x:v>
      </x:c>
      <x:c r="O948" s="30">
        <x:f t="shared" si="87"/>
        <x:v>10</x:v>
      </x:c>
      <x:c r="P948" s="30">
        <x:f t="shared" si="89"/>
        <x:v>3</x:v>
      </x:c>
      <x:c r="Q948" s="30">
        <x:f>COUNTIF($P$3:P948,"=3")</x:f>
        <x:v>106</x:v>
      </x:c>
      <x:c r="R948" s="29">
        <x:f>WORKDAY(기본입력!$H$2,Q948-1,공휴일)</x:f>
        <x:v>46084</x:v>
      </x:c>
    </x:row>
    <x:row r="949" spans="1:18">
      <x:c r="A949" s="145" t="str">
        <x:f t="shared" si="88"/>
        <x:v>20260303</x:v>
      </x:c>
      <x:c r="B949" s="8" t="s">
        <x:v>5</x:v>
      </x:c>
      <x:c r="C949" s="8">
        <x:v>1740</x:v>
      </x:c>
      <x:c r="D949" s="7" t="s">
        <x:v>1</x:v>
      </x:c>
      <x:c r="E949" s="8" t="s">
        <x:v>117</x:v>
      </x:c>
      <x:c r="F949" s="8" t="s">
        <x:v>40</x:v>
      </x:c>
      <x:c r="G949" s="15" t="str">
        <x:f>IF(OR(N949="",N949&gt;기본입력!$C$34),"",VLOOKUP(O949,기본입력!$A$9:$F$33,5))</x:f>
        <x:v>양현수_53778</x:v>
      </x:c>
      <x:c r="H949" s="15" t="str">
        <x:f>IF(OR(N949="",N949&gt;기본입력!$C$34),"",기본입력!$C$6)</x:f>
        <x:v>1교육실(실습겸용강의실)_243089</x:v>
      </x:c>
      <x:c r="I949" s="15" t="str">
        <x:f>IF(OR(O949="",N949&gt;기본입력!$C$34),"",VLOOKUP(O949,기본입력!$A$9:$F$33,6,FALSE))</x:f>
        <x:v>Final 프로젝트__10</x:v>
      </x:c>
      <x:c r="J949" s="38" t="str">
        <x:f t="shared" si="90"/>
        <x:v>Final 프로젝트</x:v>
      </x:c>
      <x:c r="K949" s="38" t="str">
        <x:f t="shared" si="91"/>
        <x:v>1교육실(실습겸용강의실)</x:v>
      </x:c>
      <x:c r="L949" s="38" t="str">
        <x:f t="shared" si="92"/>
        <x:v>양현수</x:v>
      </x:c>
      <x:c r="M949" s="63"/>
      <x:c r="N949" s="30">
        <x:f>IF(F949="2","",COUNTIF($F$3:$F949,"=1"))</x:f>
        <x:v>842</x:v>
      </x:c>
      <x:c r="O949" s="30">
        <x:f t="shared" si="87"/>
        <x:v>10</x:v>
      </x:c>
      <x:c r="P949" s="30">
        <x:f t="shared" si="89"/>
        <x:v>4</x:v>
      </x:c>
      <x:c r="Q949" s="30">
        <x:f>COUNTIF($P$3:P949,"=3")</x:f>
        <x:v>106</x:v>
      </x:c>
      <x:c r="R949" s="29">
        <x:f>WORKDAY(기본입력!$H$2,Q949-1,공휴일)</x:f>
        <x:v>46084</x:v>
      </x:c>
    </x:row>
    <x:row r="950" spans="1:18">
      <x:c r="A950" s="145" t="str">
        <x:f t="shared" si="88"/>
        <x:v>20260303</x:v>
      </x:c>
      <x:c r="B950" s="8" t="s">
        <x:v>5</x:v>
      </x:c>
      <x:c r="C950" s="8">
        <x:v>1740</x:v>
      </x:c>
      <x:c r="D950" s="7" t="s">
        <x:v>1</x:v>
      </x:c>
      <x:c r="E950" s="8" t="s">
        <x:v>87</x:v>
      </x:c>
      <x:c r="F950" s="8" t="s">
        <x:v>40</x:v>
      </x:c>
      <x:c r="G950" s="15" t="str">
        <x:f>IF(OR(N950="",N950&gt;기본입력!$C$34),"",VLOOKUP(O950,기본입력!$A$9:$F$33,5))</x:f>
        <x:v>양현수_53778</x:v>
      </x:c>
      <x:c r="H950" s="15" t="str">
        <x:f>IF(OR(N950="",N950&gt;기본입력!$C$34),"",기본입력!$C$6)</x:f>
        <x:v>1교육실(실습겸용강의실)_243089</x:v>
      </x:c>
      <x:c r="I950" s="15" t="str">
        <x:f>IF(OR(O950="",N950&gt;기본입력!$C$34),"",VLOOKUP(O950,기본입력!$A$9:$F$33,6,FALSE))</x:f>
        <x:v>Final 프로젝트__10</x:v>
      </x:c>
      <x:c r="J950" s="38" t="str">
        <x:f t="shared" si="90"/>
        <x:v>Final 프로젝트</x:v>
      </x:c>
      <x:c r="K950" s="38" t="str">
        <x:f t="shared" si="91"/>
        <x:v>1교육실(실습겸용강의실)</x:v>
      </x:c>
      <x:c r="L950" s="38" t="str">
        <x:f t="shared" si="92"/>
        <x:v>양현수</x:v>
      </x:c>
      <x:c r="M950" s="63"/>
      <x:c r="N950" s="30">
        <x:f>IF(F950="2","",COUNTIF($F$3:$F950,"=1"))</x:f>
        <x:v>843</x:v>
      </x:c>
      <x:c r="O950" s="30">
        <x:f t="shared" si="87"/>
        <x:v>10</x:v>
      </x:c>
      <x:c r="P950" s="30">
        <x:f t="shared" si="89"/>
        <x:v>5</x:v>
      </x:c>
      <x:c r="Q950" s="30">
        <x:f>COUNTIF($P$3:P950,"=3")</x:f>
        <x:v>106</x:v>
      </x:c>
      <x:c r="R950" s="29">
        <x:f>WORKDAY(기본입력!$H$2,Q950-1,공휴일)</x:f>
        <x:v>46084</x:v>
      </x:c>
    </x:row>
    <x:row r="951" spans="1:18">
      <x:c r="A951" s="145" t="str">
        <x:f t="shared" si="88"/>
        <x:v>20260303</x:v>
      </x:c>
      <x:c r="B951" s="8" t="s">
        <x:v>5</x:v>
      </x:c>
      <x:c r="C951" s="8">
        <x:v>1740</x:v>
      </x:c>
      <x:c r="D951" s="7" t="s">
        <x:v>1</x:v>
      </x:c>
      <x:c r="E951" s="8" t="s">
        <x:v>88</x:v>
      </x:c>
      <x:c r="F951" s="8" t="s">
        <x:v>40</x:v>
      </x:c>
      <x:c r="G951" s="15" t="str">
        <x:f>IF(OR(N951="",N951&gt;기본입력!$C$34),"",VLOOKUP(O951,기본입력!$A$9:$F$33,5))</x:f>
        <x:v>양현수_53778</x:v>
      </x:c>
      <x:c r="H951" s="15" t="str">
        <x:f>IF(OR(N951="",N951&gt;기본입력!$C$34),"",기본입력!$C$6)</x:f>
        <x:v>1교육실(실습겸용강의실)_243089</x:v>
      </x:c>
      <x:c r="I951" s="15" t="str">
        <x:f>IF(OR(O951="",N951&gt;기본입력!$C$34),"",VLOOKUP(O951,기본입력!$A$9:$F$33,6,FALSE))</x:f>
        <x:v>Final 프로젝트__10</x:v>
      </x:c>
      <x:c r="J951" s="38" t="str">
        <x:f t="shared" si="90"/>
        <x:v>Final 프로젝트</x:v>
      </x:c>
      <x:c r="K951" s="38" t="str">
        <x:f t="shared" si="91"/>
        <x:v>1교육실(실습겸용강의실)</x:v>
      </x:c>
      <x:c r="L951" s="38" t="str">
        <x:f t="shared" si="92"/>
        <x:v>양현수</x:v>
      </x:c>
      <x:c r="M951" s="63"/>
      <x:c r="N951" s="30">
        <x:f>IF(F951="2","",COUNTIF($F$3:$F951,"=1"))</x:f>
        <x:v>844</x:v>
      </x:c>
      <x:c r="O951" s="30">
        <x:f t="shared" si="87"/>
        <x:v>10</x:v>
      </x:c>
      <x:c r="P951" s="30">
        <x:f t="shared" si="89"/>
        <x:v>6</x:v>
      </x:c>
      <x:c r="Q951" s="30">
        <x:f>COUNTIF($P$3:P951,"=3")</x:f>
        <x:v>106</x:v>
      </x:c>
      <x:c r="R951" s="29">
        <x:f>WORKDAY(기본입력!$H$2,Q951-1,공휴일)</x:f>
        <x:v>46084</x:v>
      </x:c>
    </x:row>
    <x:row r="952" spans="1:18">
      <x:c r="A952" s="145" t="str">
        <x:f t="shared" si="88"/>
        <x:v>20260303</x:v>
      </x:c>
      <x:c r="B952" s="8" t="s">
        <x:v>5</x:v>
      </x:c>
      <x:c r="C952" s="8">
        <x:v>1740</x:v>
      </x:c>
      <x:c r="D952" s="7" t="s">
        <x:v>1</x:v>
      </x:c>
      <x:c r="E952" s="8" t="s">
        <x:v>0</x:v>
      </x:c>
      <x:c r="F952" s="8" t="s">
        <x:v>41</x:v>
      </x:c>
      <x:c r="G952" s="15" t="str">
        <x:f>IF(OR(N952="",N952&gt;기본입력!$C$34),"",VLOOKUP(O952,기본입력!$A$9:$F$33,5))</x:f>
        <x:v/>
      </x:c>
      <x:c r="H952" s="15" t="str">
        <x:f>IF(OR(N952="",N952&gt;기본입력!$C$34),"",기본입력!$C$6)</x:f>
        <x:v/>
      </x:c>
      <x:c r="I952" s="15" t="str">
        <x:f>IF(OR(O952="",N952&gt;기본입력!$C$34),"",VLOOKUP(O952,기본입력!$A$9:$F$33,6,FALSE))</x:f>
        <x:v/>
      </x:c>
      <x:c r="J952" s="38" t="str">
        <x:f t="shared" si="90"/>
        <x:v/>
      </x:c>
      <x:c r="K952" s="38" t="str">
        <x:f t="shared" si="91"/>
        <x:v/>
      </x:c>
      <x:c r="L952" s="38" t="str">
        <x:f t="shared" si="92"/>
        <x:v/>
      </x:c>
      <x:c r="M952" s="63"/>
      <x:c r="N952" s="30" t="str">
        <x:f>IF(F952="2","",COUNTIF($F$3:$F952,"=1"))</x:f>
        <x:v/>
      </x:c>
      <x:c r="O952" s="30" t="str">
        <x:f t="shared" si="87"/>
        <x:v/>
      </x:c>
      <x:c r="P952" s="30">
        <x:f t="shared" si="89"/>
        <x:v>7</x:v>
      </x:c>
      <x:c r="Q952" s="30">
        <x:f>COUNTIF($P$3:P952,"=3")</x:f>
        <x:v>106</x:v>
      </x:c>
      <x:c r="R952" s="29">
        <x:f>WORKDAY(기본입력!$H$2,Q952-1,공휴일)</x:f>
        <x:v>46084</x:v>
      </x:c>
    </x:row>
    <x:row r="953" spans="1:18">
      <x:c r="A953" s="145" t="str">
        <x:f t="shared" si="88"/>
        <x:v>20260303</x:v>
      </x:c>
      <x:c r="B953" s="8" t="s">
        <x:v>5</x:v>
      </x:c>
      <x:c r="C953" s="8">
        <x:v>1740</x:v>
      </x:c>
      <x:c r="D953" s="7" t="s">
        <x:v>1</x:v>
      </x:c>
      <x:c r="E953" s="8">
        <x:v>1340</x:v>
      </x:c>
      <x:c r="F953" s="8" t="s">
        <x:v>40</x:v>
      </x:c>
      <x:c r="G953" s="15" t="str">
        <x:f>IF(OR(N953="",N953&gt;기본입력!$C$34),"",VLOOKUP(O953,기본입력!$A$9:$F$33,5))</x:f>
        <x:v>양현수_53778</x:v>
      </x:c>
      <x:c r="H953" s="15" t="str">
        <x:f>IF(OR(N953="",N953&gt;기본입력!$C$34),"",기본입력!$C$6)</x:f>
        <x:v>1교육실(실습겸용강의실)_243089</x:v>
      </x:c>
      <x:c r="I953" s="15" t="str">
        <x:f>IF(OR(O953="",N953&gt;기본입력!$C$34),"",VLOOKUP(O953,기본입력!$A$9:$F$33,6,FALSE))</x:f>
        <x:v>Final 프로젝트__10</x:v>
      </x:c>
      <x:c r="J953" s="38" t="str">
        <x:f t="shared" si="90"/>
        <x:v>Final 프로젝트</x:v>
      </x:c>
      <x:c r="K953" s="38" t="str">
        <x:f t="shared" si="91"/>
        <x:v>1교육실(실습겸용강의실)</x:v>
      </x:c>
      <x:c r="L953" s="38" t="str">
        <x:f t="shared" si="92"/>
        <x:v>양현수</x:v>
      </x:c>
      <x:c r="M953" s="63"/>
      <x:c r="N953" s="30">
        <x:f>IF(F953="2","",COUNTIF($F$3:$F953,"=1"))</x:f>
        <x:v>845</x:v>
      </x:c>
      <x:c r="O953" s="30">
        <x:f t="shared" si="87"/>
        <x:v>10</x:v>
      </x:c>
      <x:c r="P953" s="30">
        <x:f t="shared" si="89"/>
        <x:v>8</x:v>
      </x:c>
      <x:c r="Q953" s="30">
        <x:f>COUNTIF($P$3:P953,"=3")</x:f>
        <x:v>106</x:v>
      </x:c>
      <x:c r="R953" s="29">
        <x:f>WORKDAY(기본입력!$H$2,Q953-1,공휴일)</x:f>
        <x:v>46084</x:v>
      </x:c>
    </x:row>
    <x:row r="954" spans="1:18">
      <x:c r="A954" s="145" t="str">
        <x:f t="shared" si="88"/>
        <x:v>20260303</x:v>
      </x:c>
      <x:c r="B954" s="8" t="s">
        <x:v>5</x:v>
      </x:c>
      <x:c r="C954" s="8">
        <x:v>1740</x:v>
      </x:c>
      <x:c r="D954" s="7" t="s">
        <x:v>1</x:v>
      </x:c>
      <x:c r="E954" s="8">
        <x:v>1440</x:v>
      </x:c>
      <x:c r="F954" s="8" t="s">
        <x:v>40</x:v>
      </x:c>
      <x:c r="G954" s="15" t="str">
        <x:f>IF(OR(N954="",N954&gt;기본입력!$C$34),"",VLOOKUP(O954,기본입력!$A$9:$F$33,5))</x:f>
        <x:v>양현수_53778</x:v>
      </x:c>
      <x:c r="H954" s="15" t="str">
        <x:f>IF(OR(N954="",N954&gt;기본입력!$C$34),"",기본입력!$C$6)</x:f>
        <x:v>1교육실(실습겸용강의실)_243089</x:v>
      </x:c>
      <x:c r="I954" s="15" t="str">
        <x:f>IF(OR(O954="",N954&gt;기본입력!$C$34),"",VLOOKUP(O954,기본입력!$A$9:$F$33,6,FALSE))</x:f>
        <x:v>Final 프로젝트__10</x:v>
      </x:c>
      <x:c r="J954" s="38" t="str">
        <x:f t="shared" si="90"/>
        <x:v>Final 프로젝트</x:v>
      </x:c>
      <x:c r="K954" s="38" t="str">
        <x:f t="shared" si="91"/>
        <x:v>1교육실(실습겸용강의실)</x:v>
      </x:c>
      <x:c r="L954" s="38" t="str">
        <x:f t="shared" si="92"/>
        <x:v>양현수</x:v>
      </x:c>
      <x:c r="M954" s="63"/>
      <x:c r="N954" s="30">
        <x:f>IF(F954="2","",COUNTIF($F$3:$F954,"=1"))</x:f>
        <x:v>846</x:v>
      </x:c>
      <x:c r="O954" s="30">
        <x:f t="shared" si="87"/>
        <x:v>10</x:v>
      </x:c>
      <x:c r="P954" s="30">
        <x:f t="shared" si="89"/>
        <x:v>0</x:v>
      </x:c>
      <x:c r="Q954" s="30">
        <x:f>COUNTIF($P$3:P954,"=3")</x:f>
        <x:v>106</x:v>
      </x:c>
      <x:c r="R954" s="29">
        <x:f>WORKDAY(기본입력!$H$2,Q954-1,공휴일)</x:f>
        <x:v>46084</x:v>
      </x:c>
    </x:row>
    <x:row r="955" spans="1:18">
      <x:c r="A955" s="145" t="str">
        <x:f t="shared" si="88"/>
        <x:v>20260303</x:v>
      </x:c>
      <x:c r="B955" s="8" t="s">
        <x:v>5</x:v>
      </x:c>
      <x:c r="C955" s="8">
        <x:v>1740</x:v>
      </x:c>
      <x:c r="D955" s="7" t="s">
        <x:v>1</x:v>
      </x:c>
      <x:c r="E955" s="8">
        <x:v>1540</x:v>
      </x:c>
      <x:c r="F955" s="8" t="s">
        <x:v>40</x:v>
      </x:c>
      <x:c r="G955" s="15" t="str">
        <x:f>IF(OR(N955="",N955&gt;기본입력!$C$34),"",VLOOKUP(O955,기본입력!$A$9:$F$33,5))</x:f>
        <x:v>양현수_53778</x:v>
      </x:c>
      <x:c r="H955" s="15" t="str">
        <x:f>IF(OR(N955="",N955&gt;기본입력!$C$34),"",기본입력!$C$6)</x:f>
        <x:v>1교육실(실습겸용강의실)_243089</x:v>
      </x:c>
      <x:c r="I955" s="15" t="str">
        <x:f>IF(OR(O955="",N955&gt;기본입력!$C$34),"",VLOOKUP(O955,기본입력!$A$9:$F$33,6,FALSE))</x:f>
        <x:v>Final 프로젝트__10</x:v>
      </x:c>
      <x:c r="J955" s="38" t="str">
        <x:f t="shared" si="90"/>
        <x:v>Final 프로젝트</x:v>
      </x:c>
      <x:c r="K955" s="38" t="str">
        <x:f t="shared" si="91"/>
        <x:v>1교육실(실습겸용강의실)</x:v>
      </x:c>
      <x:c r="L955" s="38" t="str">
        <x:f t="shared" si="92"/>
        <x:v>양현수</x:v>
      </x:c>
      <x:c r="M955" s="63"/>
      <x:c r="N955" s="30">
        <x:f>IF(F955="2","",COUNTIF($F$3:$F955,"=1"))</x:f>
        <x:v>847</x:v>
      </x:c>
      <x:c r="O955" s="30">
        <x:f t="shared" si="87"/>
        <x:v>10</x:v>
      </x:c>
      <x:c r="P955" s="30">
        <x:f t="shared" si="89"/>
        <x:v>1</x:v>
      </x:c>
      <x:c r="Q955" s="30">
        <x:f>COUNTIF($P$3:P955,"=3")</x:f>
        <x:v>106</x:v>
      </x:c>
      <x:c r="R955" s="29">
        <x:f>WORKDAY(기본입력!$H$2,Q955-1,공휴일)</x:f>
        <x:v>46084</x:v>
      </x:c>
    </x:row>
    <x:row r="956" spans="1:18">
      <x:c r="A956" s="145" t="str">
        <x:f t="shared" si="88"/>
        <x:v>20260303</x:v>
      </x:c>
      <x:c r="B956" s="8" t="s">
        <x:v>5</x:v>
      </x:c>
      <x:c r="C956" s="8">
        <x:v>1740</x:v>
      </x:c>
      <x:c r="D956" s="7" t="s">
        <x:v>1</x:v>
      </x:c>
      <x:c r="E956" s="8">
        <x:v>1640</x:v>
      </x:c>
      <x:c r="F956" s="8" t="s">
        <x:v>40</x:v>
      </x:c>
      <x:c r="G956" s="15" t="str">
        <x:f>IF(OR(N956="",N956&gt;기본입력!$C$34),"",VLOOKUP(O956,기본입력!$A$9:$F$33,5))</x:f>
        <x:v>양현수_53778</x:v>
      </x:c>
      <x:c r="H956" s="15" t="str">
        <x:f>IF(OR(N956="",N956&gt;기본입력!$C$34),"",기본입력!$C$6)</x:f>
        <x:v>1교육실(실습겸용강의실)_243089</x:v>
      </x:c>
      <x:c r="I956" s="15" t="str">
        <x:f>IF(OR(O956="",N956&gt;기본입력!$C$34),"",VLOOKUP(O956,기본입력!$A$9:$F$33,6,FALSE))</x:f>
        <x:v>Final 프로젝트__10</x:v>
      </x:c>
      <x:c r="J956" s="38" t="str">
        <x:f t="shared" si="90"/>
        <x:v>Final 프로젝트</x:v>
      </x:c>
      <x:c r="K956" s="38" t="str">
        <x:f t="shared" si="91"/>
        <x:v>1교육실(실습겸용강의실)</x:v>
      </x:c>
      <x:c r="L956" s="38" t="str">
        <x:f t="shared" si="92"/>
        <x:v>양현수</x:v>
      </x:c>
      <x:c r="M956" s="63"/>
      <x:c r="N956" s="30">
        <x:f>IF(F956="2","",COUNTIF($F$3:$F956,"=1"))</x:f>
        <x:v>848</x:v>
      </x:c>
      <x:c r="O956" s="30">
        <x:f t="shared" si="87"/>
        <x:v>10</x:v>
      </x:c>
      <x:c r="P956" s="30">
        <x:f t="shared" si="89"/>
        <x:v>2</x:v>
      </x:c>
      <x:c r="Q956" s="30">
        <x:f>COUNTIF($P$3:P956,"=3")</x:f>
        <x:v>106</x:v>
      </x:c>
      <x:c r="R956" s="29">
        <x:f>WORKDAY(기본입력!$H$2,Q956-1,공휴일)</x:f>
        <x:v>46084</x:v>
      </x:c>
    </x:row>
    <x:row r="957" spans="1:18">
      <x:c r="A957" s="144" t="str">
        <x:f t="shared" si="88"/>
        <x:v>20260304</x:v>
      </x:c>
      <x:c r="B957" s="17" t="s">
        <x:v>5</x:v>
      </x:c>
      <x:c r="C957" s="17">
        <x:v>1740</x:v>
      </x:c>
      <x:c r="D957" s="18" t="s">
        <x:v>1</x:v>
      </x:c>
      <x:c r="E957" s="17" t="s">
        <x:v>5</x:v>
      </x:c>
      <x:c r="F957" s="17" t="s">
        <x:v>40</x:v>
      </x:c>
      <x:c r="G957" s="19" t="str">
        <x:f>IF(OR(N957="",N957&gt;기본입력!$C$34),"",VLOOKUP(O957,기본입력!$A$9:$F$33,5))</x:f>
        <x:v>양현수_53778</x:v>
      </x:c>
      <x:c r="H957" s="19" t="str">
        <x:f>IF(OR(N957="",N957&gt;기본입력!$C$34),"",기본입력!$C$6)</x:f>
        <x:v>1교육실(실습겸용강의실)_243089</x:v>
      </x:c>
      <x:c r="I957" s="19" t="str">
        <x:f>IF(OR(O957="",N957&gt;기본입력!$C$34),"",VLOOKUP(O957,기본입력!$A$9:$F$33,6,FALSE))</x:f>
        <x:v>Final 프로젝트__10</x:v>
      </x:c>
      <x:c r="J957" s="38" t="str">
        <x:f t="shared" si="90"/>
        <x:v>Final 프로젝트</x:v>
      </x:c>
      <x:c r="K957" s="38" t="str">
        <x:f t="shared" si="91"/>
        <x:v>1교육실(실습겸용강의실)</x:v>
      </x:c>
      <x:c r="L957" s="38" t="str">
        <x:f t="shared" si="92"/>
        <x:v>양현수</x:v>
      </x:c>
      <x:c r="M957" s="63"/>
      <x:c r="N957" s="30">
        <x:f>IF(F957="2","",COUNTIF($F$3:$F957,"=1"))</x:f>
        <x:v>849</x:v>
      </x:c>
      <x:c r="O957" s="30">
        <x:f t="shared" si="87"/>
        <x:v>10</x:v>
      </x:c>
      <x:c r="P957" s="30">
        <x:f t="shared" si="89"/>
        <x:v>3</x:v>
      </x:c>
      <x:c r="Q957" s="30">
        <x:f>COUNTIF($P$3:P957,"=3")</x:f>
        <x:v>107</x:v>
      </x:c>
      <x:c r="R957" s="29">
        <x:f>WORKDAY(기본입력!$H$2,Q957-1,공휴일)</x:f>
        <x:v>46085</x:v>
      </x:c>
    </x:row>
    <x:row r="958" spans="1:18">
      <x:c r="A958" s="144" t="str">
        <x:f t="shared" si="88"/>
        <x:v>20260304</x:v>
      </x:c>
      <x:c r="B958" s="17" t="s">
        <x:v>5</x:v>
      </x:c>
      <x:c r="C958" s="17">
        <x:v>1740</x:v>
      </x:c>
      <x:c r="D958" s="18" t="s">
        <x:v>1</x:v>
      </x:c>
      <x:c r="E958" s="17" t="s">
        <x:v>117</x:v>
      </x:c>
      <x:c r="F958" s="17" t="s">
        <x:v>40</x:v>
      </x:c>
      <x:c r="G958" s="19" t="str">
        <x:f>IF(OR(N958="",N958&gt;기본입력!$C$34),"",VLOOKUP(O958,기본입력!$A$9:$F$33,5))</x:f>
        <x:v>양현수_53778</x:v>
      </x:c>
      <x:c r="H958" s="19" t="str">
        <x:f>IF(OR(N958="",N958&gt;기본입력!$C$34),"",기본입력!$C$6)</x:f>
        <x:v>1교육실(실습겸용강의실)_243089</x:v>
      </x:c>
      <x:c r="I958" s="19" t="str">
        <x:f>IF(OR(O958="",N958&gt;기본입력!$C$34),"",VLOOKUP(O958,기본입력!$A$9:$F$33,6,FALSE))</x:f>
        <x:v>Final 프로젝트__10</x:v>
      </x:c>
      <x:c r="J958" s="38" t="str">
        <x:f t="shared" si="90"/>
        <x:v>Final 프로젝트</x:v>
      </x:c>
      <x:c r="K958" s="38" t="str">
        <x:f t="shared" si="91"/>
        <x:v>1교육실(실습겸용강의실)</x:v>
      </x:c>
      <x:c r="L958" s="38" t="str">
        <x:f t="shared" si="92"/>
        <x:v>양현수</x:v>
      </x:c>
      <x:c r="M958" s="63"/>
      <x:c r="N958" s="30">
        <x:f>IF(F958="2","",COUNTIF($F$3:$F958,"=1"))</x:f>
        <x:v>850</x:v>
      </x:c>
      <x:c r="O958" s="30">
        <x:f t="shared" si="87"/>
        <x:v>10</x:v>
      </x:c>
      <x:c r="P958" s="30">
        <x:f t="shared" si="89"/>
        <x:v>4</x:v>
      </x:c>
      <x:c r="Q958" s="30">
        <x:f>COUNTIF($P$3:P958,"=3")</x:f>
        <x:v>107</x:v>
      </x:c>
      <x:c r="R958" s="29">
        <x:f>WORKDAY(기본입력!$H$2,Q958-1,공휴일)</x:f>
        <x:v>46085</x:v>
      </x:c>
    </x:row>
    <x:row r="959" spans="1:18">
      <x:c r="A959" s="144" t="str">
        <x:f t="shared" si="88"/>
        <x:v>20260304</x:v>
      </x:c>
      <x:c r="B959" s="17" t="s">
        <x:v>5</x:v>
      </x:c>
      <x:c r="C959" s="17">
        <x:v>1740</x:v>
      </x:c>
      <x:c r="D959" s="18" t="s">
        <x:v>1</x:v>
      </x:c>
      <x:c r="E959" s="17" t="s">
        <x:v>87</x:v>
      </x:c>
      <x:c r="F959" s="17" t="s">
        <x:v>40</x:v>
      </x:c>
      <x:c r="G959" s="19" t="str">
        <x:f>IF(OR(N959="",N959&gt;기본입력!$C$34),"",VLOOKUP(O959,기본입력!$A$9:$F$33,5))</x:f>
        <x:v>양현수_53778</x:v>
      </x:c>
      <x:c r="H959" s="19" t="str">
        <x:f>IF(OR(N959="",N959&gt;기본입력!$C$34),"",기본입력!$C$6)</x:f>
        <x:v>1교육실(실습겸용강의실)_243089</x:v>
      </x:c>
      <x:c r="I959" s="19" t="str">
        <x:f>IF(OR(O959="",N959&gt;기본입력!$C$34),"",VLOOKUP(O959,기본입력!$A$9:$F$33,6,FALSE))</x:f>
        <x:v>Final 프로젝트__10</x:v>
      </x:c>
      <x:c r="J959" s="38" t="str">
        <x:f t="shared" si="90"/>
        <x:v>Final 프로젝트</x:v>
      </x:c>
      <x:c r="K959" s="38" t="str">
        <x:f t="shared" si="91"/>
        <x:v>1교육실(실습겸용강의실)</x:v>
      </x:c>
      <x:c r="L959" s="38" t="str">
        <x:f t="shared" si="92"/>
        <x:v>양현수</x:v>
      </x:c>
      <x:c r="M959" s="63"/>
      <x:c r="N959" s="30">
        <x:f>IF(F959="2","",COUNTIF($F$3:$F959,"=1"))</x:f>
        <x:v>851</x:v>
      </x:c>
      <x:c r="O959" s="30">
        <x:f t="shared" si="87"/>
        <x:v>10</x:v>
      </x:c>
      <x:c r="P959" s="30">
        <x:f t="shared" si="89"/>
        <x:v>5</x:v>
      </x:c>
      <x:c r="Q959" s="30">
        <x:f>COUNTIF($P$3:P959,"=3")</x:f>
        <x:v>107</x:v>
      </x:c>
      <x:c r="R959" s="29">
        <x:f>WORKDAY(기본입력!$H$2,Q959-1,공휴일)</x:f>
        <x:v>46085</x:v>
      </x:c>
    </x:row>
    <x:row r="960" spans="1:18">
      <x:c r="A960" s="144" t="str">
        <x:f t="shared" si="88"/>
        <x:v>20260304</x:v>
      </x:c>
      <x:c r="B960" s="17" t="s">
        <x:v>5</x:v>
      </x:c>
      <x:c r="C960" s="17">
        <x:v>1740</x:v>
      </x:c>
      <x:c r="D960" s="18" t="s">
        <x:v>1</x:v>
      </x:c>
      <x:c r="E960" s="17" t="s">
        <x:v>88</x:v>
      </x:c>
      <x:c r="F960" s="17" t="s">
        <x:v>40</x:v>
      </x:c>
      <x:c r="G960" s="19" t="str">
        <x:f>IF(OR(N960="",N960&gt;기본입력!$C$34),"",VLOOKUP(O960,기본입력!$A$9:$F$33,5))</x:f>
        <x:v>양현수_53778</x:v>
      </x:c>
      <x:c r="H960" s="19" t="str">
        <x:f>IF(OR(N960="",N960&gt;기본입력!$C$34),"",기본입력!$C$6)</x:f>
        <x:v>1교육실(실습겸용강의실)_243089</x:v>
      </x:c>
      <x:c r="I960" s="19" t="str">
        <x:f>IF(OR(O960="",N960&gt;기본입력!$C$34),"",VLOOKUP(O960,기본입력!$A$9:$F$33,6,FALSE))</x:f>
        <x:v>Final 프로젝트__10</x:v>
      </x:c>
      <x:c r="J960" s="38" t="str">
        <x:f t="shared" si="90"/>
        <x:v>Final 프로젝트</x:v>
      </x:c>
      <x:c r="K960" s="38" t="str">
        <x:f t="shared" si="91"/>
        <x:v>1교육실(실습겸용강의실)</x:v>
      </x:c>
      <x:c r="L960" s="38" t="str">
        <x:f t="shared" si="92"/>
        <x:v>양현수</x:v>
      </x:c>
      <x:c r="M960" s="63"/>
      <x:c r="N960" s="30">
        <x:f>IF(F960="2","",COUNTIF($F$3:$F960,"=1"))</x:f>
        <x:v>852</x:v>
      </x:c>
      <x:c r="O960" s="30">
        <x:f t="shared" si="87"/>
        <x:v>10</x:v>
      </x:c>
      <x:c r="P960" s="30">
        <x:f t="shared" si="89"/>
        <x:v>6</x:v>
      </x:c>
      <x:c r="Q960" s="30">
        <x:f>COUNTIF($P$3:P960,"=3")</x:f>
        <x:v>107</x:v>
      </x:c>
      <x:c r="R960" s="29">
        <x:f>WORKDAY(기본입력!$H$2,Q960-1,공휴일)</x:f>
        <x:v>46085</x:v>
      </x:c>
    </x:row>
    <x:row r="961" spans="1:18">
      <x:c r="A961" s="144" t="str">
        <x:f t="shared" si="88"/>
        <x:v>20260304</x:v>
      </x:c>
      <x:c r="B961" s="17" t="s">
        <x:v>5</x:v>
      </x:c>
      <x:c r="C961" s="17">
        <x:v>1740</x:v>
      </x:c>
      <x:c r="D961" s="18" t="s">
        <x:v>1</x:v>
      </x:c>
      <x:c r="E961" s="17" t="s">
        <x:v>0</x:v>
      </x:c>
      <x:c r="F961" s="17" t="s">
        <x:v>41</x:v>
      </x:c>
      <x:c r="G961" s="19" t="str">
        <x:f>IF(OR(N961="",N961&gt;기본입력!$C$34),"",VLOOKUP(O961,기본입력!$A$9:$F$33,5))</x:f>
        <x:v/>
      </x:c>
      <x:c r="H961" s="19" t="str">
        <x:f>IF(OR(N961="",N961&gt;기본입력!$C$34),"",기본입력!$C$6)</x:f>
        <x:v/>
      </x:c>
      <x:c r="I961" s="19" t="str">
        <x:f>IF(OR(O961="",N961&gt;기본입력!$C$34),"",VLOOKUP(O961,기본입력!$A$9:$F$33,6,FALSE))</x:f>
        <x:v/>
      </x:c>
      <x:c r="J961" s="38" t="str">
        <x:f t="shared" si="90"/>
        <x:v/>
      </x:c>
      <x:c r="K961" s="38" t="str">
        <x:f t="shared" si="91"/>
        <x:v/>
      </x:c>
      <x:c r="L961" s="38" t="str">
        <x:f t="shared" si="92"/>
        <x:v/>
      </x:c>
      <x:c r="M961" s="63"/>
      <x:c r="N961" s="30" t="str">
        <x:f>IF(F961="2","",COUNTIF($F$3:$F961,"=1"))</x:f>
        <x:v/>
      </x:c>
      <x:c r="O961" s="30" t="str">
        <x:f t="shared" si="87"/>
        <x:v/>
      </x:c>
      <x:c r="P961" s="30">
        <x:f t="shared" si="89"/>
        <x:v>7</x:v>
      </x:c>
      <x:c r="Q961" s="30">
        <x:f>COUNTIF($P$3:P961,"=3")</x:f>
        <x:v>107</x:v>
      </x:c>
      <x:c r="R961" s="29">
        <x:f>WORKDAY(기본입력!$H$2,Q961-1,공휴일)</x:f>
        <x:v>46085</x:v>
      </x:c>
    </x:row>
    <x:row r="962" spans="1:18">
      <x:c r="A962" s="144" t="str">
        <x:f t="shared" si="88"/>
        <x:v>20260304</x:v>
      </x:c>
      <x:c r="B962" s="17" t="s">
        <x:v>5</x:v>
      </x:c>
      <x:c r="C962" s="17">
        <x:v>1740</x:v>
      </x:c>
      <x:c r="D962" s="18" t="s">
        <x:v>1</x:v>
      </x:c>
      <x:c r="E962" s="17">
        <x:v>1340</x:v>
      </x:c>
      <x:c r="F962" s="17" t="s">
        <x:v>40</x:v>
      </x:c>
      <x:c r="G962" s="19" t="str">
        <x:f>IF(OR(N962="",N962&gt;기본입력!$C$34),"",VLOOKUP(O962,기본입력!$A$9:$F$33,5))</x:f>
        <x:v>양현수_53778</x:v>
      </x:c>
      <x:c r="H962" s="19" t="str">
        <x:f>IF(OR(N962="",N962&gt;기본입력!$C$34),"",기본입력!$C$6)</x:f>
        <x:v>1교육실(실습겸용강의실)_243089</x:v>
      </x:c>
      <x:c r="I962" s="19" t="str">
        <x:f>IF(OR(O962="",N962&gt;기본입력!$C$34),"",VLOOKUP(O962,기본입력!$A$9:$F$33,6,FALSE))</x:f>
        <x:v>Final 프로젝트__10</x:v>
      </x:c>
      <x:c r="J962" s="38" t="str">
        <x:f t="shared" si="90"/>
        <x:v>Final 프로젝트</x:v>
      </x:c>
      <x:c r="K962" s="38" t="str">
        <x:f t="shared" si="91"/>
        <x:v>1교육실(실습겸용강의실)</x:v>
      </x:c>
      <x:c r="L962" s="38" t="str">
        <x:f t="shared" si="92"/>
        <x:v>양현수</x:v>
      </x:c>
      <x:c r="M962" s="63"/>
      <x:c r="N962" s="30">
        <x:f>IF(F962="2","",COUNTIF($F$3:$F962,"=1"))</x:f>
        <x:v>853</x:v>
      </x:c>
      <x:c r="O962" s="30">
        <x:f t="shared" si="87"/>
        <x:v>10</x:v>
      </x:c>
      <x:c r="P962" s="30">
        <x:f t="shared" si="89"/>
        <x:v>8</x:v>
      </x:c>
      <x:c r="Q962" s="30">
        <x:f>COUNTIF($P$3:P962,"=3")</x:f>
        <x:v>107</x:v>
      </x:c>
      <x:c r="R962" s="29">
        <x:f>WORKDAY(기본입력!$H$2,Q962-1,공휴일)</x:f>
        <x:v>46085</x:v>
      </x:c>
    </x:row>
    <x:row r="963" spans="1:18">
      <x:c r="A963" s="144" t="str">
        <x:f t="shared" si="88"/>
        <x:v>20260304</x:v>
      </x:c>
      <x:c r="B963" s="17" t="s">
        <x:v>5</x:v>
      </x:c>
      <x:c r="C963" s="17">
        <x:v>1740</x:v>
      </x:c>
      <x:c r="D963" s="18" t="s">
        <x:v>1</x:v>
      </x:c>
      <x:c r="E963" s="17">
        <x:v>1440</x:v>
      </x:c>
      <x:c r="F963" s="17" t="s">
        <x:v>40</x:v>
      </x:c>
      <x:c r="G963" s="19" t="str">
        <x:f>IF(OR(N963="",N963&gt;기본입력!$C$34),"",VLOOKUP(O963,기본입력!$A$9:$F$33,5))</x:f>
        <x:v>양현수_53778</x:v>
      </x:c>
      <x:c r="H963" s="19" t="str">
        <x:f>IF(OR(N963="",N963&gt;기본입력!$C$34),"",기본입력!$C$6)</x:f>
        <x:v>1교육실(실습겸용강의실)_243089</x:v>
      </x:c>
      <x:c r="I963" s="19" t="str">
        <x:f>IF(OR(O963="",N963&gt;기본입력!$C$34),"",VLOOKUP(O963,기본입력!$A$9:$F$33,6,FALSE))</x:f>
        <x:v>Final 프로젝트__10</x:v>
      </x:c>
      <x:c r="J963" s="38" t="str">
        <x:f t="shared" si="90"/>
        <x:v>Final 프로젝트</x:v>
      </x:c>
      <x:c r="K963" s="38" t="str">
        <x:f t="shared" si="91"/>
        <x:v>1교육실(실습겸용강의실)</x:v>
      </x:c>
      <x:c r="L963" s="38" t="str">
        <x:f t="shared" si="92"/>
        <x:v>양현수</x:v>
      </x:c>
      <x:c r="M963" s="63"/>
      <x:c r="N963" s="30">
        <x:f>IF(F963="2","",COUNTIF($F$3:$F963,"=1"))</x:f>
        <x:v>854</x:v>
      </x:c>
      <x:c r="O963" s="30">
        <x:f t="shared" ref="O963:O1029" si="93">IF(F963="2","",IF(N963&lt;=누적시수1,1,IF(N963&lt;=누적시수2,2,IF(N963&lt;=누적시수3,3,IF(N963&lt;=누적시수4,4,IF(N963&lt;=누적시수5,5,IF(N963&lt;=누적시수6,6,IF(N963&lt;=누적시수7,7,IF(N963&lt;=누적시수8,8,IF(N963&lt;=누적시수9,9,IF(N963&lt;=누적시수10,10,IF(N963&lt;=누적시수11,11,IF(N963&lt;=누적시수12,12,IF(N963&lt;=누적시수13,13,IF(N963&lt;=누적시수14,14,IF(N963&lt;=누적시수15,15,IF(N963&lt;=누적시수16,16,IF(N963&lt;=누적시수17,17,IF(N963&lt;=누적시수18,18,IF(N963&lt;=누적시수19,19,IF(N963&lt;=누적시수20,20,IF(N963&lt;=누적시수21,21,IF(N963&lt;=누적시수22,22,IF(N963&lt;=누적시수23,23,IF(N963&lt;=누적시수24,24,IF(N963&lt;=누적시수25,25,0))))))))))))))))))))))))))</x:f>
        <x:v>10</x:v>
      </x:c>
      <x:c r="P963" s="30">
        <x:f t="shared" si="89"/>
        <x:v>0</x:v>
      </x:c>
      <x:c r="Q963" s="30">
        <x:f>COUNTIF($P$3:P963,"=3")</x:f>
        <x:v>107</x:v>
      </x:c>
      <x:c r="R963" s="29">
        <x:f>WORKDAY(기본입력!$H$2,Q963-1,공휴일)</x:f>
        <x:v>46085</x:v>
      </x:c>
    </x:row>
    <x:row r="964" spans="1:18">
      <x:c r="A964" s="144" t="str">
        <x:f t="shared" ref="A964:A1030" si="94">TEXT(R964,"yyyymmdd")</x:f>
        <x:v>20260304</x:v>
      </x:c>
      <x:c r="B964" s="17" t="s">
        <x:v>5</x:v>
      </x:c>
      <x:c r="C964" s="17">
        <x:v>1740</x:v>
      </x:c>
      <x:c r="D964" s="18" t="s">
        <x:v>1</x:v>
      </x:c>
      <x:c r="E964" s="17">
        <x:v>1540</x:v>
      </x:c>
      <x:c r="F964" s="17" t="s">
        <x:v>40</x:v>
      </x:c>
      <x:c r="G964" s="19" t="str">
        <x:f>IF(OR(N964="",N964&gt;기본입력!$C$34),"",VLOOKUP(O964,기본입력!$A$9:$F$33,5))</x:f>
        <x:v>양현수_53778</x:v>
      </x:c>
      <x:c r="H964" s="19" t="str">
        <x:f>IF(OR(N964="",N964&gt;기본입력!$C$34),"",기본입력!$C$6)</x:f>
        <x:v>1교육실(실습겸용강의실)_243089</x:v>
      </x:c>
      <x:c r="I964" s="19" t="str">
        <x:f>IF(OR(O964="",N964&gt;기본입력!$C$34),"",VLOOKUP(O964,기본입력!$A$9:$F$33,6,FALSE))</x:f>
        <x:v>Final 프로젝트__10</x:v>
      </x:c>
      <x:c r="J964" s="38" t="str">
        <x:f t="shared" si="90"/>
        <x:v>Final 프로젝트</x:v>
      </x:c>
      <x:c r="K964" s="38" t="str">
        <x:f t="shared" si="91"/>
        <x:v>1교육실(실습겸용강의실)</x:v>
      </x:c>
      <x:c r="L964" s="38" t="str">
        <x:f t="shared" si="92"/>
        <x:v>양현수</x:v>
      </x:c>
      <x:c r="M964" s="63"/>
      <x:c r="N964" s="30">
        <x:f>IF(F964="2","",COUNTIF($F$3:$F964,"=1"))</x:f>
        <x:v>855</x:v>
      </x:c>
      <x:c r="O964" s="30">
        <x:f t="shared" si="93"/>
        <x:v>10</x:v>
      </x:c>
      <x:c r="P964" s="30">
        <x:f t="shared" ref="P964:P1030" si="95">MOD(ROW(),9)</x:f>
        <x:v>1</x:v>
      </x:c>
      <x:c r="Q964" s="30">
        <x:f>COUNTIF($P$3:P964,"=3")</x:f>
        <x:v>107</x:v>
      </x:c>
      <x:c r="R964" s="29">
        <x:f>WORKDAY(기본입력!$H$2,Q964-1,공휴일)</x:f>
        <x:v>46085</x:v>
      </x:c>
    </x:row>
    <x:row r="965" spans="1:18">
      <x:c r="A965" s="144" t="str">
        <x:f t="shared" si="94"/>
        <x:v>20260304</x:v>
      </x:c>
      <x:c r="B965" s="17" t="s">
        <x:v>5</x:v>
      </x:c>
      <x:c r="C965" s="17">
        <x:v>1740</x:v>
      </x:c>
      <x:c r="D965" s="18" t="s">
        <x:v>1</x:v>
      </x:c>
      <x:c r="E965" s="17">
        <x:v>1640</x:v>
      </x:c>
      <x:c r="F965" s="17" t="s">
        <x:v>40</x:v>
      </x:c>
      <x:c r="G965" s="19" t="str">
        <x:f>IF(OR(N965="",N965&gt;기본입력!$C$34),"",VLOOKUP(O965,기본입력!$A$9:$F$33,5))</x:f>
        <x:v>양현수_53778</x:v>
      </x:c>
      <x:c r="H965" s="19" t="str">
        <x:f>IF(OR(N965="",N965&gt;기본입력!$C$34),"",기본입력!$C$6)</x:f>
        <x:v>1교육실(실습겸용강의실)_243089</x:v>
      </x:c>
      <x:c r="I965" s="19" t="str">
        <x:f>IF(OR(O965="",N965&gt;기본입력!$C$34),"",VLOOKUP(O965,기본입력!$A$9:$F$33,6,FALSE))</x:f>
        <x:v>Final 프로젝트__10</x:v>
      </x:c>
      <x:c r="J965" s="38" t="str">
        <x:f t="shared" si="90"/>
        <x:v>Final 프로젝트</x:v>
      </x:c>
      <x:c r="K965" s="38" t="str">
        <x:f t="shared" si="91"/>
        <x:v>1교육실(실습겸용강의실)</x:v>
      </x:c>
      <x:c r="L965" s="38" t="str">
        <x:f t="shared" si="92"/>
        <x:v>양현수</x:v>
      </x:c>
      <x:c r="M965" s="63"/>
      <x:c r="N965" s="30">
        <x:f>IF(F965="2","",COUNTIF($F$3:$F965,"=1"))</x:f>
        <x:v>856</x:v>
      </x:c>
      <x:c r="O965" s="30">
        <x:f t="shared" si="93"/>
        <x:v>10</x:v>
      </x:c>
      <x:c r="P965" s="30">
        <x:f t="shared" si="95"/>
        <x:v>2</x:v>
      </x:c>
      <x:c r="Q965" s="30">
        <x:f>COUNTIF($P$3:P965,"=3")</x:f>
        <x:v>107</x:v>
      </x:c>
      <x:c r="R965" s="29">
        <x:f>WORKDAY(기본입력!$H$2,Q965-1,공휴일)</x:f>
        <x:v>46085</x:v>
      </x:c>
    </x:row>
    <x:row r="966" spans="1:18">
      <x:c r="A966" s="145" t="str">
        <x:f t="shared" si="94"/>
        <x:v>20260305</x:v>
      </x:c>
      <x:c r="B966" s="20" t="s">
        <x:v>5</x:v>
      </x:c>
      <x:c r="C966" s="20">
        <x:v>1740</x:v>
      </x:c>
      <x:c r="D966" s="21" t="s">
        <x:v>1</x:v>
      </x:c>
      <x:c r="E966" s="20" t="s">
        <x:v>5</x:v>
      </x:c>
      <x:c r="F966" s="20" t="s">
        <x:v>40</x:v>
      </x:c>
      <x:c r="G966" s="22" t="str">
        <x:f>IF(OR(N966="",N966&gt;기본입력!$C$34),"",VLOOKUP(O966,기본입력!$A$9:$F$33,5))</x:f>
        <x:v>양현수_53778</x:v>
      </x:c>
      <x:c r="H966" s="22" t="str">
        <x:f>IF(OR(N966="",N966&gt;기본입력!$C$34),"",기본입력!$C$6)</x:f>
        <x:v>1교육실(실습겸용강의실)_243089</x:v>
      </x:c>
      <x:c r="I966" s="22" t="str">
        <x:f>IF(OR(O966="",N966&gt;기본입력!$C$34),"",VLOOKUP(O966,기본입력!$A$9:$F$33,6,FALSE))</x:f>
        <x:v>Final 프로젝트__10</x:v>
      </x:c>
      <x:c r="J966" s="38" t="str">
        <x:f t="shared" si="90"/>
        <x:v>Final 프로젝트</x:v>
      </x:c>
      <x:c r="K966" s="38" t="str">
        <x:f t="shared" si="91"/>
        <x:v>1교육실(실습겸용강의실)</x:v>
      </x:c>
      <x:c r="L966" s="38" t="str">
        <x:f t="shared" si="92"/>
        <x:v>양현수</x:v>
      </x:c>
      <x:c r="M966" s="63"/>
      <x:c r="N966" s="30">
        <x:f>IF(F966="2","",COUNTIF($F$3:$F966,"=1"))</x:f>
        <x:v>857</x:v>
      </x:c>
      <x:c r="O966" s="30">
        <x:f t="shared" si="93"/>
        <x:v>10</x:v>
      </x:c>
      <x:c r="P966" s="30">
        <x:f t="shared" si="95"/>
        <x:v>3</x:v>
      </x:c>
      <x:c r="Q966" s="30">
        <x:f>COUNTIF($P$3:P966,"=3")</x:f>
        <x:v>108</x:v>
      </x:c>
      <x:c r="R966" s="29">
        <x:f>WORKDAY(기본입력!$H$2,Q966-1,공휴일)</x:f>
        <x:v>46086</x:v>
      </x:c>
    </x:row>
    <x:row r="967" spans="1:18">
      <x:c r="A967" s="145" t="str">
        <x:f t="shared" si="94"/>
        <x:v>20260305</x:v>
      </x:c>
      <x:c r="B967" s="20" t="s">
        <x:v>5</x:v>
      </x:c>
      <x:c r="C967" s="20">
        <x:v>1740</x:v>
      </x:c>
      <x:c r="D967" s="21" t="s">
        <x:v>1</x:v>
      </x:c>
      <x:c r="E967" s="20" t="s">
        <x:v>117</x:v>
      </x:c>
      <x:c r="F967" s="20" t="s">
        <x:v>40</x:v>
      </x:c>
      <x:c r="G967" s="22" t="str">
        <x:f>IF(OR(N967="",N967&gt;기본입력!$C$34),"",VLOOKUP(O967,기본입력!$A$9:$F$33,5))</x:f>
        <x:v>양현수_53778</x:v>
      </x:c>
      <x:c r="H967" s="22" t="str">
        <x:f>IF(OR(N967="",N967&gt;기본입력!$C$34),"",기본입력!$C$6)</x:f>
        <x:v>1교육실(실습겸용강의실)_243089</x:v>
      </x:c>
      <x:c r="I967" s="22" t="str">
        <x:f>IF(OR(O967="",N967&gt;기본입력!$C$34),"",VLOOKUP(O967,기본입력!$A$9:$F$33,6,FALSE))</x:f>
        <x:v>Final 프로젝트__10</x:v>
      </x:c>
      <x:c r="J967" s="38" t="str">
        <x:f t="shared" si="90"/>
        <x:v>Final 프로젝트</x:v>
      </x:c>
      <x:c r="K967" s="38" t="str">
        <x:f t="shared" si="91"/>
        <x:v>1교육실(실습겸용강의실)</x:v>
      </x:c>
      <x:c r="L967" s="38" t="str">
        <x:f t="shared" si="92"/>
        <x:v>양현수</x:v>
      </x:c>
      <x:c r="M967" s="63"/>
      <x:c r="N967" s="30">
        <x:f>IF(F967="2","",COUNTIF($F$3:$F967,"=1"))</x:f>
        <x:v>858</x:v>
      </x:c>
      <x:c r="O967" s="30">
        <x:f t="shared" si="93"/>
        <x:v>10</x:v>
      </x:c>
      <x:c r="P967" s="30">
        <x:f t="shared" si="95"/>
        <x:v>4</x:v>
      </x:c>
      <x:c r="Q967" s="30">
        <x:f>COUNTIF($P$3:P967,"=3")</x:f>
        <x:v>108</x:v>
      </x:c>
      <x:c r="R967" s="29">
        <x:f>WORKDAY(기본입력!$H$2,Q967-1,공휴일)</x:f>
        <x:v>46086</x:v>
      </x:c>
    </x:row>
    <x:row r="968" spans="1:18">
      <x:c r="A968" s="145" t="str">
        <x:f t="shared" si="94"/>
        <x:v>20260305</x:v>
      </x:c>
      <x:c r="B968" s="20" t="s">
        <x:v>5</x:v>
      </x:c>
      <x:c r="C968" s="20">
        <x:v>1740</x:v>
      </x:c>
      <x:c r="D968" s="21" t="s">
        <x:v>1</x:v>
      </x:c>
      <x:c r="E968" s="20" t="s">
        <x:v>87</x:v>
      </x:c>
      <x:c r="F968" s="20" t="s">
        <x:v>40</x:v>
      </x:c>
      <x:c r="G968" s="22" t="str">
        <x:f>IF(OR(N968="",N968&gt;기본입력!$C$34),"",VLOOKUP(O968,기본입력!$A$9:$F$33,5))</x:f>
        <x:v>양현수_53778</x:v>
      </x:c>
      <x:c r="H968" s="22" t="str">
        <x:f>IF(OR(N968="",N968&gt;기본입력!$C$34),"",기본입력!$C$6)</x:f>
        <x:v>1교육실(실습겸용강의실)_243089</x:v>
      </x:c>
      <x:c r="I968" s="22" t="str">
        <x:f>IF(OR(O968="",N968&gt;기본입력!$C$34),"",VLOOKUP(O968,기본입력!$A$9:$F$33,6,FALSE))</x:f>
        <x:v>Final 프로젝트__10</x:v>
      </x:c>
      <x:c r="J968" s="38" t="str">
        <x:f t="shared" si="90"/>
        <x:v>Final 프로젝트</x:v>
      </x:c>
      <x:c r="K968" s="38" t="str">
        <x:f t="shared" si="91"/>
        <x:v>1교육실(실습겸용강의실)</x:v>
      </x:c>
      <x:c r="L968" s="38" t="str">
        <x:f t="shared" si="92"/>
        <x:v>양현수</x:v>
      </x:c>
      <x:c r="M968" s="63"/>
      <x:c r="N968" s="30">
        <x:f>IF(F968="2","",COUNTIF($F$3:$F968,"=1"))</x:f>
        <x:v>859</x:v>
      </x:c>
      <x:c r="O968" s="30">
        <x:f t="shared" si="93"/>
        <x:v>10</x:v>
      </x:c>
      <x:c r="P968" s="30">
        <x:f t="shared" si="95"/>
        <x:v>5</x:v>
      </x:c>
      <x:c r="Q968" s="30">
        <x:f>COUNTIF($P$3:P968,"=3")</x:f>
        <x:v>108</x:v>
      </x:c>
      <x:c r="R968" s="29">
        <x:f>WORKDAY(기본입력!$H$2,Q968-1,공휴일)</x:f>
        <x:v>46086</x:v>
      </x:c>
    </x:row>
    <x:row r="969" spans="1:18">
      <x:c r="A969" s="145" t="str">
        <x:f t="shared" si="94"/>
        <x:v>20260305</x:v>
      </x:c>
      <x:c r="B969" s="20" t="s">
        <x:v>5</x:v>
      </x:c>
      <x:c r="C969" s="20">
        <x:v>1740</x:v>
      </x:c>
      <x:c r="D969" s="21" t="s">
        <x:v>1</x:v>
      </x:c>
      <x:c r="E969" s="20" t="s">
        <x:v>88</x:v>
      </x:c>
      <x:c r="F969" s="20" t="s">
        <x:v>40</x:v>
      </x:c>
      <x:c r="G969" s="22" t="str">
        <x:f>IF(OR(N969="",N969&gt;기본입력!$C$34),"",VLOOKUP(O969,기본입력!$A$9:$F$33,5))</x:f>
        <x:v>양현수_53778</x:v>
      </x:c>
      <x:c r="H969" s="22" t="str">
        <x:f>IF(OR(N969="",N969&gt;기본입력!$C$34),"",기본입력!$C$6)</x:f>
        <x:v>1교육실(실습겸용강의실)_243089</x:v>
      </x:c>
      <x:c r="I969" s="22" t="str">
        <x:f>IF(OR(O969="",N969&gt;기본입력!$C$34),"",VLOOKUP(O969,기본입력!$A$9:$F$33,6,FALSE))</x:f>
        <x:v>Final 프로젝트__10</x:v>
      </x:c>
      <x:c r="J969" s="38" t="str">
        <x:f t="shared" si="90"/>
        <x:v>Final 프로젝트</x:v>
      </x:c>
      <x:c r="K969" s="38" t="str">
        <x:f t="shared" si="91"/>
        <x:v>1교육실(실습겸용강의실)</x:v>
      </x:c>
      <x:c r="L969" s="38" t="str">
        <x:f t="shared" si="92"/>
        <x:v>양현수</x:v>
      </x:c>
      <x:c r="M969" s="63"/>
      <x:c r="N969" s="30">
        <x:f>IF(F969="2","",COUNTIF($F$3:$F969,"=1"))</x:f>
        <x:v>860</x:v>
      </x:c>
      <x:c r="O969" s="30">
        <x:f t="shared" si="93"/>
        <x:v>10</x:v>
      </x:c>
      <x:c r="P969" s="30">
        <x:f t="shared" si="95"/>
        <x:v>6</x:v>
      </x:c>
      <x:c r="Q969" s="30">
        <x:f>COUNTIF($P$3:P969,"=3")</x:f>
        <x:v>108</x:v>
      </x:c>
      <x:c r="R969" s="29">
        <x:f>WORKDAY(기본입력!$H$2,Q969-1,공휴일)</x:f>
        <x:v>46086</x:v>
      </x:c>
    </x:row>
    <x:row r="970" spans="1:18">
      <x:c r="A970" s="145" t="str">
        <x:f t="shared" si="94"/>
        <x:v>20260305</x:v>
      </x:c>
      <x:c r="B970" s="20" t="s">
        <x:v>5</x:v>
      </x:c>
      <x:c r="C970" s="20">
        <x:v>1740</x:v>
      </x:c>
      <x:c r="D970" s="21" t="s">
        <x:v>1</x:v>
      </x:c>
      <x:c r="E970" s="20" t="s">
        <x:v>0</x:v>
      </x:c>
      <x:c r="F970" s="20" t="s">
        <x:v>41</x:v>
      </x:c>
      <x:c r="G970" s="22" t="str">
        <x:f>IF(OR(N970="",N970&gt;기본입력!$C$34),"",VLOOKUP(O970,기본입력!$A$9:$F$33,5))</x:f>
        <x:v/>
      </x:c>
      <x:c r="H970" s="22" t="str">
        <x:f>IF(OR(N970="",N970&gt;기본입력!$C$34),"",기본입력!$C$6)</x:f>
        <x:v/>
      </x:c>
      <x:c r="I970" s="22" t="str">
        <x:f>IF(OR(O970="",N970&gt;기본입력!$C$34),"",VLOOKUP(O970,기본입력!$A$9:$F$33,6,FALSE))</x:f>
        <x:v/>
      </x:c>
      <x:c r="J970" s="38" t="str">
        <x:f t="shared" si="90"/>
        <x:v/>
      </x:c>
      <x:c r="K970" s="38" t="str">
        <x:f t="shared" si="91"/>
        <x:v/>
      </x:c>
      <x:c r="L970" s="38" t="str">
        <x:f t="shared" si="92"/>
        <x:v/>
      </x:c>
      <x:c r="M970" s="63"/>
      <x:c r="N970" s="30" t="str">
        <x:f>IF(F970="2","",COUNTIF($F$3:$F970,"=1"))</x:f>
        <x:v/>
      </x:c>
      <x:c r="O970" s="30" t="str">
        <x:f t="shared" si="93"/>
        <x:v/>
      </x:c>
      <x:c r="P970" s="30">
        <x:f t="shared" si="95"/>
        <x:v>7</x:v>
      </x:c>
      <x:c r="Q970" s="30">
        <x:f>COUNTIF($P$3:P970,"=3")</x:f>
        <x:v>108</x:v>
      </x:c>
      <x:c r="R970" s="29">
        <x:f>WORKDAY(기본입력!$H$2,Q970-1,공휴일)</x:f>
        <x:v>46086</x:v>
      </x:c>
    </x:row>
    <x:row r="971" spans="1:18">
      <x:c r="A971" s="145" t="str">
        <x:f t="shared" si="94"/>
        <x:v>20260305</x:v>
      </x:c>
      <x:c r="B971" s="20" t="s">
        <x:v>5</x:v>
      </x:c>
      <x:c r="C971" s="20">
        <x:v>1740</x:v>
      </x:c>
      <x:c r="D971" s="21" t="s">
        <x:v>1</x:v>
      </x:c>
      <x:c r="E971" s="20">
        <x:v>1340</x:v>
      </x:c>
      <x:c r="F971" s="20" t="s">
        <x:v>40</x:v>
      </x:c>
      <x:c r="G971" s="22" t="str">
        <x:f>IF(OR(N971="",N971&gt;기본입력!$C$34),"",VLOOKUP(O971,기본입력!$A$9:$F$33,5))</x:f>
        <x:v>양현수_53778</x:v>
      </x:c>
      <x:c r="H971" s="22" t="str">
        <x:f>IF(OR(N971="",N971&gt;기본입력!$C$34),"",기본입력!$C$6)</x:f>
        <x:v>1교육실(실습겸용강의실)_243089</x:v>
      </x:c>
      <x:c r="I971" s="22" t="str">
        <x:f>IF(OR(O971="",N971&gt;기본입력!$C$34),"",VLOOKUP(O971,기본입력!$A$9:$F$33,6,FALSE))</x:f>
        <x:v>Final 프로젝트__10</x:v>
      </x:c>
      <x:c r="J971" s="38" t="str">
        <x:f t="shared" si="90"/>
        <x:v>Final 프로젝트</x:v>
      </x:c>
      <x:c r="K971" s="38" t="str">
        <x:f t="shared" si="91"/>
        <x:v>1교육실(실습겸용강의실)</x:v>
      </x:c>
      <x:c r="L971" s="38" t="str">
        <x:f t="shared" si="92"/>
        <x:v>양현수</x:v>
      </x:c>
      <x:c r="M971" s="63"/>
      <x:c r="N971" s="30">
        <x:f>IF(F971="2","",COUNTIF($F$3:$F971,"=1"))</x:f>
        <x:v>861</x:v>
      </x:c>
      <x:c r="O971" s="30">
        <x:f t="shared" si="93"/>
        <x:v>10</x:v>
      </x:c>
      <x:c r="P971" s="30">
        <x:f t="shared" si="95"/>
        <x:v>8</x:v>
      </x:c>
      <x:c r="Q971" s="30">
        <x:f>COUNTIF($P$3:P971,"=3")</x:f>
        <x:v>108</x:v>
      </x:c>
      <x:c r="R971" s="29">
        <x:f>WORKDAY(기본입력!$H$2,Q971-1,공휴일)</x:f>
        <x:v>46086</x:v>
      </x:c>
    </x:row>
    <x:row r="972" spans="1:18">
      <x:c r="A972" s="145" t="str">
        <x:f t="shared" si="94"/>
        <x:v>20260305</x:v>
      </x:c>
      <x:c r="B972" s="20" t="s">
        <x:v>5</x:v>
      </x:c>
      <x:c r="C972" s="20">
        <x:v>1740</x:v>
      </x:c>
      <x:c r="D972" s="21" t="s">
        <x:v>1</x:v>
      </x:c>
      <x:c r="E972" s="20">
        <x:v>1440</x:v>
      </x:c>
      <x:c r="F972" s="20" t="s">
        <x:v>40</x:v>
      </x:c>
      <x:c r="G972" s="22" t="str">
        <x:f>IF(OR(N972="",N972&gt;기본입력!$C$34),"",VLOOKUP(O972,기본입력!$A$9:$F$33,5))</x:f>
        <x:v>양현수_53778</x:v>
      </x:c>
      <x:c r="H972" s="22" t="str">
        <x:f>IF(OR(N972="",N972&gt;기본입력!$C$34),"",기본입력!$C$6)</x:f>
        <x:v>1교육실(실습겸용강의실)_243089</x:v>
      </x:c>
      <x:c r="I972" s="22" t="str">
        <x:f>IF(OR(O972="",N972&gt;기본입력!$C$34),"",VLOOKUP(O972,기본입력!$A$9:$F$33,6,FALSE))</x:f>
        <x:v>Final 프로젝트__10</x:v>
      </x:c>
      <x:c r="J972" s="38" t="str">
        <x:f t="shared" si="90"/>
        <x:v>Final 프로젝트</x:v>
      </x:c>
      <x:c r="K972" s="38" t="str">
        <x:f t="shared" si="91"/>
        <x:v>1교육실(실습겸용강의실)</x:v>
      </x:c>
      <x:c r="L972" s="38" t="str">
        <x:f t="shared" si="92"/>
        <x:v>양현수</x:v>
      </x:c>
      <x:c r="M972" s="63"/>
      <x:c r="N972" s="30">
        <x:f>IF(F972="2","",COUNTIF($F$3:$F972,"=1"))</x:f>
        <x:v>862</x:v>
      </x:c>
      <x:c r="O972" s="30">
        <x:f t="shared" si="93"/>
        <x:v>10</x:v>
      </x:c>
      <x:c r="P972" s="30">
        <x:f t="shared" si="95"/>
        <x:v>0</x:v>
      </x:c>
      <x:c r="Q972" s="30">
        <x:f>COUNTIF($P$3:P972,"=3")</x:f>
        <x:v>108</x:v>
      </x:c>
      <x:c r="R972" s="29">
        <x:f>WORKDAY(기본입력!$H$2,Q972-1,공휴일)</x:f>
        <x:v>46086</x:v>
      </x:c>
    </x:row>
    <x:row r="973" spans="1:18">
      <x:c r="A973" s="145" t="str">
        <x:f t="shared" si="94"/>
        <x:v>20260305</x:v>
      </x:c>
      <x:c r="B973" s="20" t="s">
        <x:v>5</x:v>
      </x:c>
      <x:c r="C973" s="20">
        <x:v>1740</x:v>
      </x:c>
      <x:c r="D973" s="21" t="s">
        <x:v>1</x:v>
      </x:c>
      <x:c r="E973" s="20">
        <x:v>1540</x:v>
      </x:c>
      <x:c r="F973" s="20" t="s">
        <x:v>40</x:v>
      </x:c>
      <x:c r="G973" s="22" t="str">
        <x:f>IF(OR(N973="",N973&gt;기본입력!$C$34),"",VLOOKUP(O973,기본입력!$A$9:$F$33,5))</x:f>
        <x:v>양현수_53778</x:v>
      </x:c>
      <x:c r="H973" s="22" t="str">
        <x:f>IF(OR(N973="",N973&gt;기본입력!$C$34),"",기본입력!$C$6)</x:f>
        <x:v>1교육실(실습겸용강의실)_243089</x:v>
      </x:c>
      <x:c r="I973" s="22" t="str">
        <x:f>IF(OR(O973="",N973&gt;기본입력!$C$34),"",VLOOKUP(O973,기본입력!$A$9:$F$33,6,FALSE))</x:f>
        <x:v>Final 프로젝트__10</x:v>
      </x:c>
      <x:c r="J973" s="38" t="str">
        <x:f t="shared" si="90"/>
        <x:v>Final 프로젝트</x:v>
      </x:c>
      <x:c r="K973" s="38" t="str">
        <x:f t="shared" si="91"/>
        <x:v>1교육실(실습겸용강의실)</x:v>
      </x:c>
      <x:c r="L973" s="38" t="str">
        <x:f t="shared" si="92"/>
        <x:v>양현수</x:v>
      </x:c>
      <x:c r="M973" s="63"/>
      <x:c r="N973" s="30">
        <x:f>IF(F973="2","",COUNTIF($F$3:$F973,"=1"))</x:f>
        <x:v>863</x:v>
      </x:c>
      <x:c r="O973" s="30">
        <x:f t="shared" si="93"/>
        <x:v>10</x:v>
      </x:c>
      <x:c r="P973" s="30">
        <x:f t="shared" si="95"/>
        <x:v>1</x:v>
      </x:c>
      <x:c r="Q973" s="30">
        <x:f>COUNTIF($P$3:P973,"=3")</x:f>
        <x:v>108</x:v>
      </x:c>
      <x:c r="R973" s="29">
        <x:f>WORKDAY(기본입력!$H$2,Q973-1,공휴일)</x:f>
        <x:v>46086</x:v>
      </x:c>
    </x:row>
    <x:row r="974" spans="1:18">
      <x:c r="A974" s="145" t="str">
        <x:f t="shared" si="94"/>
        <x:v>20260305</x:v>
      </x:c>
      <x:c r="B974" s="20" t="s">
        <x:v>5</x:v>
      </x:c>
      <x:c r="C974" s="20">
        <x:v>1740</x:v>
      </x:c>
      <x:c r="D974" s="21" t="s">
        <x:v>1</x:v>
      </x:c>
      <x:c r="E974" s="20">
        <x:v>1640</x:v>
      </x:c>
      <x:c r="F974" s="20" t="s">
        <x:v>40</x:v>
      </x:c>
      <x:c r="G974" s="22" t="str">
        <x:f>IF(OR(N974="",N974&gt;기본입력!$C$34),"",VLOOKUP(O974,기본입력!$A$9:$F$33,5))</x:f>
        <x:v>양현수_53778</x:v>
      </x:c>
      <x:c r="H974" s="22" t="str">
        <x:f>IF(OR(N974="",N974&gt;기본입력!$C$34),"",기본입력!$C$6)</x:f>
        <x:v>1교육실(실습겸용강의실)_243089</x:v>
      </x:c>
      <x:c r="I974" s="22" t="str">
        <x:f>IF(OR(O974="",N974&gt;기본입력!$C$34),"",VLOOKUP(O974,기본입력!$A$9:$F$33,6,FALSE))</x:f>
        <x:v>Final 프로젝트__10</x:v>
      </x:c>
      <x:c r="J974" s="38" t="str">
        <x:f t="shared" si="90"/>
        <x:v>Final 프로젝트</x:v>
      </x:c>
      <x:c r="K974" s="38" t="str">
        <x:f t="shared" si="91"/>
        <x:v>1교육실(실습겸용강의실)</x:v>
      </x:c>
      <x:c r="L974" s="38" t="str">
        <x:f t="shared" si="92"/>
        <x:v>양현수</x:v>
      </x:c>
      <x:c r="M974" s="63"/>
      <x:c r="N974" s="30">
        <x:f>IF(F974="2","",COUNTIF($F$3:$F974,"=1"))</x:f>
        <x:v>864</x:v>
      </x:c>
      <x:c r="O974" s="30">
        <x:f t="shared" si="93"/>
        <x:v>10</x:v>
      </x:c>
      <x:c r="P974" s="30">
        <x:f t="shared" si="95"/>
        <x:v>2</x:v>
      </x:c>
      <x:c r="Q974" s="30">
        <x:f>COUNTIF($P$3:P974,"=3")</x:f>
        <x:v>108</x:v>
      </x:c>
      <x:c r="R974" s="29">
        <x:f>WORKDAY(기본입력!$H$2,Q974-1,공휴일)</x:f>
        <x:v>46086</x:v>
      </x:c>
    </x:row>
    <x:row r="975" spans="1:18">
      <x:c r="A975" s="144" t="str">
        <x:f t="shared" si="94"/>
        <x:v>20260306</x:v>
      </x:c>
      <x:c r="B975" s="17" t="s">
        <x:v>5</x:v>
      </x:c>
      <x:c r="C975" s="17">
        <x:v>1740</x:v>
      </x:c>
      <x:c r="D975" s="18" t="s">
        <x:v>1</x:v>
      </x:c>
      <x:c r="E975" s="17" t="s">
        <x:v>5</x:v>
      </x:c>
      <x:c r="F975" s="17" t="s">
        <x:v>40</x:v>
      </x:c>
      <x:c r="G975" s="19" t="str">
        <x:f>IF(OR(N975="",N975&gt;기본입력!$C$34),"",VLOOKUP(O975,기본입력!$A$9:$F$33,5))</x:f>
        <x:v>양현수_53778</x:v>
      </x:c>
      <x:c r="H975" s="19" t="str">
        <x:f>IF(OR(N975="",N975&gt;기본입력!$C$34),"",기본입력!$C$6)</x:f>
        <x:v>1교육실(실습겸용강의실)_243089</x:v>
      </x:c>
      <x:c r="I975" s="19" t="str">
        <x:f>IF(OR(O975="",N975&gt;기본입력!$C$34),"",VLOOKUP(O975,기본입력!$A$9:$F$33,6,FALSE))</x:f>
        <x:v>Final 프로젝트__10</x:v>
      </x:c>
      <x:c r="J975" s="38" t="str">
        <x:f t="shared" si="90"/>
        <x:v>Final 프로젝트</x:v>
      </x:c>
      <x:c r="K975" s="38" t="str">
        <x:f t="shared" si="91"/>
        <x:v>1교육실(실습겸용강의실)</x:v>
      </x:c>
      <x:c r="L975" s="38" t="str">
        <x:f t="shared" si="92"/>
        <x:v>양현수</x:v>
      </x:c>
      <x:c r="M975" s="63"/>
      <x:c r="N975" s="30">
        <x:f>IF(F975="2","",COUNTIF($F$3:$F975,"=1"))</x:f>
        <x:v>865</x:v>
      </x:c>
      <x:c r="O975" s="30">
        <x:f t="shared" si="93"/>
        <x:v>10</x:v>
      </x:c>
      <x:c r="P975" s="30">
        <x:f t="shared" si="95"/>
        <x:v>3</x:v>
      </x:c>
      <x:c r="Q975" s="30">
        <x:f>COUNTIF($P$3:P975,"=3")</x:f>
        <x:v>109</x:v>
      </x:c>
      <x:c r="R975" s="29">
        <x:f>WORKDAY(기본입력!$H$2,Q975-1,공휴일)</x:f>
        <x:v>46087</x:v>
      </x:c>
    </x:row>
    <x:row r="976" spans="1:18">
      <x:c r="A976" s="144" t="str">
        <x:f t="shared" si="94"/>
        <x:v>20260306</x:v>
      </x:c>
      <x:c r="B976" s="17" t="s">
        <x:v>5</x:v>
      </x:c>
      <x:c r="C976" s="17">
        <x:v>1740</x:v>
      </x:c>
      <x:c r="D976" s="18" t="s">
        <x:v>1</x:v>
      </x:c>
      <x:c r="E976" s="17" t="s">
        <x:v>117</x:v>
      </x:c>
      <x:c r="F976" s="17" t="s">
        <x:v>40</x:v>
      </x:c>
      <x:c r="G976" s="19" t="str">
        <x:f>IF(OR(N976="",N976&gt;기본입력!$C$34),"",VLOOKUP(O976,기본입력!$A$9:$F$33,5))</x:f>
        <x:v>양현수_53778</x:v>
      </x:c>
      <x:c r="H976" s="19" t="str">
        <x:f>IF(OR(N976="",N976&gt;기본입력!$C$34),"",기본입력!$C$6)</x:f>
        <x:v>1교육실(실습겸용강의실)_243089</x:v>
      </x:c>
      <x:c r="I976" s="19" t="str">
        <x:f>IF(OR(O976="",N976&gt;기본입력!$C$34),"",VLOOKUP(O976,기본입력!$A$9:$F$33,6,FALSE))</x:f>
        <x:v>Final 프로젝트__10</x:v>
      </x:c>
      <x:c r="J976" s="38" t="str">
        <x:f t="shared" si="90"/>
        <x:v>Final 프로젝트</x:v>
      </x:c>
      <x:c r="K976" s="38" t="str">
        <x:f t="shared" si="91"/>
        <x:v>1교육실(실습겸용강의실)</x:v>
      </x:c>
      <x:c r="L976" s="38" t="str">
        <x:f t="shared" si="92"/>
        <x:v>양현수</x:v>
      </x:c>
      <x:c r="M976" s="63"/>
      <x:c r="N976" s="30">
        <x:f>IF(F976="2","",COUNTIF($F$3:$F976,"=1"))</x:f>
        <x:v>866</x:v>
      </x:c>
      <x:c r="O976" s="30">
        <x:f t="shared" si="93"/>
        <x:v>10</x:v>
      </x:c>
      <x:c r="P976" s="30">
        <x:f t="shared" si="95"/>
        <x:v>4</x:v>
      </x:c>
      <x:c r="Q976" s="30">
        <x:f>COUNTIF($P$3:P976,"=3")</x:f>
        <x:v>109</x:v>
      </x:c>
      <x:c r="R976" s="29">
        <x:f>WORKDAY(기본입력!$H$2,Q976-1,공휴일)</x:f>
        <x:v>46087</x:v>
      </x:c>
    </x:row>
    <x:row r="977" spans="1:18">
      <x:c r="A977" s="144" t="str">
        <x:f t="shared" si="94"/>
        <x:v>20260306</x:v>
      </x:c>
      <x:c r="B977" s="17" t="s">
        <x:v>5</x:v>
      </x:c>
      <x:c r="C977" s="17">
        <x:v>1740</x:v>
      </x:c>
      <x:c r="D977" s="18" t="s">
        <x:v>1</x:v>
      </x:c>
      <x:c r="E977" s="17" t="s">
        <x:v>87</x:v>
      </x:c>
      <x:c r="F977" s="17" t="s">
        <x:v>40</x:v>
      </x:c>
      <x:c r="G977" s="19" t="str">
        <x:f>IF(OR(N977="",N977&gt;기본입력!$C$34),"",VLOOKUP(O977,기본입력!$A$9:$F$33,5))</x:f>
        <x:v>양현수_53778</x:v>
      </x:c>
      <x:c r="H977" s="19" t="str">
        <x:f>IF(OR(N977="",N977&gt;기본입력!$C$34),"",기본입력!$C$6)</x:f>
        <x:v>1교육실(실습겸용강의실)_243089</x:v>
      </x:c>
      <x:c r="I977" s="19" t="str">
        <x:f>IF(OR(O977="",N977&gt;기본입력!$C$34),"",VLOOKUP(O977,기본입력!$A$9:$F$33,6,FALSE))</x:f>
        <x:v>Final 프로젝트__10</x:v>
      </x:c>
      <x:c r="J977" s="38" t="str">
        <x:f t="shared" si="90"/>
        <x:v>Final 프로젝트</x:v>
      </x:c>
      <x:c r="K977" s="38" t="str">
        <x:f t="shared" si="91"/>
        <x:v>1교육실(실습겸용강의실)</x:v>
      </x:c>
      <x:c r="L977" s="38" t="str">
        <x:f t="shared" si="92"/>
        <x:v>양현수</x:v>
      </x:c>
      <x:c r="M977" s="63"/>
      <x:c r="N977" s="30">
        <x:f>IF(F977="2","",COUNTIF($F$3:$F977,"=1"))</x:f>
        <x:v>867</x:v>
      </x:c>
      <x:c r="O977" s="30">
        <x:f t="shared" si="93"/>
        <x:v>10</x:v>
      </x:c>
      <x:c r="P977" s="30">
        <x:f t="shared" si="95"/>
        <x:v>5</x:v>
      </x:c>
      <x:c r="Q977" s="30">
        <x:f>COUNTIF($P$3:P977,"=3")</x:f>
        <x:v>109</x:v>
      </x:c>
      <x:c r="R977" s="29">
        <x:f>WORKDAY(기본입력!$H$2,Q977-1,공휴일)</x:f>
        <x:v>46087</x:v>
      </x:c>
    </x:row>
    <x:row r="978" spans="1:18">
      <x:c r="A978" s="144" t="str">
        <x:f t="shared" si="94"/>
        <x:v>20260306</x:v>
      </x:c>
      <x:c r="B978" s="17" t="s">
        <x:v>5</x:v>
      </x:c>
      <x:c r="C978" s="17">
        <x:v>1740</x:v>
      </x:c>
      <x:c r="D978" s="18" t="s">
        <x:v>1</x:v>
      </x:c>
      <x:c r="E978" s="17" t="s">
        <x:v>88</x:v>
      </x:c>
      <x:c r="F978" s="17" t="s">
        <x:v>40</x:v>
      </x:c>
      <x:c r="G978" s="19" t="str">
        <x:f>IF(OR(N978="",N978&gt;기본입력!$C$34),"",VLOOKUP(O978,기본입력!$A$9:$F$33,5))</x:f>
        <x:v>양현수_53778</x:v>
      </x:c>
      <x:c r="H978" s="19" t="str">
        <x:f>IF(OR(N978="",N978&gt;기본입력!$C$34),"",기본입력!$C$6)</x:f>
        <x:v>1교육실(실습겸용강의실)_243089</x:v>
      </x:c>
      <x:c r="I978" s="19" t="str">
        <x:f>IF(OR(O978="",N978&gt;기본입력!$C$34),"",VLOOKUP(O978,기본입력!$A$9:$F$33,6,FALSE))</x:f>
        <x:v>Final 프로젝트__10</x:v>
      </x:c>
      <x:c r="J978" s="38" t="str">
        <x:f t="shared" si="90"/>
        <x:v>Final 프로젝트</x:v>
      </x:c>
      <x:c r="K978" s="38" t="str">
        <x:f t="shared" si="91"/>
        <x:v>1교육실(실습겸용강의실)</x:v>
      </x:c>
      <x:c r="L978" s="38" t="str">
        <x:f t="shared" si="92"/>
        <x:v>양현수</x:v>
      </x:c>
      <x:c r="M978" s="63"/>
      <x:c r="N978" s="30">
        <x:f>IF(F978="2","",COUNTIF($F$3:$F978,"=1"))</x:f>
        <x:v>868</x:v>
      </x:c>
      <x:c r="O978" s="30">
        <x:f t="shared" si="93"/>
        <x:v>10</x:v>
      </x:c>
      <x:c r="P978" s="30">
        <x:f t="shared" si="95"/>
        <x:v>6</x:v>
      </x:c>
      <x:c r="Q978" s="30">
        <x:f>COUNTIF($P$3:P978,"=3")</x:f>
        <x:v>109</x:v>
      </x:c>
      <x:c r="R978" s="29">
        <x:f>WORKDAY(기본입력!$H$2,Q978-1,공휴일)</x:f>
        <x:v>46087</x:v>
      </x:c>
    </x:row>
    <x:row r="979" spans="1:18">
      <x:c r="A979" s="144" t="str">
        <x:f t="shared" si="94"/>
        <x:v>20260306</x:v>
      </x:c>
      <x:c r="B979" s="17" t="s">
        <x:v>5</x:v>
      </x:c>
      <x:c r="C979" s="17">
        <x:v>1740</x:v>
      </x:c>
      <x:c r="D979" s="18" t="s">
        <x:v>1</x:v>
      </x:c>
      <x:c r="E979" s="17" t="s">
        <x:v>0</x:v>
      </x:c>
      <x:c r="F979" s="17" t="s">
        <x:v>41</x:v>
      </x:c>
      <x:c r="G979" s="19" t="str">
        <x:f>IF(OR(N979="",N979&gt;기본입력!$C$34),"",VLOOKUP(O979,기본입력!$A$9:$F$33,5))</x:f>
        <x:v/>
      </x:c>
      <x:c r="H979" s="19" t="str">
        <x:f>IF(OR(N979="",N979&gt;기본입력!$C$34),"",기본입력!$C$6)</x:f>
        <x:v/>
      </x:c>
      <x:c r="I979" s="19" t="str">
        <x:f>IF(OR(O979="",N979&gt;기본입력!$C$34),"",VLOOKUP(O979,기본입력!$A$9:$F$33,6,FALSE))</x:f>
        <x:v/>
      </x:c>
      <x:c r="J979" s="38" t="str">
        <x:f t="shared" si="90"/>
        <x:v/>
      </x:c>
      <x:c r="K979" s="38" t="str">
        <x:f t="shared" si="91"/>
        <x:v/>
      </x:c>
      <x:c r="L979" s="38" t="str">
        <x:f t="shared" si="92"/>
        <x:v/>
      </x:c>
      <x:c r="M979" s="63"/>
      <x:c r="N979" s="30" t="str">
        <x:f>IF(F979="2","",COUNTIF($F$3:$F979,"=1"))</x:f>
        <x:v/>
      </x:c>
      <x:c r="O979" s="30" t="str">
        <x:f t="shared" si="93"/>
        <x:v/>
      </x:c>
      <x:c r="P979" s="30">
        <x:f t="shared" si="95"/>
        <x:v>7</x:v>
      </x:c>
      <x:c r="Q979" s="30">
        <x:f>COUNTIF($P$3:P979,"=3")</x:f>
        <x:v>109</x:v>
      </x:c>
      <x:c r="R979" s="29">
        <x:f>WORKDAY(기본입력!$H$2,Q979-1,공휴일)</x:f>
        <x:v>46087</x:v>
      </x:c>
    </x:row>
    <x:row r="980" spans="1:18">
      <x:c r="A980" s="144" t="str">
        <x:f t="shared" si="94"/>
        <x:v>20260306</x:v>
      </x:c>
      <x:c r="B980" s="17" t="s">
        <x:v>5</x:v>
      </x:c>
      <x:c r="C980" s="17">
        <x:v>1740</x:v>
      </x:c>
      <x:c r="D980" s="18" t="s">
        <x:v>1</x:v>
      </x:c>
      <x:c r="E980" s="17">
        <x:v>1340</x:v>
      </x:c>
      <x:c r="F980" s="17" t="s">
        <x:v>40</x:v>
      </x:c>
      <x:c r="G980" s="19" t="str">
        <x:f>IF(OR(N980="",N980&gt;기본입력!$C$34),"",VLOOKUP(O980,기본입력!$A$9:$F$33,5))</x:f>
        <x:v>양현수_53778</x:v>
      </x:c>
      <x:c r="H980" s="19" t="str">
        <x:f>IF(OR(N980="",N980&gt;기본입력!$C$34),"",기본입력!$C$6)</x:f>
        <x:v>1교육실(실습겸용강의실)_243089</x:v>
      </x:c>
      <x:c r="I980" s="19" t="str">
        <x:f>IF(OR(O980="",N980&gt;기본입력!$C$34),"",VLOOKUP(O980,기본입력!$A$9:$F$33,6,FALSE))</x:f>
        <x:v>Final 프로젝트__10</x:v>
      </x:c>
      <x:c r="J980" s="38" t="str">
        <x:f t="shared" si="90"/>
        <x:v>Final 프로젝트</x:v>
      </x:c>
      <x:c r="K980" s="38" t="str">
        <x:f t="shared" si="91"/>
        <x:v>1교육실(실습겸용강의실)</x:v>
      </x:c>
      <x:c r="L980" s="38" t="str">
        <x:f t="shared" si="92"/>
        <x:v>양현수</x:v>
      </x:c>
      <x:c r="M980" s="63"/>
      <x:c r="N980" s="30">
        <x:f>IF(F980="2","",COUNTIF($F$3:$F980,"=1"))</x:f>
        <x:v>869</x:v>
      </x:c>
      <x:c r="O980" s="30">
        <x:f t="shared" si="93"/>
        <x:v>10</x:v>
      </x:c>
      <x:c r="P980" s="30">
        <x:f t="shared" si="95"/>
        <x:v>8</x:v>
      </x:c>
      <x:c r="Q980" s="30">
        <x:f>COUNTIF($P$3:P980,"=3")</x:f>
        <x:v>109</x:v>
      </x:c>
      <x:c r="R980" s="29">
        <x:f>WORKDAY(기본입력!$H$2,Q980-1,공휴일)</x:f>
        <x:v>46087</x:v>
      </x:c>
    </x:row>
    <x:row r="981" spans="1:18">
      <x:c r="A981" s="144" t="str">
        <x:f t="shared" si="94"/>
        <x:v>20260306</x:v>
      </x:c>
      <x:c r="B981" s="17" t="s">
        <x:v>5</x:v>
      </x:c>
      <x:c r="C981" s="17">
        <x:v>1740</x:v>
      </x:c>
      <x:c r="D981" s="18" t="s">
        <x:v>1</x:v>
      </x:c>
      <x:c r="E981" s="17">
        <x:v>1440</x:v>
      </x:c>
      <x:c r="F981" s="17" t="s">
        <x:v>40</x:v>
      </x:c>
      <x:c r="G981" s="19" t="str">
        <x:f>IF(OR(N981="",N981&gt;기본입력!$C$34),"",VLOOKUP(O981,기본입력!$A$9:$F$33,5))</x:f>
        <x:v>양현수_53778</x:v>
      </x:c>
      <x:c r="H981" s="19" t="str">
        <x:f>IF(OR(N981="",N981&gt;기본입력!$C$34),"",기본입력!$C$6)</x:f>
        <x:v>1교육실(실습겸용강의실)_243089</x:v>
      </x:c>
      <x:c r="I981" s="19" t="str">
        <x:f>IF(OR(O981="",N981&gt;기본입력!$C$34),"",VLOOKUP(O981,기본입력!$A$9:$F$33,6,FALSE))</x:f>
        <x:v>Final 프로젝트__10</x:v>
      </x:c>
      <x:c r="J981" s="38" t="str">
        <x:f t="shared" si="90"/>
        <x:v>Final 프로젝트</x:v>
      </x:c>
      <x:c r="K981" s="38" t="str">
        <x:f t="shared" si="91"/>
        <x:v>1교육실(실습겸용강의실)</x:v>
      </x:c>
      <x:c r="L981" s="38" t="str">
        <x:f t="shared" si="92"/>
        <x:v>양현수</x:v>
      </x:c>
      <x:c r="M981" s="63"/>
      <x:c r="N981" s="30">
        <x:f>IF(F981="2","",COUNTIF($F$3:$F981,"=1"))</x:f>
        <x:v>870</x:v>
      </x:c>
      <x:c r="O981" s="30">
        <x:f t="shared" si="93"/>
        <x:v>10</x:v>
      </x:c>
      <x:c r="P981" s="30">
        <x:f t="shared" si="95"/>
        <x:v>0</x:v>
      </x:c>
      <x:c r="Q981" s="30">
        <x:f>COUNTIF($P$3:P981,"=3")</x:f>
        <x:v>109</x:v>
      </x:c>
      <x:c r="R981" s="29">
        <x:f>WORKDAY(기본입력!$H$2,Q981-1,공휴일)</x:f>
        <x:v>46087</x:v>
      </x:c>
    </x:row>
    <x:row r="982" spans="1:18">
      <x:c r="A982" s="144" t="str">
        <x:f t="shared" si="94"/>
        <x:v>20260306</x:v>
      </x:c>
      <x:c r="B982" s="17" t="s">
        <x:v>5</x:v>
      </x:c>
      <x:c r="C982" s="17">
        <x:v>1740</x:v>
      </x:c>
      <x:c r="D982" s="18" t="s">
        <x:v>1</x:v>
      </x:c>
      <x:c r="E982" s="17">
        <x:v>1540</x:v>
      </x:c>
      <x:c r="F982" s="17" t="s">
        <x:v>40</x:v>
      </x:c>
      <x:c r="G982" s="19" t="str">
        <x:f>IF(OR(N982="",N982&gt;기본입력!$C$34),"",VLOOKUP(O982,기본입력!$A$9:$F$33,5))</x:f>
        <x:v>양현수_53778</x:v>
      </x:c>
      <x:c r="H982" s="19" t="str">
        <x:f>IF(OR(N982="",N982&gt;기본입력!$C$34),"",기본입력!$C$6)</x:f>
        <x:v>1교육실(실습겸용강의실)_243089</x:v>
      </x:c>
      <x:c r="I982" s="19" t="str">
        <x:f>IF(OR(O982="",N982&gt;기본입력!$C$34),"",VLOOKUP(O982,기본입력!$A$9:$F$33,6,FALSE))</x:f>
        <x:v>Final 프로젝트__10</x:v>
      </x:c>
      <x:c r="J982" s="38" t="str">
        <x:f t="shared" si="90"/>
        <x:v>Final 프로젝트</x:v>
      </x:c>
      <x:c r="K982" s="38" t="str">
        <x:f t="shared" si="91"/>
        <x:v>1교육실(실습겸용강의실)</x:v>
      </x:c>
      <x:c r="L982" s="38" t="str">
        <x:f t="shared" si="92"/>
        <x:v>양현수</x:v>
      </x:c>
      <x:c r="M982" s="63"/>
      <x:c r="N982" s="30">
        <x:f>IF(F982="2","",COUNTIF($F$3:$F982,"=1"))</x:f>
        <x:v>871</x:v>
      </x:c>
      <x:c r="O982" s="30">
        <x:f t="shared" si="93"/>
        <x:v>10</x:v>
      </x:c>
      <x:c r="P982" s="30">
        <x:f t="shared" si="95"/>
        <x:v>1</x:v>
      </x:c>
      <x:c r="Q982" s="30">
        <x:f>COUNTIF($P$3:P982,"=3")</x:f>
        <x:v>109</x:v>
      </x:c>
      <x:c r="R982" s="29">
        <x:f>WORKDAY(기본입력!$H$2,Q982-1,공휴일)</x:f>
        <x:v>46087</x:v>
      </x:c>
    </x:row>
    <x:row r="983" spans="1:18">
      <x:c r="A983" s="144" t="str">
        <x:f t="shared" si="94"/>
        <x:v>20260306</x:v>
      </x:c>
      <x:c r="B983" s="17" t="s">
        <x:v>5</x:v>
      </x:c>
      <x:c r="C983" s="17">
        <x:v>1740</x:v>
      </x:c>
      <x:c r="D983" s="18"/>
      <x:c r="E983" s="17">
        <x:v>1640</x:v>
      </x:c>
      <x:c r="F983" s="17" t="s">
        <x:v>40</x:v>
      </x:c>
      <x:c r="G983" s="19" t="str">
        <x:f>IF(OR(N983="",N983&gt;기본입력!$C$34),"",VLOOKUP(O983,기본입력!$A$9:$F$33,5))</x:f>
        <x:v>양현수_53778</x:v>
      </x:c>
      <x:c r="H983" s="19" t="str">
        <x:f>IF(OR(N983="",N983&gt;기본입력!$C$34),"",기본입력!$C$6)</x:f>
        <x:v>1교육실(실습겸용강의실)_243089</x:v>
      </x:c>
      <x:c r="I983" s="19" t="str">
        <x:f>IF(OR(O983="",N983&gt;기본입력!$C$34),"",VLOOKUP(O983,기본입력!$A$9:$F$33,6,FALSE))</x:f>
        <x:v>Final 프로젝트__10</x:v>
      </x:c>
      <x:c r="J983" s="38" t="str">
        <x:f>IF(F983="2","",LEFT(I983,FIND("_",I983,2)-1))</x:f>
        <x:v>Final 프로젝트</x:v>
      </x:c>
      <x:c r="K983" s="38" t="str">
        <x:f>IF(F983="2","",LEFT(H983,FIND("_",H983,2)-1))</x:f>
        <x:v>1교육실(실습겸용강의실)</x:v>
      </x:c>
      <x:c r="L983" s="38" t="str">
        <x:f>IF(F983="2","",LEFT(G983,FIND("_",G983,2)-1))</x:f>
        <x:v>양현수</x:v>
      </x:c>
      <x:c r="M983" s="63"/>
      <x:c r="N983" s="30">
        <x:f>IF(F983="2","",COUNTIF($F$3:$F983,"=1"))</x:f>
        <x:v>872</x:v>
      </x:c>
      <x:c r="O983" s="30">
        <x:f>IF(F983="2","",IF(N983&lt;=누적시수1,1,IF(N983&lt;=누적시수2,2,IF(N983&lt;=누적시수3,3,IF(N983&lt;=누적시수4,4,IF(N983&lt;=누적시수5,5,IF(N983&lt;=누적시수6,6,IF(N983&lt;=누적시수7,7,IF(N983&lt;=누적시수8,8,IF(N983&lt;=누적시수9,9,IF(N983&lt;=누적시수10,10,IF(N983&lt;=누적시수11,11,IF(N983&lt;=누적시수12,12,IF(N983&lt;=누적시수13,13,IF(N983&lt;=누적시수14,14,IF(N983&lt;=누적시수15,15,IF(N983&lt;=누적시수16,16,IF(N983&lt;=누적시수17,17,IF(N983&lt;=누적시수18,18,IF(N983&lt;=누적시수19,19,IF(N983&lt;=누적시수20,20,IF(N983&lt;=누적시수21,21,IF(N983&lt;=누적시수22,22,IF(N983&lt;=누적시수23,23,IF(N983&lt;=누적시수24,24,IF(N983&lt;=누적시수25,25,0))))))))))))))))))))))))))</x:f>
        <x:v>10</x:v>
      </x:c>
      <x:c r="P983" s="30">
        <x:f t="shared" si="95"/>
        <x:v>2</x:v>
      </x:c>
      <x:c r="Q983" s="30">
        <x:f>COUNTIF($P$3:P983,"=3")</x:f>
        <x:v>109</x:v>
      </x:c>
      <x:c r="R983" s="29">
        <x:f>WORKDAY(기본입력!$H$2,Q983-1,공휴일)</x:f>
        <x:v>46087</x:v>
      </x:c>
    </x:row>
    <x:row r="984" spans="1:18">
      <x:c r="A984" s="145" t="str">
        <x:f t="shared" si="94"/>
        <x:v>20260309</x:v>
      </x:c>
      <x:c r="B984" s="20" t="s">
        <x:v>5</x:v>
      </x:c>
      <x:c r="C984" s="20">
        <x:v>1740</x:v>
      </x:c>
      <x:c r="D984" s="21" t="s">
        <x:v>1</x:v>
      </x:c>
      <x:c r="E984" s="20" t="s">
        <x:v>5</x:v>
      </x:c>
      <x:c r="F984" s="20" t="s">
        <x:v>40</x:v>
      </x:c>
      <x:c r="G984" s="22" t="str">
        <x:f>IF(OR(N984="",N984&gt;기본입력!$C$34),"",VLOOKUP(O984,기본입력!$A$9:$F$33,5))</x:f>
        <x:v>양현수_53778</x:v>
      </x:c>
      <x:c r="H984" s="22" t="str">
        <x:f>IF(OR(N984="",N984&gt;기본입력!$C$34),"",기본입력!$C$6)</x:f>
        <x:v>1교육실(실습겸용강의실)_243089</x:v>
      </x:c>
      <x:c r="I984" s="22" t="str">
        <x:f>IF(OR(O984="",N984&gt;기본입력!$C$34),"",VLOOKUP(O984,기본입력!$A$9:$F$33,6,FALSE))</x:f>
        <x:v>Final 프로젝트__10</x:v>
      </x:c>
      <x:c r="J984" s="38" t="str">
        <x:f t="shared" si="90"/>
        <x:v>Final 프로젝트</x:v>
      </x:c>
      <x:c r="K984" s="38" t="str">
        <x:f t="shared" si="91"/>
        <x:v>1교육실(실습겸용강의실)</x:v>
      </x:c>
      <x:c r="L984" s="38" t="str">
        <x:f t="shared" si="92"/>
        <x:v>양현수</x:v>
      </x:c>
      <x:c r="M984" s="63"/>
      <x:c r="N984" s="30">
        <x:f>IF(F984="2","",COUNTIF($F$3:$F984,"=1"))</x:f>
        <x:v>873</x:v>
      </x:c>
      <x:c r="O984" s="30">
        <x:f t="shared" si="93"/>
        <x:v>10</x:v>
      </x:c>
      <x:c r="P984" s="30">
        <x:f t="shared" si="95"/>
        <x:v>3</x:v>
      </x:c>
      <x:c r="Q984" s="30">
        <x:f>COUNTIF($P$3:P984,"=3")</x:f>
        <x:v>110</x:v>
      </x:c>
      <x:c r="R984" s="29">
        <x:f>WORKDAY(기본입력!$H$2,Q984-1,공휴일)</x:f>
        <x:v>46090</x:v>
      </x:c>
    </x:row>
    <x:row r="985" spans="1:18">
      <x:c r="A985" s="145" t="str">
        <x:f t="shared" si="94"/>
        <x:v>20260309</x:v>
      </x:c>
      <x:c r="B985" s="20" t="s">
        <x:v>5</x:v>
      </x:c>
      <x:c r="C985" s="20">
        <x:v>1740</x:v>
      </x:c>
      <x:c r="D985" s="21" t="s">
        <x:v>1</x:v>
      </x:c>
      <x:c r="E985" s="20" t="s">
        <x:v>117</x:v>
      </x:c>
      <x:c r="F985" s="20" t="s">
        <x:v>40</x:v>
      </x:c>
      <x:c r="G985" s="22" t="str">
        <x:f>IF(OR(N985="",N985&gt;기본입력!$C$34),"",VLOOKUP(O985,기본입력!$A$9:$F$33,5))</x:f>
        <x:v>양현수_53778</x:v>
      </x:c>
      <x:c r="H985" s="22" t="str">
        <x:f>IF(OR(N985="",N985&gt;기본입력!$C$34),"",기본입력!$C$6)</x:f>
        <x:v>1교육실(실습겸용강의실)_243089</x:v>
      </x:c>
      <x:c r="I985" s="22" t="str">
        <x:f>IF(OR(O985="",N985&gt;기본입력!$C$34),"",VLOOKUP(O985,기본입력!$A$9:$F$33,6,FALSE))</x:f>
        <x:v>Final 프로젝트__10</x:v>
      </x:c>
      <x:c r="J985" s="38" t="str">
        <x:f t="shared" si="90"/>
        <x:v>Final 프로젝트</x:v>
      </x:c>
      <x:c r="K985" s="38" t="str">
        <x:f t="shared" si="91"/>
        <x:v>1교육실(실습겸용강의실)</x:v>
      </x:c>
      <x:c r="L985" s="38" t="str">
        <x:f t="shared" si="92"/>
        <x:v>양현수</x:v>
      </x:c>
      <x:c r="M985" s="63"/>
      <x:c r="N985" s="30">
        <x:f>IF(F985="2","",COUNTIF($F$3:$F985,"=1"))</x:f>
        <x:v>874</x:v>
      </x:c>
      <x:c r="O985" s="30">
        <x:f t="shared" si="93"/>
        <x:v>10</x:v>
      </x:c>
      <x:c r="P985" s="30">
        <x:f t="shared" si="95"/>
        <x:v>4</x:v>
      </x:c>
      <x:c r="Q985" s="30">
        <x:f>COUNTIF($P$3:P985,"=3")</x:f>
        <x:v>110</x:v>
      </x:c>
      <x:c r="R985" s="29">
        <x:f>WORKDAY(기본입력!$H$2,Q985-1,공휴일)</x:f>
        <x:v>46090</x:v>
      </x:c>
    </x:row>
    <x:row r="986" spans="1:18">
      <x:c r="A986" s="145" t="str">
        <x:f t="shared" si="94"/>
        <x:v>20260309</x:v>
      </x:c>
      <x:c r="B986" s="20" t="s">
        <x:v>5</x:v>
      </x:c>
      <x:c r="C986" s="20">
        <x:v>1740</x:v>
      </x:c>
      <x:c r="D986" s="21" t="s">
        <x:v>1</x:v>
      </x:c>
      <x:c r="E986" s="20" t="s">
        <x:v>87</x:v>
      </x:c>
      <x:c r="F986" s="20" t="s">
        <x:v>40</x:v>
      </x:c>
      <x:c r="G986" s="22" t="str">
        <x:f>IF(OR(N986="",N986&gt;기본입력!$C$34),"",VLOOKUP(O986,기본입력!$A$9:$F$33,5))</x:f>
        <x:v>양현수_53778</x:v>
      </x:c>
      <x:c r="H986" s="22" t="str">
        <x:f>IF(OR(N986="",N986&gt;기본입력!$C$34),"",기본입력!$C$6)</x:f>
        <x:v>1교육실(실습겸용강의실)_243089</x:v>
      </x:c>
      <x:c r="I986" s="22" t="str">
        <x:f>IF(OR(O986="",N986&gt;기본입력!$C$34),"",VLOOKUP(O986,기본입력!$A$9:$F$33,6,FALSE))</x:f>
        <x:v>Final 프로젝트__10</x:v>
      </x:c>
      <x:c r="J986" s="38" t="str">
        <x:f t="shared" si="90"/>
        <x:v>Final 프로젝트</x:v>
      </x:c>
      <x:c r="K986" s="38" t="str">
        <x:f t="shared" si="91"/>
        <x:v>1교육실(실습겸용강의실)</x:v>
      </x:c>
      <x:c r="L986" s="38" t="str">
        <x:f t="shared" si="92"/>
        <x:v>양현수</x:v>
      </x:c>
      <x:c r="M986" s="63"/>
      <x:c r="N986" s="30">
        <x:f>IF(F986="2","",COUNTIF($F$3:$F986,"=1"))</x:f>
        <x:v>875</x:v>
      </x:c>
      <x:c r="O986" s="30">
        <x:f t="shared" si="93"/>
        <x:v>10</x:v>
      </x:c>
      <x:c r="P986" s="30">
        <x:f t="shared" si="95"/>
        <x:v>5</x:v>
      </x:c>
      <x:c r="Q986" s="30">
        <x:f>COUNTIF($P$3:P986,"=3")</x:f>
        <x:v>110</x:v>
      </x:c>
      <x:c r="R986" s="29">
        <x:f>WORKDAY(기본입력!$H$2,Q986-1,공휴일)</x:f>
        <x:v>46090</x:v>
      </x:c>
    </x:row>
    <x:row r="987" spans="1:18">
      <x:c r="A987" s="145" t="str">
        <x:f t="shared" si="94"/>
        <x:v>20260309</x:v>
      </x:c>
      <x:c r="B987" s="20" t="s">
        <x:v>5</x:v>
      </x:c>
      <x:c r="C987" s="20">
        <x:v>1740</x:v>
      </x:c>
      <x:c r="D987" s="21" t="s">
        <x:v>1</x:v>
      </x:c>
      <x:c r="E987" s="20" t="s">
        <x:v>88</x:v>
      </x:c>
      <x:c r="F987" s="20" t="s">
        <x:v>40</x:v>
      </x:c>
      <x:c r="G987" s="22" t="str">
        <x:f>IF(OR(N987="",N987&gt;기본입력!$C$34),"",VLOOKUP(O987,기본입력!$A$9:$F$33,5))</x:f>
        <x:v>양현수_53778</x:v>
      </x:c>
      <x:c r="H987" s="22" t="str">
        <x:f>IF(OR(N987="",N987&gt;기본입력!$C$34),"",기본입력!$C$6)</x:f>
        <x:v>1교육실(실습겸용강의실)_243089</x:v>
      </x:c>
      <x:c r="I987" s="22" t="str">
        <x:f>IF(OR(O987="",N987&gt;기본입력!$C$34),"",VLOOKUP(O987,기본입력!$A$9:$F$33,6,FALSE))</x:f>
        <x:v>Final 프로젝트__10</x:v>
      </x:c>
      <x:c r="J987" s="38" t="str">
        <x:f t="shared" si="90"/>
        <x:v>Final 프로젝트</x:v>
      </x:c>
      <x:c r="K987" s="38" t="str">
        <x:f t="shared" si="91"/>
        <x:v>1교육실(실습겸용강의실)</x:v>
      </x:c>
      <x:c r="L987" s="38" t="str">
        <x:f t="shared" si="92"/>
        <x:v>양현수</x:v>
      </x:c>
      <x:c r="M987" s="63"/>
      <x:c r="N987" s="30">
        <x:f>IF(F987="2","",COUNTIF($F$3:$F987,"=1"))</x:f>
        <x:v>876</x:v>
      </x:c>
      <x:c r="O987" s="30">
        <x:f t="shared" si="93"/>
        <x:v>10</x:v>
      </x:c>
      <x:c r="P987" s="30">
        <x:f t="shared" si="95"/>
        <x:v>6</x:v>
      </x:c>
      <x:c r="Q987" s="30">
        <x:f>COUNTIF($P$3:P987,"=3")</x:f>
        <x:v>110</x:v>
      </x:c>
      <x:c r="R987" s="29">
        <x:f>WORKDAY(기본입력!$H$2,Q987-1,공휴일)</x:f>
        <x:v>46090</x:v>
      </x:c>
    </x:row>
    <x:row r="988" spans="1:18">
      <x:c r="A988" s="145" t="str">
        <x:f t="shared" si="94"/>
        <x:v>20260309</x:v>
      </x:c>
      <x:c r="B988" s="20" t="s">
        <x:v>5</x:v>
      </x:c>
      <x:c r="C988" s="20">
        <x:v>1740</x:v>
      </x:c>
      <x:c r="D988" s="21" t="s">
        <x:v>1</x:v>
      </x:c>
      <x:c r="E988" s="20" t="s">
        <x:v>0</x:v>
      </x:c>
      <x:c r="F988" s="20" t="s">
        <x:v>41</x:v>
      </x:c>
      <x:c r="G988" s="22" t="str">
        <x:f>IF(OR(N988="",N988&gt;기본입력!$C$34),"",VLOOKUP(O988,기본입력!$A$9:$F$33,5))</x:f>
        <x:v/>
      </x:c>
      <x:c r="H988" s="22" t="str">
        <x:f>IF(OR(N988="",N988&gt;기본입력!$C$34),"",기본입력!$C$6)</x:f>
        <x:v/>
      </x:c>
      <x:c r="I988" s="22" t="str">
        <x:f>IF(OR(O988="",N988&gt;기본입력!$C$34),"",VLOOKUP(O988,기본입력!$A$9:$F$33,6,FALSE))</x:f>
        <x:v/>
      </x:c>
      <x:c r="J988" s="38" t="str">
        <x:f t="shared" si="90"/>
        <x:v/>
      </x:c>
      <x:c r="K988" s="38" t="str">
        <x:f t="shared" si="91"/>
        <x:v/>
      </x:c>
      <x:c r="L988" s="38" t="str">
        <x:f t="shared" si="92"/>
        <x:v/>
      </x:c>
      <x:c r="M988" s="63"/>
      <x:c r="N988" s="30" t="str">
        <x:f>IF(F988="2","",COUNTIF($F$3:$F988,"=1"))</x:f>
        <x:v/>
      </x:c>
      <x:c r="O988" s="30" t="str">
        <x:f t="shared" si="93"/>
        <x:v/>
      </x:c>
      <x:c r="P988" s="30">
        <x:f t="shared" si="95"/>
        <x:v>7</x:v>
      </x:c>
      <x:c r="Q988" s="30">
        <x:f>COUNTIF($P$3:P988,"=3")</x:f>
        <x:v>110</x:v>
      </x:c>
      <x:c r="R988" s="29">
        <x:f>WORKDAY(기본입력!$H$2,Q988-1,공휴일)</x:f>
        <x:v>46090</x:v>
      </x:c>
    </x:row>
    <x:row r="989" spans="1:18">
      <x:c r="A989" s="145" t="str">
        <x:f t="shared" si="94"/>
        <x:v>20260309</x:v>
      </x:c>
      <x:c r="B989" s="20" t="s">
        <x:v>5</x:v>
      </x:c>
      <x:c r="C989" s="20">
        <x:v>1740</x:v>
      </x:c>
      <x:c r="D989" s="21" t="s">
        <x:v>1</x:v>
      </x:c>
      <x:c r="E989" s="20">
        <x:v>1340</x:v>
      </x:c>
      <x:c r="F989" s="20" t="s">
        <x:v>40</x:v>
      </x:c>
      <x:c r="G989" s="22" t="str">
        <x:f>IF(OR(N989="",N989&gt;기본입력!$C$34),"",VLOOKUP(O989,기본입력!$A$9:$F$33,5))</x:f>
        <x:v>양현수_53778</x:v>
      </x:c>
      <x:c r="H989" s="22" t="str">
        <x:f>IF(OR(N989="",N989&gt;기본입력!$C$34),"",기본입력!$C$6)</x:f>
        <x:v>1교육실(실습겸용강의실)_243089</x:v>
      </x:c>
      <x:c r="I989" s="22" t="str">
        <x:f>IF(OR(O989="",N989&gt;기본입력!$C$34),"",VLOOKUP(O989,기본입력!$A$9:$F$33,6,FALSE))</x:f>
        <x:v>Final 프로젝트__10</x:v>
      </x:c>
      <x:c r="J989" s="38" t="str">
        <x:f t="shared" si="90"/>
        <x:v>Final 프로젝트</x:v>
      </x:c>
      <x:c r="K989" s="38" t="str">
        <x:f t="shared" si="91"/>
        <x:v>1교육실(실습겸용강의실)</x:v>
      </x:c>
      <x:c r="L989" s="38" t="str">
        <x:f t="shared" si="92"/>
        <x:v>양현수</x:v>
      </x:c>
      <x:c r="M989" s="63"/>
      <x:c r="N989" s="30">
        <x:f>IF(F989="2","",COUNTIF($F$3:$F989,"=1"))</x:f>
        <x:v>877</x:v>
      </x:c>
      <x:c r="O989" s="30">
        <x:f t="shared" si="93"/>
        <x:v>10</x:v>
      </x:c>
      <x:c r="P989" s="30">
        <x:f t="shared" si="95"/>
        <x:v>8</x:v>
      </x:c>
      <x:c r="Q989" s="30">
        <x:f>COUNTIF($P$3:P989,"=3")</x:f>
        <x:v>110</x:v>
      </x:c>
      <x:c r="R989" s="29">
        <x:f>WORKDAY(기본입력!$H$2,Q989-1,공휴일)</x:f>
        <x:v>46090</x:v>
      </x:c>
    </x:row>
    <x:row r="990" spans="1:18">
      <x:c r="A990" s="145" t="str">
        <x:f t="shared" si="94"/>
        <x:v>20260309</x:v>
      </x:c>
      <x:c r="B990" s="20" t="s">
        <x:v>5</x:v>
      </x:c>
      <x:c r="C990" s="20">
        <x:v>1740</x:v>
      </x:c>
      <x:c r="D990" s="21" t="s">
        <x:v>1</x:v>
      </x:c>
      <x:c r="E990" s="20">
        <x:v>1440</x:v>
      </x:c>
      <x:c r="F990" s="20" t="s">
        <x:v>40</x:v>
      </x:c>
      <x:c r="G990" s="22" t="str">
        <x:f>IF(OR(N990="",N990&gt;기본입력!$C$34),"",VLOOKUP(O990,기본입력!$A$9:$F$33,5))</x:f>
        <x:v>양현수_53778</x:v>
      </x:c>
      <x:c r="H990" s="22" t="str">
        <x:f>IF(OR(N990="",N990&gt;기본입력!$C$34),"",기본입력!$C$6)</x:f>
        <x:v>1교육실(실습겸용강의실)_243089</x:v>
      </x:c>
      <x:c r="I990" s="22" t="str">
        <x:f>IF(OR(O990="",N990&gt;기본입력!$C$34),"",VLOOKUP(O990,기본입력!$A$9:$F$33,6,FALSE))</x:f>
        <x:v>Final 프로젝트__10</x:v>
      </x:c>
      <x:c r="J990" s="38" t="str">
        <x:f t="shared" si="90"/>
        <x:v>Final 프로젝트</x:v>
      </x:c>
      <x:c r="K990" s="38" t="str">
        <x:f t="shared" si="91"/>
        <x:v>1교육실(실습겸용강의실)</x:v>
      </x:c>
      <x:c r="L990" s="38" t="str">
        <x:f t="shared" si="92"/>
        <x:v>양현수</x:v>
      </x:c>
      <x:c r="M990" s="63"/>
      <x:c r="N990" s="30">
        <x:f>IF(F990="2","",COUNTIF($F$3:$F990,"=1"))</x:f>
        <x:v>878</x:v>
      </x:c>
      <x:c r="O990" s="30">
        <x:f t="shared" si="93"/>
        <x:v>10</x:v>
      </x:c>
      <x:c r="P990" s="30">
        <x:f t="shared" si="95"/>
        <x:v>0</x:v>
      </x:c>
      <x:c r="Q990" s="30">
        <x:f>COUNTIF($P$3:P990,"=3")</x:f>
        <x:v>110</x:v>
      </x:c>
      <x:c r="R990" s="29">
        <x:f>WORKDAY(기본입력!$H$2,Q990-1,공휴일)</x:f>
        <x:v>46090</x:v>
      </x:c>
    </x:row>
    <x:row r="991" spans="1:18">
      <x:c r="A991" s="145" t="str">
        <x:f t="shared" si="94"/>
        <x:v>20260309</x:v>
      </x:c>
      <x:c r="B991" s="20" t="s">
        <x:v>5</x:v>
      </x:c>
      <x:c r="C991" s="20">
        <x:v>1740</x:v>
      </x:c>
      <x:c r="D991" s="21" t="s">
        <x:v>1</x:v>
      </x:c>
      <x:c r="E991" s="20">
        <x:v>1540</x:v>
      </x:c>
      <x:c r="F991" s="20" t="s">
        <x:v>40</x:v>
      </x:c>
      <x:c r="G991" s="22" t="str">
        <x:f>IF(OR(N991="",N991&gt;기본입력!$C$34),"",VLOOKUP(O991,기본입력!$A$9:$F$33,5))</x:f>
        <x:v>양현수_53778</x:v>
      </x:c>
      <x:c r="H991" s="22" t="str">
        <x:f>IF(OR(N991="",N991&gt;기본입력!$C$34),"",기본입력!$C$6)</x:f>
        <x:v>1교육실(실습겸용강의실)_243089</x:v>
      </x:c>
      <x:c r="I991" s="22" t="str">
        <x:f>IF(OR(O991="",N991&gt;기본입력!$C$34),"",VLOOKUP(O991,기본입력!$A$9:$F$33,6,FALSE))</x:f>
        <x:v>Final 프로젝트__10</x:v>
      </x:c>
      <x:c r="J991" s="38" t="str">
        <x:f t="shared" si="90"/>
        <x:v>Final 프로젝트</x:v>
      </x:c>
      <x:c r="K991" s="38" t="str">
        <x:f t="shared" si="91"/>
        <x:v>1교육실(실습겸용강의실)</x:v>
      </x:c>
      <x:c r="L991" s="38" t="str">
        <x:f t="shared" si="92"/>
        <x:v>양현수</x:v>
      </x:c>
      <x:c r="M991" s="63"/>
      <x:c r="N991" s="30">
        <x:f>IF(F991="2","",COUNTIF($F$3:$F991,"=1"))</x:f>
        <x:v>879</x:v>
      </x:c>
      <x:c r="O991" s="30">
        <x:f t="shared" si="93"/>
        <x:v>10</x:v>
      </x:c>
      <x:c r="P991" s="30">
        <x:f t="shared" si="95"/>
        <x:v>1</x:v>
      </x:c>
      <x:c r="Q991" s="30">
        <x:f>COUNTIF($P$3:P991,"=3")</x:f>
        <x:v>110</x:v>
      </x:c>
      <x:c r="R991" s="29">
        <x:f>WORKDAY(기본입력!$H$2,Q991-1,공휴일)</x:f>
        <x:v>46090</x:v>
      </x:c>
    </x:row>
    <x:row r="992" spans="1:18">
      <x:c r="A992" s="145" t="str">
        <x:f t="shared" si="94"/>
        <x:v>20260309</x:v>
      </x:c>
      <x:c r="B992" s="20" t="s">
        <x:v>5</x:v>
      </x:c>
      <x:c r="C992" s="20">
        <x:v>1740</x:v>
      </x:c>
      <x:c r="D992" s="21" t="s">
        <x:v>1</x:v>
      </x:c>
      <x:c r="E992" s="20">
        <x:v>1640</x:v>
      </x:c>
      <x:c r="F992" s="20" t="s">
        <x:v>40</x:v>
      </x:c>
      <x:c r="G992" s="22" t="str">
        <x:f>IF(OR(N992="",N992&gt;기본입력!$C$34),"",VLOOKUP(O992,기본입력!$A$9:$F$33,5))</x:f>
        <x:v>양현수_53778</x:v>
      </x:c>
      <x:c r="H992" s="22" t="str">
        <x:f>IF(OR(N992="",N992&gt;기본입력!$C$34),"",기본입력!$C$6)</x:f>
        <x:v>1교육실(실습겸용강의실)_243089</x:v>
      </x:c>
      <x:c r="I992" s="22" t="str">
        <x:f>IF(OR(O992="",N992&gt;기본입력!$C$34),"",VLOOKUP(O992,기본입력!$A$9:$F$33,6,FALSE))</x:f>
        <x:v>Final 프로젝트__10</x:v>
      </x:c>
      <x:c r="J992" s="38" t="str">
        <x:f t="shared" si="90"/>
        <x:v>Final 프로젝트</x:v>
      </x:c>
      <x:c r="K992" s="38" t="str">
        <x:f t="shared" si="91"/>
        <x:v>1교육실(실습겸용강의실)</x:v>
      </x:c>
      <x:c r="L992" s="38" t="str">
        <x:f t="shared" si="92"/>
        <x:v>양현수</x:v>
      </x:c>
      <x:c r="M992" s="63"/>
      <x:c r="N992" s="30">
        <x:f>IF(F992="2","",COUNTIF($F$3:$F992,"=1"))</x:f>
        <x:v>880</x:v>
      </x:c>
      <x:c r="O992" s="30">
        <x:f t="shared" si="93"/>
        <x:v>10</x:v>
      </x:c>
      <x:c r="P992" s="30">
        <x:f t="shared" si="95"/>
        <x:v>2</x:v>
      </x:c>
      <x:c r="Q992" s="30">
        <x:f>COUNTIF($P$3:P992,"=3")</x:f>
        <x:v>110</x:v>
      </x:c>
      <x:c r="R992" s="29">
        <x:f>WORKDAY(기본입력!$H$2,Q992-1,공휴일)</x:f>
        <x:v>46090</x:v>
      </x:c>
    </x:row>
    <x:row r="993" spans="1:18">
      <x:c r="A993" s="144" t="str">
        <x:f t="shared" si="94"/>
        <x:v>20260310</x:v>
      </x:c>
      <x:c r="B993" s="17" t="s">
        <x:v>5</x:v>
      </x:c>
      <x:c r="C993" s="17">
        <x:v>1740</x:v>
      </x:c>
      <x:c r="D993" s="18" t="s">
        <x:v>1</x:v>
      </x:c>
      <x:c r="E993" s="17" t="s">
        <x:v>5</x:v>
      </x:c>
      <x:c r="F993" s="17" t="s">
        <x:v>40</x:v>
      </x:c>
      <x:c r="G993" s="19" t="str">
        <x:f>IF(OR(N993="",N993&gt;기본입력!$C$34),"",VLOOKUP(O993,기본입력!$A$9:$F$33,5))</x:f>
        <x:v>양현수_53778</x:v>
      </x:c>
      <x:c r="H993" s="19" t="str">
        <x:f>IF(OR(N993="",N993&gt;기본입력!$C$34),"",기본입력!$C$6)</x:f>
        <x:v>1교육실(실습겸용강의실)_243089</x:v>
      </x:c>
      <x:c r="I993" s="19" t="str">
        <x:f>IF(OR(O993="",N993&gt;기본입력!$C$34),"",VLOOKUP(O993,기본입력!$A$9:$F$33,6,FALSE))</x:f>
        <x:v>Final 프로젝트__10</x:v>
      </x:c>
      <x:c r="J993" s="38" t="str">
        <x:f t="shared" si="90"/>
        <x:v>Final 프로젝트</x:v>
      </x:c>
      <x:c r="K993" s="38" t="str">
        <x:f t="shared" si="91"/>
        <x:v>1교육실(실습겸용강의실)</x:v>
      </x:c>
      <x:c r="L993" s="38" t="str">
        <x:f t="shared" si="92"/>
        <x:v>양현수</x:v>
      </x:c>
      <x:c r="M993" s="63"/>
      <x:c r="N993" s="30">
        <x:f>IF(F993="2","",COUNTIF($F$3:$F993,"=1"))</x:f>
        <x:v>881</x:v>
      </x:c>
      <x:c r="O993" s="30">
        <x:f t="shared" si="93"/>
        <x:v>10</x:v>
      </x:c>
      <x:c r="P993" s="30">
        <x:f t="shared" si="95"/>
        <x:v>3</x:v>
      </x:c>
      <x:c r="Q993" s="30">
        <x:f>COUNTIF($P$3:P993,"=3")</x:f>
        <x:v>111</x:v>
      </x:c>
      <x:c r="R993" s="29">
        <x:f>WORKDAY(기본입력!$H$2,Q993-1,공휴일)</x:f>
        <x:v>46091</x:v>
      </x:c>
    </x:row>
    <x:row r="994" spans="1:18">
      <x:c r="A994" s="144" t="str">
        <x:f t="shared" si="94"/>
        <x:v>20260310</x:v>
      </x:c>
      <x:c r="B994" s="17" t="s">
        <x:v>5</x:v>
      </x:c>
      <x:c r="C994" s="17">
        <x:v>1740</x:v>
      </x:c>
      <x:c r="D994" s="18" t="s">
        <x:v>1</x:v>
      </x:c>
      <x:c r="E994" s="17" t="s">
        <x:v>117</x:v>
      </x:c>
      <x:c r="F994" s="17" t="s">
        <x:v>40</x:v>
      </x:c>
      <x:c r="G994" s="19" t="str">
        <x:f>IF(OR(N994="",N994&gt;기본입력!$C$34),"",VLOOKUP(O994,기본입력!$A$9:$F$33,5))</x:f>
        <x:v>양현수_53778</x:v>
      </x:c>
      <x:c r="H994" s="19" t="str">
        <x:f>IF(OR(N994="",N994&gt;기본입력!$C$34),"",기본입력!$C$6)</x:f>
        <x:v>1교육실(실습겸용강의실)_243089</x:v>
      </x:c>
      <x:c r="I994" s="19" t="str">
        <x:f>IF(OR(O994="",N994&gt;기본입력!$C$34),"",VLOOKUP(O994,기본입력!$A$9:$F$33,6,FALSE))</x:f>
        <x:v>Final 프로젝트__10</x:v>
      </x:c>
      <x:c r="J994" s="38" t="str">
        <x:f t="shared" si="90"/>
        <x:v>Final 프로젝트</x:v>
      </x:c>
      <x:c r="K994" s="38" t="str">
        <x:f t="shared" si="91"/>
        <x:v>1교육실(실습겸용강의실)</x:v>
      </x:c>
      <x:c r="L994" s="38" t="str">
        <x:f t="shared" si="92"/>
        <x:v>양현수</x:v>
      </x:c>
      <x:c r="M994" s="63"/>
      <x:c r="N994" s="30">
        <x:f>IF(F994="2","",COUNTIF($F$3:$F994,"=1"))</x:f>
        <x:v>882</x:v>
      </x:c>
      <x:c r="O994" s="30">
        <x:f t="shared" si="93"/>
        <x:v>10</x:v>
      </x:c>
      <x:c r="P994" s="30">
        <x:f t="shared" si="95"/>
        <x:v>4</x:v>
      </x:c>
      <x:c r="Q994" s="30">
        <x:f>COUNTIF($P$3:P994,"=3")</x:f>
        <x:v>111</x:v>
      </x:c>
      <x:c r="R994" s="29">
        <x:f>WORKDAY(기본입력!$H$2,Q994-1,공휴일)</x:f>
        <x:v>46091</x:v>
      </x:c>
    </x:row>
    <x:row r="995" spans="1:18">
      <x:c r="A995" s="144" t="str">
        <x:f t="shared" si="94"/>
        <x:v>20260310</x:v>
      </x:c>
      <x:c r="B995" s="17" t="s">
        <x:v>5</x:v>
      </x:c>
      <x:c r="C995" s="17">
        <x:v>1740</x:v>
      </x:c>
      <x:c r="D995" s="18" t="s">
        <x:v>1</x:v>
      </x:c>
      <x:c r="E995" s="17" t="s">
        <x:v>87</x:v>
      </x:c>
      <x:c r="F995" s="17" t="s">
        <x:v>40</x:v>
      </x:c>
      <x:c r="G995" s="19" t="str">
        <x:f>IF(OR(N995="",N995&gt;기본입력!$C$34),"",VLOOKUP(O995,기본입력!$A$9:$F$33,5))</x:f>
        <x:v>양현수_53778</x:v>
      </x:c>
      <x:c r="H995" s="19" t="str">
        <x:f>IF(OR(N995="",N995&gt;기본입력!$C$34),"",기본입력!$C$6)</x:f>
        <x:v>1교육실(실습겸용강의실)_243089</x:v>
      </x:c>
      <x:c r="I995" s="19" t="str">
        <x:f>IF(OR(O995="",N995&gt;기본입력!$C$34),"",VLOOKUP(O995,기본입력!$A$9:$F$33,6,FALSE))</x:f>
        <x:v>Final 프로젝트__10</x:v>
      </x:c>
      <x:c r="J995" s="38" t="str">
        <x:f t="shared" si="90"/>
        <x:v>Final 프로젝트</x:v>
      </x:c>
      <x:c r="K995" s="38" t="str">
        <x:f t="shared" si="91"/>
        <x:v>1교육실(실습겸용강의실)</x:v>
      </x:c>
      <x:c r="L995" s="38" t="str">
        <x:f t="shared" si="92"/>
        <x:v>양현수</x:v>
      </x:c>
      <x:c r="M995" s="63"/>
      <x:c r="N995" s="30">
        <x:f>IF(F995="2","",COUNTIF($F$3:$F995,"=1"))</x:f>
        <x:v>883</x:v>
      </x:c>
      <x:c r="O995" s="30">
        <x:f t="shared" si="93"/>
        <x:v>10</x:v>
      </x:c>
      <x:c r="P995" s="30">
        <x:f t="shared" si="95"/>
        <x:v>5</x:v>
      </x:c>
      <x:c r="Q995" s="30">
        <x:f>COUNTIF($P$3:P995,"=3")</x:f>
        <x:v>111</x:v>
      </x:c>
      <x:c r="R995" s="29">
        <x:f>WORKDAY(기본입력!$H$2,Q995-1,공휴일)</x:f>
        <x:v>46091</x:v>
      </x:c>
    </x:row>
    <x:row r="996" spans="1:18">
      <x:c r="A996" s="144" t="str">
        <x:f t="shared" si="94"/>
        <x:v>20260310</x:v>
      </x:c>
      <x:c r="B996" s="17" t="s">
        <x:v>5</x:v>
      </x:c>
      <x:c r="C996" s="17">
        <x:v>1740</x:v>
      </x:c>
      <x:c r="D996" s="18" t="s">
        <x:v>1</x:v>
      </x:c>
      <x:c r="E996" s="17" t="s">
        <x:v>88</x:v>
      </x:c>
      <x:c r="F996" s="17" t="s">
        <x:v>40</x:v>
      </x:c>
      <x:c r="G996" s="19" t="str">
        <x:f>IF(OR(N996="",N996&gt;기본입력!$C$34),"",VLOOKUP(O996,기본입력!$A$9:$F$33,5))</x:f>
        <x:v>양현수_53778</x:v>
      </x:c>
      <x:c r="H996" s="19" t="str">
        <x:f>IF(OR(N996="",N996&gt;기본입력!$C$34),"",기본입력!$C$6)</x:f>
        <x:v>1교육실(실습겸용강의실)_243089</x:v>
      </x:c>
      <x:c r="I996" s="19" t="str">
        <x:f>IF(OR(O996="",N996&gt;기본입력!$C$34),"",VLOOKUP(O996,기본입력!$A$9:$F$33,6,FALSE))</x:f>
        <x:v>Final 프로젝트__10</x:v>
      </x:c>
      <x:c r="J996" s="38" t="str">
        <x:f t="shared" si="90"/>
        <x:v>Final 프로젝트</x:v>
      </x:c>
      <x:c r="K996" s="38" t="str">
        <x:f t="shared" si="91"/>
        <x:v>1교육실(실습겸용강의실)</x:v>
      </x:c>
      <x:c r="L996" s="38" t="str">
        <x:f t="shared" si="92"/>
        <x:v>양현수</x:v>
      </x:c>
      <x:c r="M996" s="63"/>
      <x:c r="N996" s="30">
        <x:f>IF(F996="2","",COUNTIF($F$3:$F996,"=1"))</x:f>
        <x:v>884</x:v>
      </x:c>
      <x:c r="O996" s="30">
        <x:f t="shared" si="93"/>
        <x:v>10</x:v>
      </x:c>
      <x:c r="P996" s="30">
        <x:f t="shared" si="95"/>
        <x:v>6</x:v>
      </x:c>
      <x:c r="Q996" s="30">
        <x:f>COUNTIF($P$3:P996,"=3")</x:f>
        <x:v>111</x:v>
      </x:c>
      <x:c r="R996" s="29">
        <x:f>WORKDAY(기본입력!$H$2,Q996-1,공휴일)</x:f>
        <x:v>46091</x:v>
      </x:c>
    </x:row>
    <x:row r="997" spans="1:18">
      <x:c r="A997" s="144" t="str">
        <x:f t="shared" si="94"/>
        <x:v>20260310</x:v>
      </x:c>
      <x:c r="B997" s="17" t="s">
        <x:v>5</x:v>
      </x:c>
      <x:c r="C997" s="17">
        <x:v>1740</x:v>
      </x:c>
      <x:c r="D997" s="18" t="s">
        <x:v>1</x:v>
      </x:c>
      <x:c r="E997" s="17" t="s">
        <x:v>0</x:v>
      </x:c>
      <x:c r="F997" s="17" t="s">
        <x:v>41</x:v>
      </x:c>
      <x:c r="G997" s="19" t="str">
        <x:f>IF(OR(N997="",N997&gt;기본입력!$C$34),"",VLOOKUP(O997,기본입력!$A$9:$F$33,5))</x:f>
        <x:v/>
      </x:c>
      <x:c r="H997" s="19" t="str">
        <x:f>IF(OR(N997="",N997&gt;기본입력!$C$34),"",기본입력!$C$6)</x:f>
        <x:v/>
      </x:c>
      <x:c r="I997" s="19" t="str">
        <x:f>IF(OR(O997="",N997&gt;기본입력!$C$34),"",VLOOKUP(O997,기본입력!$A$9:$F$33,6,FALSE))</x:f>
        <x:v/>
      </x:c>
      <x:c r="J997" s="38" t="str">
        <x:f t="shared" si="90"/>
        <x:v/>
      </x:c>
      <x:c r="K997" s="38" t="str">
        <x:f t="shared" si="91"/>
        <x:v/>
      </x:c>
      <x:c r="L997" s="38" t="str">
        <x:f t="shared" si="92"/>
        <x:v/>
      </x:c>
      <x:c r="M997" s="63"/>
      <x:c r="N997" s="30" t="str">
        <x:f>IF(F997="2","",COUNTIF($F$3:$F997,"=1"))</x:f>
        <x:v/>
      </x:c>
      <x:c r="O997" s="30" t="str">
        <x:f t="shared" si="93"/>
        <x:v/>
      </x:c>
      <x:c r="P997" s="30">
        <x:f t="shared" si="95"/>
        <x:v>7</x:v>
      </x:c>
      <x:c r="Q997" s="30">
        <x:f>COUNTIF($P$3:P997,"=3")</x:f>
        <x:v>111</x:v>
      </x:c>
      <x:c r="R997" s="29">
        <x:f>WORKDAY(기본입력!$H$2,Q997-1,공휴일)</x:f>
        <x:v>46091</x:v>
      </x:c>
    </x:row>
    <x:row r="998" spans="1:18">
      <x:c r="A998" s="144" t="str">
        <x:f t="shared" si="94"/>
        <x:v>20260310</x:v>
      </x:c>
      <x:c r="B998" s="17" t="s">
        <x:v>5</x:v>
      </x:c>
      <x:c r="C998" s="17">
        <x:v>1740</x:v>
      </x:c>
      <x:c r="D998" s="18" t="s">
        <x:v>1</x:v>
      </x:c>
      <x:c r="E998" s="17">
        <x:v>1340</x:v>
      </x:c>
      <x:c r="F998" s="17" t="s">
        <x:v>40</x:v>
      </x:c>
      <x:c r="G998" s="19" t="str">
        <x:f>IF(OR(N998="",N998&gt;기본입력!$C$34),"",VLOOKUP(O998,기본입력!$A$9:$F$33,5))</x:f>
        <x:v>양현수_53778</x:v>
      </x:c>
      <x:c r="H998" s="19" t="str">
        <x:f>IF(OR(N998="",N998&gt;기본입력!$C$34),"",기본입력!$C$6)</x:f>
        <x:v>1교육실(실습겸용강의실)_243089</x:v>
      </x:c>
      <x:c r="I998" s="19" t="str">
        <x:f>IF(OR(O998="",N998&gt;기본입력!$C$34),"",VLOOKUP(O998,기본입력!$A$9:$F$33,6,FALSE))</x:f>
        <x:v>Final 프로젝트__10</x:v>
      </x:c>
      <x:c r="J998" s="38" t="str">
        <x:f t="shared" si="90"/>
        <x:v>Final 프로젝트</x:v>
      </x:c>
      <x:c r="K998" s="38" t="str">
        <x:f t="shared" si="91"/>
        <x:v>1교육실(실습겸용강의실)</x:v>
      </x:c>
      <x:c r="L998" s="38" t="str">
        <x:f t="shared" si="92"/>
        <x:v>양현수</x:v>
      </x:c>
      <x:c r="M998" s="63"/>
      <x:c r="N998" s="30">
        <x:f>IF(F998="2","",COUNTIF($F$3:$F998,"=1"))</x:f>
        <x:v>885</x:v>
      </x:c>
      <x:c r="O998" s="30">
        <x:f t="shared" si="93"/>
        <x:v>10</x:v>
      </x:c>
      <x:c r="P998" s="30">
        <x:f t="shared" si="95"/>
        <x:v>8</x:v>
      </x:c>
      <x:c r="Q998" s="30">
        <x:f>COUNTIF($P$3:P998,"=3")</x:f>
        <x:v>111</x:v>
      </x:c>
      <x:c r="R998" s="29">
        <x:f>WORKDAY(기본입력!$H$2,Q998-1,공휴일)</x:f>
        <x:v>46091</x:v>
      </x:c>
    </x:row>
    <x:row r="999" spans="1:18">
      <x:c r="A999" s="144" t="str">
        <x:f t="shared" si="94"/>
        <x:v>20260310</x:v>
      </x:c>
      <x:c r="B999" s="17" t="s">
        <x:v>5</x:v>
      </x:c>
      <x:c r="C999" s="17">
        <x:v>1740</x:v>
      </x:c>
      <x:c r="D999" s="18" t="s">
        <x:v>1</x:v>
      </x:c>
      <x:c r="E999" s="17">
        <x:v>1440</x:v>
      </x:c>
      <x:c r="F999" s="17" t="s">
        <x:v>40</x:v>
      </x:c>
      <x:c r="G999" s="19" t="str">
        <x:f>IF(OR(N999="",N999&gt;기본입력!$C$34),"",VLOOKUP(O999,기본입력!$A$9:$F$33,5))</x:f>
        <x:v>양현수_53778</x:v>
      </x:c>
      <x:c r="H999" s="19" t="str">
        <x:f>IF(OR(N999="",N999&gt;기본입력!$C$34),"",기본입력!$C$6)</x:f>
        <x:v>1교육실(실습겸용강의실)_243089</x:v>
      </x:c>
      <x:c r="I999" s="19" t="str">
        <x:f>IF(OR(O999="",N999&gt;기본입력!$C$34),"",VLOOKUP(O999,기본입력!$A$9:$F$33,6,FALSE))</x:f>
        <x:v>Final 프로젝트__10</x:v>
      </x:c>
      <x:c r="J999" s="38" t="str">
        <x:f t="shared" si="90"/>
        <x:v>Final 프로젝트</x:v>
      </x:c>
      <x:c r="K999" s="38" t="str">
        <x:f t="shared" si="91"/>
        <x:v>1교육실(실습겸용강의실)</x:v>
      </x:c>
      <x:c r="L999" s="38" t="str">
        <x:f t="shared" si="92"/>
        <x:v>양현수</x:v>
      </x:c>
      <x:c r="M999" s="63"/>
      <x:c r="N999" s="30">
        <x:f>IF(F999="2","",COUNTIF($F$3:$F999,"=1"))</x:f>
        <x:v>886</x:v>
      </x:c>
      <x:c r="O999" s="30">
        <x:f t="shared" si="93"/>
        <x:v>10</x:v>
      </x:c>
      <x:c r="P999" s="30">
        <x:f t="shared" si="95"/>
        <x:v>0</x:v>
      </x:c>
      <x:c r="Q999" s="30">
        <x:f>COUNTIF($P$3:P999,"=3")</x:f>
        <x:v>111</x:v>
      </x:c>
      <x:c r="R999" s="29">
        <x:f>WORKDAY(기본입력!$H$2,Q999-1,공휴일)</x:f>
        <x:v>46091</x:v>
      </x:c>
    </x:row>
    <x:row r="1000" spans="1:18">
      <x:c r="A1000" s="144" t="str">
        <x:f t="shared" si="94"/>
        <x:v>20260310</x:v>
      </x:c>
      <x:c r="B1000" s="17" t="s">
        <x:v>5</x:v>
      </x:c>
      <x:c r="C1000" s="17">
        <x:v>1740</x:v>
      </x:c>
      <x:c r="D1000" s="18" t="s">
        <x:v>1</x:v>
      </x:c>
      <x:c r="E1000" s="17">
        <x:v>1540</x:v>
      </x:c>
      <x:c r="F1000" s="17" t="s">
        <x:v>40</x:v>
      </x:c>
      <x:c r="G1000" s="19" t="str">
        <x:f>IF(OR(N1000="",N1000&gt;기본입력!$C$34),"",VLOOKUP(O1000,기본입력!$A$9:$F$33,5))</x:f>
        <x:v>양현수_53778</x:v>
      </x:c>
      <x:c r="H1000" s="19" t="str">
        <x:f>IF(OR(N1000="",N1000&gt;기본입력!$C$34),"",기본입력!$C$6)</x:f>
        <x:v>1교육실(실습겸용강의실)_243089</x:v>
      </x:c>
      <x:c r="I1000" s="19" t="str">
        <x:f>IF(OR(O1000="",N1000&gt;기본입력!$C$34),"",VLOOKUP(O1000,기본입력!$A$9:$F$33,6,FALSE))</x:f>
        <x:v>Final 프로젝트__10</x:v>
      </x:c>
      <x:c r="J1000" s="38" t="str">
        <x:f t="shared" si="90"/>
        <x:v>Final 프로젝트</x:v>
      </x:c>
      <x:c r="K1000" s="38" t="str">
        <x:f t="shared" si="91"/>
        <x:v>1교육실(실습겸용강의실)</x:v>
      </x:c>
      <x:c r="L1000" s="38" t="str">
        <x:f t="shared" si="92"/>
        <x:v>양현수</x:v>
      </x:c>
      <x:c r="M1000" s="63"/>
      <x:c r="N1000" s="30">
        <x:f>IF(F1000="2","",COUNTIF($F$3:$F1000,"=1"))</x:f>
        <x:v>887</x:v>
      </x:c>
      <x:c r="O1000" s="30">
        <x:f t="shared" si="93"/>
        <x:v>10</x:v>
      </x:c>
      <x:c r="P1000" s="30">
        <x:f t="shared" si="95"/>
        <x:v>1</x:v>
      </x:c>
      <x:c r="Q1000" s="30">
        <x:f>COUNTIF($P$3:P1000,"=3")</x:f>
        <x:v>111</x:v>
      </x:c>
      <x:c r="R1000" s="29">
        <x:f>WORKDAY(기본입력!$H$2,Q1000-1,공휴일)</x:f>
        <x:v>46091</x:v>
      </x:c>
    </x:row>
    <x:row r="1001" spans="1:18">
      <x:c r="A1001" s="144" t="str">
        <x:f t="shared" si="94"/>
        <x:v>20260310</x:v>
      </x:c>
      <x:c r="B1001" s="17" t="s">
        <x:v>5</x:v>
      </x:c>
      <x:c r="C1001" s="17">
        <x:v>1740</x:v>
      </x:c>
      <x:c r="D1001" s="18"/>
      <x:c r="E1001" s="17">
        <x:v>1640</x:v>
      </x:c>
      <x:c r="F1001" s="17" t="s">
        <x:v>40</x:v>
      </x:c>
      <x:c r="G1001" s="19" t="str">
        <x:f>IF(OR(N1001="",N1001&gt;기본입력!$C$34),"",VLOOKUP(O1001,기본입력!$A$9:$F$33,5))</x:f>
        <x:v>양현수_53778</x:v>
      </x:c>
      <x:c r="H1001" s="19" t="str">
        <x:f>IF(OR(N1001="",N1001&gt;기본입력!$C$34),"",기본입력!$C$6)</x:f>
        <x:v>1교육실(실습겸용강의실)_243089</x:v>
      </x:c>
      <x:c r="I1001" s="19" t="str">
        <x:f>IF(OR(O1001="",N1001&gt;기본입력!$C$34),"",VLOOKUP(O1001,기본입력!$A$9:$F$33,6,FALSE))</x:f>
        <x:v>Final 프로젝트__10</x:v>
      </x:c>
      <x:c r="J1001" s="38" t="str">
        <x:f>IF(F1001="2","",LEFT(I1001,FIND("_",I1001,2)-1))</x:f>
        <x:v>Final 프로젝트</x:v>
      </x:c>
      <x:c r="K1001" s="38" t="str">
        <x:f>IF(F1001="2","",LEFT(H1001,FIND("_",H1001,2)-1))</x:f>
        <x:v>1교육실(실습겸용강의실)</x:v>
      </x:c>
      <x:c r="L1001" s="38" t="str">
        <x:f>IF(F1001="2","",LEFT(G1001,FIND("_",G1001,2)-1))</x:f>
        <x:v>양현수</x:v>
      </x:c>
      <x:c r="M1001" s="63"/>
      <x:c r="N1001" s="30">
        <x:f>IF(F1001="2","",COUNTIF($F$3:$F1001,"=1"))</x:f>
        <x:v>888</x:v>
      </x:c>
      <x:c r="O1001" s="30">
        <x:f>IF(F1001="2","",IF(N1001&lt;=누적시수1,1,IF(N1001&lt;=누적시수2,2,IF(N1001&lt;=누적시수3,3,IF(N1001&lt;=누적시수4,4,IF(N1001&lt;=누적시수5,5,IF(N1001&lt;=누적시수6,6,IF(N1001&lt;=누적시수7,7,IF(N1001&lt;=누적시수8,8,IF(N1001&lt;=누적시수9,9,IF(N1001&lt;=누적시수10,10,IF(N1001&lt;=누적시수11,11,IF(N1001&lt;=누적시수12,12,IF(N1001&lt;=누적시수13,13,IF(N1001&lt;=누적시수14,14,IF(N1001&lt;=누적시수15,15,IF(N1001&lt;=누적시수16,16,IF(N1001&lt;=누적시수17,17,IF(N1001&lt;=누적시수18,18,IF(N1001&lt;=누적시수19,19,IF(N1001&lt;=누적시수20,20,IF(N1001&lt;=누적시수21,21,IF(N1001&lt;=누적시수22,22,IF(N1001&lt;=누적시수23,23,IF(N1001&lt;=누적시수24,24,IF(N1001&lt;=누적시수25,25,0))))))))))))))))))))))))))</x:f>
        <x:v>10</x:v>
      </x:c>
      <x:c r="P1001" s="30">
        <x:f t="shared" si="95"/>
        <x:v>2</x:v>
      </x:c>
      <x:c r="Q1001" s="30">
        <x:f>COUNTIF($P$3:P1001,"=3")</x:f>
        <x:v>111</x:v>
      </x:c>
      <x:c r="R1001" s="29">
        <x:f>WORKDAY(기본입력!$H$2,Q1001-1,공휴일)</x:f>
        <x:v>46091</x:v>
      </x:c>
    </x:row>
    <x:row r="1002" spans="1:18">
      <x:c r="A1002" s="145" t="str">
        <x:f t="shared" si="94"/>
        <x:v>20260311</x:v>
      </x:c>
      <x:c r="B1002" s="20" t="s">
        <x:v>5</x:v>
      </x:c>
      <x:c r="C1002" s="20">
        <x:v>1740</x:v>
      </x:c>
      <x:c r="D1002" s="23" t="s">
        <x:v>1</x:v>
      </x:c>
      <x:c r="E1002" s="20" t="s">
        <x:v>5</x:v>
      </x:c>
      <x:c r="F1002" s="20" t="s">
        <x:v>40</x:v>
      </x:c>
      <x:c r="G1002" s="22" t="str">
        <x:f>IF(OR(N1002="",N1002&gt;기본입력!$C$34),"",VLOOKUP(O1002,기본입력!$A$9:$F$33,5))</x:f>
        <x:v>양현수_53778</x:v>
      </x:c>
      <x:c r="H1002" s="22" t="str">
        <x:f>IF(OR(N1002="",N1002&gt;기본입력!$C$34),"",기본입력!$C$6)</x:f>
        <x:v>1교육실(실습겸용강의실)_243089</x:v>
      </x:c>
      <x:c r="I1002" s="22" t="str">
        <x:f>IF(OR(O1002="",N1002&gt;기본입력!$C$34),"",VLOOKUP(O1002,기본입력!$A$9:$F$33,6,FALSE))</x:f>
        <x:v>Final 프로젝트__10</x:v>
      </x:c>
      <x:c r="J1002" s="38" t="str">
        <x:f t="shared" si="90"/>
        <x:v>Final 프로젝트</x:v>
      </x:c>
      <x:c r="K1002" s="38" t="str">
        <x:f t="shared" si="91"/>
        <x:v>1교육실(실습겸용강의실)</x:v>
      </x:c>
      <x:c r="L1002" s="38" t="str">
        <x:f t="shared" si="92"/>
        <x:v>양현수</x:v>
      </x:c>
      <x:c r="M1002" s="63"/>
      <x:c r="N1002" s="30">
        <x:f>IF(F1002="2","",COUNTIF($F$3:$F1002,"=1"))</x:f>
        <x:v>889</x:v>
      </x:c>
      <x:c r="O1002" s="30">
        <x:f t="shared" si="93"/>
        <x:v>10</x:v>
      </x:c>
      <x:c r="P1002" s="30">
        <x:f t="shared" si="95"/>
        <x:v>3</x:v>
      </x:c>
      <x:c r="Q1002" s="30">
        <x:f>COUNTIF($P$3:P1002,"=3")</x:f>
        <x:v>112</x:v>
      </x:c>
      <x:c r="R1002" s="29">
        <x:f>WORKDAY(기본입력!$H$2,Q1002-1,공휴일)</x:f>
        <x:v>46092</x:v>
      </x:c>
    </x:row>
    <x:row r="1003" spans="1:18">
      <x:c r="A1003" s="145" t="str">
        <x:f t="shared" si="94"/>
        <x:v>20260311</x:v>
      </x:c>
      <x:c r="B1003" s="20" t="s">
        <x:v>5</x:v>
      </x:c>
      <x:c r="C1003" s="20">
        <x:v>1740</x:v>
      </x:c>
      <x:c r="D1003" s="21" t="s">
        <x:v>1</x:v>
      </x:c>
      <x:c r="E1003" s="20" t="s">
        <x:v>117</x:v>
      </x:c>
      <x:c r="F1003" s="20" t="s">
        <x:v>40</x:v>
      </x:c>
      <x:c r="G1003" s="22" t="str">
        <x:f>IF(OR(N1003="",N1003&gt;기본입력!$C$34),"",VLOOKUP(O1003,기본입력!$A$9:$F$33,5))</x:f>
        <x:v>양현수_53778</x:v>
      </x:c>
      <x:c r="H1003" s="22" t="str">
        <x:f>IF(OR(N1003="",N1003&gt;기본입력!$C$34),"",기본입력!$C$6)</x:f>
        <x:v>1교육실(실습겸용강의실)_243089</x:v>
      </x:c>
      <x:c r="I1003" s="22" t="str">
        <x:f>IF(OR(O1003="",N1003&gt;기본입력!$C$34),"",VLOOKUP(O1003,기본입력!$A$9:$F$33,6,FALSE))</x:f>
        <x:v>Final 프로젝트__10</x:v>
      </x:c>
      <x:c r="J1003" s="38" t="str">
        <x:f t="shared" si="90"/>
        <x:v>Final 프로젝트</x:v>
      </x:c>
      <x:c r="K1003" s="38" t="str">
        <x:f t="shared" si="91"/>
        <x:v>1교육실(실습겸용강의실)</x:v>
      </x:c>
      <x:c r="L1003" s="38" t="str">
        <x:f t="shared" si="92"/>
        <x:v>양현수</x:v>
      </x:c>
      <x:c r="M1003" s="63"/>
      <x:c r="N1003" s="30">
        <x:f>IF(F1003="2","",COUNTIF($F$3:$F1003,"=1"))</x:f>
        <x:v>890</x:v>
      </x:c>
      <x:c r="O1003" s="30">
        <x:f t="shared" si="93"/>
        <x:v>10</x:v>
      </x:c>
      <x:c r="P1003" s="30">
        <x:f t="shared" si="95"/>
        <x:v>4</x:v>
      </x:c>
      <x:c r="Q1003" s="30">
        <x:f>COUNTIF($P$3:P1003,"=3")</x:f>
        <x:v>112</x:v>
      </x:c>
      <x:c r="R1003" s="29">
        <x:f>WORKDAY(기본입력!$H$2,Q1003-1,공휴일)</x:f>
        <x:v>46092</x:v>
      </x:c>
    </x:row>
    <x:row r="1004" spans="1:18">
      <x:c r="A1004" s="145" t="str">
        <x:f t="shared" si="94"/>
        <x:v>20260311</x:v>
      </x:c>
      <x:c r="B1004" s="20" t="s">
        <x:v>5</x:v>
      </x:c>
      <x:c r="C1004" s="20">
        <x:v>1740</x:v>
      </x:c>
      <x:c r="D1004" s="21" t="s">
        <x:v>1</x:v>
      </x:c>
      <x:c r="E1004" s="20" t="s">
        <x:v>87</x:v>
      </x:c>
      <x:c r="F1004" s="20" t="s">
        <x:v>40</x:v>
      </x:c>
      <x:c r="G1004" s="22" t="str">
        <x:f>IF(OR(N1004="",N1004&gt;기본입력!$C$34),"",VLOOKUP(O1004,기본입력!$A$9:$F$33,5))</x:f>
        <x:v>양현수_53778</x:v>
      </x:c>
      <x:c r="H1004" s="22" t="str">
        <x:f>IF(OR(N1004="",N1004&gt;기본입력!$C$34),"",기본입력!$C$6)</x:f>
        <x:v>1교육실(실습겸용강의실)_243089</x:v>
      </x:c>
      <x:c r="I1004" s="22" t="str">
        <x:f>IF(OR(O1004="",N1004&gt;기본입력!$C$34),"",VLOOKUP(O1004,기본입력!$A$9:$F$33,6,FALSE))</x:f>
        <x:v>Final 프로젝트__10</x:v>
      </x:c>
      <x:c r="J1004" s="38" t="str">
        <x:f t="shared" si="90"/>
        <x:v>Final 프로젝트</x:v>
      </x:c>
      <x:c r="K1004" s="38" t="str">
        <x:f t="shared" si="91"/>
        <x:v>1교육실(실습겸용강의실)</x:v>
      </x:c>
      <x:c r="L1004" s="38" t="str">
        <x:f t="shared" si="92"/>
        <x:v>양현수</x:v>
      </x:c>
      <x:c r="M1004" s="63"/>
      <x:c r="N1004" s="30">
        <x:f>IF(F1004="2","",COUNTIF($F$3:$F1004,"=1"))</x:f>
        <x:v>891</x:v>
      </x:c>
      <x:c r="O1004" s="30">
        <x:f t="shared" si="93"/>
        <x:v>10</x:v>
      </x:c>
      <x:c r="P1004" s="30">
        <x:f t="shared" si="95"/>
        <x:v>5</x:v>
      </x:c>
      <x:c r="Q1004" s="30">
        <x:f>COUNTIF($P$3:P1004,"=3")</x:f>
        <x:v>112</x:v>
      </x:c>
      <x:c r="R1004" s="29">
        <x:f>WORKDAY(기본입력!$H$2,Q1004-1,공휴일)</x:f>
        <x:v>46092</x:v>
      </x:c>
    </x:row>
    <x:row r="1005" spans="1:18">
      <x:c r="A1005" s="145" t="str">
        <x:f t="shared" si="94"/>
        <x:v>20260311</x:v>
      </x:c>
      <x:c r="B1005" s="20" t="s">
        <x:v>5</x:v>
      </x:c>
      <x:c r="C1005" s="20">
        <x:v>1740</x:v>
      </x:c>
      <x:c r="D1005" s="21" t="s">
        <x:v>1</x:v>
      </x:c>
      <x:c r="E1005" s="20" t="s">
        <x:v>88</x:v>
      </x:c>
      <x:c r="F1005" s="20" t="s">
        <x:v>40</x:v>
      </x:c>
      <x:c r="G1005" s="22" t="str">
        <x:f>IF(OR(N1005="",N1005&gt;기본입력!$C$34),"",VLOOKUP(O1005,기본입력!$A$9:$F$33,5))</x:f>
        <x:v>양현수_53778</x:v>
      </x:c>
      <x:c r="H1005" s="22" t="str">
        <x:f>IF(OR(N1005="",N1005&gt;기본입력!$C$34),"",기본입력!$C$6)</x:f>
        <x:v>1교육실(실습겸용강의실)_243089</x:v>
      </x:c>
      <x:c r="I1005" s="22" t="str">
        <x:f>IF(OR(O1005="",N1005&gt;기본입력!$C$34),"",VLOOKUP(O1005,기본입력!$A$9:$F$33,6,FALSE))</x:f>
        <x:v>Final 프로젝트__10</x:v>
      </x:c>
      <x:c r="J1005" s="38" t="str">
        <x:f t="shared" si="90"/>
        <x:v>Final 프로젝트</x:v>
      </x:c>
      <x:c r="K1005" s="38" t="str">
        <x:f t="shared" si="91"/>
        <x:v>1교육실(실습겸용강의실)</x:v>
      </x:c>
      <x:c r="L1005" s="38" t="str">
        <x:f t="shared" si="92"/>
        <x:v>양현수</x:v>
      </x:c>
      <x:c r="M1005" s="63"/>
      <x:c r="N1005" s="30">
        <x:f>IF(F1005="2","",COUNTIF($F$3:$F1005,"=1"))</x:f>
        <x:v>892</x:v>
      </x:c>
      <x:c r="O1005" s="30">
        <x:f t="shared" si="93"/>
        <x:v>10</x:v>
      </x:c>
      <x:c r="P1005" s="30">
        <x:f t="shared" si="95"/>
        <x:v>6</x:v>
      </x:c>
      <x:c r="Q1005" s="30">
        <x:f>COUNTIF($P$3:P1005,"=3")</x:f>
        <x:v>112</x:v>
      </x:c>
      <x:c r="R1005" s="29">
        <x:f>WORKDAY(기본입력!$H$2,Q1005-1,공휴일)</x:f>
        <x:v>46092</x:v>
      </x:c>
    </x:row>
    <x:row r="1006" spans="1:18">
      <x:c r="A1006" s="145" t="str">
        <x:f t="shared" si="94"/>
        <x:v>20260311</x:v>
      </x:c>
      <x:c r="B1006" s="20" t="s">
        <x:v>5</x:v>
      </x:c>
      <x:c r="C1006" s="20">
        <x:v>1740</x:v>
      </x:c>
      <x:c r="D1006" s="21" t="s">
        <x:v>1</x:v>
      </x:c>
      <x:c r="E1006" s="20" t="s">
        <x:v>0</x:v>
      </x:c>
      <x:c r="F1006" s="20" t="s">
        <x:v>41</x:v>
      </x:c>
      <x:c r="G1006" s="22" t="str">
        <x:f>IF(OR(N1006="",N1006&gt;기본입력!$C$34),"",VLOOKUP(O1006,기본입력!$A$9:$F$33,5))</x:f>
        <x:v/>
      </x:c>
      <x:c r="H1006" s="22" t="str">
        <x:f>IF(OR(N1006="",N1006&gt;기본입력!$C$34),"",기본입력!$C$6)</x:f>
        <x:v/>
      </x:c>
      <x:c r="I1006" s="22" t="str">
        <x:f>IF(OR(O1006="",N1006&gt;기본입력!$C$34),"",VLOOKUP(O1006,기본입력!$A$9:$F$33,6,FALSE))</x:f>
        <x:v/>
      </x:c>
      <x:c r="J1006" s="38" t="str">
        <x:f t="shared" si="90"/>
        <x:v/>
      </x:c>
      <x:c r="K1006" s="38" t="str">
        <x:f t="shared" si="91"/>
        <x:v/>
      </x:c>
      <x:c r="L1006" s="38" t="str">
        <x:f t="shared" si="92"/>
        <x:v/>
      </x:c>
      <x:c r="M1006" s="63"/>
      <x:c r="N1006" s="30" t="str">
        <x:f>IF(F1006="2","",COUNTIF($F$3:$F1006,"=1"))</x:f>
        <x:v/>
      </x:c>
      <x:c r="O1006" s="30" t="str">
        <x:f t="shared" si="93"/>
        <x:v/>
      </x:c>
      <x:c r="P1006" s="30">
        <x:f t="shared" si="95"/>
        <x:v>7</x:v>
      </x:c>
      <x:c r="Q1006" s="30">
        <x:f>COUNTIF($P$3:P1006,"=3")</x:f>
        <x:v>112</x:v>
      </x:c>
      <x:c r="R1006" s="29">
        <x:f>WORKDAY(기본입력!$H$2,Q1006-1,공휴일)</x:f>
        <x:v>46092</x:v>
      </x:c>
    </x:row>
    <x:row r="1007" spans="1:18">
      <x:c r="A1007" s="145" t="str">
        <x:f t="shared" si="94"/>
        <x:v>20260311</x:v>
      </x:c>
      <x:c r="B1007" s="20" t="s">
        <x:v>5</x:v>
      </x:c>
      <x:c r="C1007" s="20">
        <x:v>1740</x:v>
      </x:c>
      <x:c r="D1007" s="21" t="s">
        <x:v>1</x:v>
      </x:c>
      <x:c r="E1007" s="20">
        <x:v>1340</x:v>
      </x:c>
      <x:c r="F1007" s="20" t="s">
        <x:v>40</x:v>
      </x:c>
      <x:c r="G1007" s="22" t="str">
        <x:f>IF(OR(N1007="",N1007&gt;기본입력!$C$34),"",VLOOKUP(O1007,기본입력!$A$9:$F$33,5))</x:f>
        <x:v>양현수_53778</x:v>
      </x:c>
      <x:c r="H1007" s="22" t="str">
        <x:f>IF(OR(N1007="",N1007&gt;기본입력!$C$34),"",기본입력!$C$6)</x:f>
        <x:v>1교육실(실습겸용강의실)_243089</x:v>
      </x:c>
      <x:c r="I1007" s="22" t="str">
        <x:f>IF(OR(O1007="",N1007&gt;기본입력!$C$34),"",VLOOKUP(O1007,기본입력!$A$9:$F$33,6,FALSE))</x:f>
        <x:v>Final 프로젝트__10</x:v>
      </x:c>
      <x:c r="J1007" s="38" t="str">
        <x:f t="shared" si="90"/>
        <x:v>Final 프로젝트</x:v>
      </x:c>
      <x:c r="K1007" s="38" t="str">
        <x:f t="shared" si="91"/>
        <x:v>1교육실(실습겸용강의실)</x:v>
      </x:c>
      <x:c r="L1007" s="38" t="str">
        <x:f t="shared" si="92"/>
        <x:v>양현수</x:v>
      </x:c>
      <x:c r="M1007" s="63"/>
      <x:c r="N1007" s="30">
        <x:f>IF(F1007="2","",COUNTIF($F$3:$F1007,"=1"))</x:f>
        <x:v>893</x:v>
      </x:c>
      <x:c r="O1007" s="30">
        <x:f t="shared" si="93"/>
        <x:v>10</x:v>
      </x:c>
      <x:c r="P1007" s="30">
        <x:f t="shared" si="95"/>
        <x:v>8</x:v>
      </x:c>
      <x:c r="Q1007" s="30">
        <x:f>COUNTIF($P$3:P1007,"=3")</x:f>
        <x:v>112</x:v>
      </x:c>
      <x:c r="R1007" s="29">
        <x:f>WORKDAY(기본입력!$H$2,Q1007-1,공휴일)</x:f>
        <x:v>46092</x:v>
      </x:c>
    </x:row>
    <x:row r="1008" spans="1:18">
      <x:c r="A1008" s="145" t="str">
        <x:f t="shared" si="94"/>
        <x:v>20260311</x:v>
      </x:c>
      <x:c r="B1008" s="20" t="s">
        <x:v>5</x:v>
      </x:c>
      <x:c r="C1008" s="20">
        <x:v>1740</x:v>
      </x:c>
      <x:c r="D1008" s="21" t="s">
        <x:v>1</x:v>
      </x:c>
      <x:c r="E1008" s="20">
        <x:v>1440</x:v>
      </x:c>
      <x:c r="F1008" s="20" t="s">
        <x:v>40</x:v>
      </x:c>
      <x:c r="G1008" s="22" t="str">
        <x:f>IF(OR(N1008="",N1008&gt;기본입력!$C$34),"",VLOOKUP(O1008,기본입력!$A$9:$F$33,5))</x:f>
        <x:v>양현수_53778</x:v>
      </x:c>
      <x:c r="H1008" s="22" t="str">
        <x:f>IF(OR(N1008="",N1008&gt;기본입력!$C$34),"",기본입력!$C$6)</x:f>
        <x:v>1교육실(실습겸용강의실)_243089</x:v>
      </x:c>
      <x:c r="I1008" s="22" t="str">
        <x:f>IF(OR(O1008="",N1008&gt;기본입력!$C$34),"",VLOOKUP(O1008,기본입력!$A$9:$F$33,6,FALSE))</x:f>
        <x:v>Final 프로젝트__10</x:v>
      </x:c>
      <x:c r="J1008" s="38" t="str">
        <x:f t="shared" si="90"/>
        <x:v>Final 프로젝트</x:v>
      </x:c>
      <x:c r="K1008" s="38" t="str">
        <x:f t="shared" si="91"/>
        <x:v>1교육실(실습겸용강의실)</x:v>
      </x:c>
      <x:c r="L1008" s="38" t="str">
        <x:f t="shared" si="92"/>
        <x:v>양현수</x:v>
      </x:c>
      <x:c r="M1008" s="63"/>
      <x:c r="N1008" s="30">
        <x:f>IF(F1008="2","",COUNTIF($F$3:$F1008,"=1"))</x:f>
        <x:v>894</x:v>
      </x:c>
      <x:c r="O1008" s="30">
        <x:f t="shared" si="93"/>
        <x:v>10</x:v>
      </x:c>
      <x:c r="P1008" s="30">
        <x:f t="shared" si="95"/>
        <x:v>0</x:v>
      </x:c>
      <x:c r="Q1008" s="30">
        <x:f>COUNTIF($P$3:P1008,"=3")</x:f>
        <x:v>112</x:v>
      </x:c>
      <x:c r="R1008" s="29">
        <x:f>WORKDAY(기본입력!$H$2,Q1008-1,공휴일)</x:f>
        <x:v>46092</x:v>
      </x:c>
    </x:row>
    <x:row r="1009" spans="1:18">
      <x:c r="A1009" s="145" t="str">
        <x:f t="shared" si="94"/>
        <x:v>20260311</x:v>
      </x:c>
      <x:c r="B1009" s="20" t="s">
        <x:v>5</x:v>
      </x:c>
      <x:c r="C1009" s="20">
        <x:v>1740</x:v>
      </x:c>
      <x:c r="D1009" s="21" t="s">
        <x:v>1</x:v>
      </x:c>
      <x:c r="E1009" s="20">
        <x:v>1540</x:v>
      </x:c>
      <x:c r="F1009" s="20" t="s">
        <x:v>40</x:v>
      </x:c>
      <x:c r="G1009" s="22" t="str">
        <x:f>IF(OR(N1009="",N1009&gt;기본입력!$C$34),"",VLOOKUP(O1009,기본입력!$A$9:$F$33,5))</x:f>
        <x:v>양현수_53778</x:v>
      </x:c>
      <x:c r="H1009" s="22" t="str">
        <x:f>IF(OR(N1009="",N1009&gt;기본입력!$C$34),"",기본입력!$C$6)</x:f>
        <x:v>1교육실(실습겸용강의실)_243089</x:v>
      </x:c>
      <x:c r="I1009" s="22" t="str">
        <x:f>IF(OR(O1009="",N1009&gt;기본입력!$C$34),"",VLOOKUP(O1009,기본입력!$A$9:$F$33,6,FALSE))</x:f>
        <x:v>Final 프로젝트__10</x:v>
      </x:c>
      <x:c r="J1009" s="38" t="str">
        <x:f t="shared" si="90"/>
        <x:v>Final 프로젝트</x:v>
      </x:c>
      <x:c r="K1009" s="38" t="str">
        <x:f t="shared" si="91"/>
        <x:v>1교육실(실습겸용강의실)</x:v>
      </x:c>
      <x:c r="L1009" s="38" t="str">
        <x:f t="shared" si="92"/>
        <x:v>양현수</x:v>
      </x:c>
      <x:c r="M1009" s="63"/>
      <x:c r="N1009" s="30">
        <x:f>IF(F1009="2","",COUNTIF($F$3:$F1009,"=1"))</x:f>
        <x:v>895</x:v>
      </x:c>
      <x:c r="O1009" s="30">
        <x:f t="shared" si="93"/>
        <x:v>10</x:v>
      </x:c>
      <x:c r="P1009" s="30">
        <x:f t="shared" si="95"/>
        <x:v>1</x:v>
      </x:c>
      <x:c r="Q1009" s="30">
        <x:f>COUNTIF($P$3:P1009,"=3")</x:f>
        <x:v>112</x:v>
      </x:c>
      <x:c r="R1009" s="29">
        <x:f>WORKDAY(기본입력!$H$2,Q1009-1,공휴일)</x:f>
        <x:v>46092</x:v>
      </x:c>
    </x:row>
    <x:row r="1010" spans="1:18">
      <x:c r="A1010" s="145" t="str">
        <x:f t="shared" si="94"/>
        <x:v>20260311</x:v>
      </x:c>
      <x:c r="B1010" s="20" t="s">
        <x:v>5</x:v>
      </x:c>
      <x:c r="C1010" s="20">
        <x:v>1740</x:v>
      </x:c>
      <x:c r="D1010" s="21" t="s">
        <x:v>1</x:v>
      </x:c>
      <x:c r="E1010" s="20">
        <x:v>1640</x:v>
      </x:c>
      <x:c r="F1010" s="20" t="s">
        <x:v>40</x:v>
      </x:c>
      <x:c r="G1010" s="22" t="str">
        <x:f>IF(OR(N1010="",N1010&gt;기본입력!$C$34),"",VLOOKUP(O1010,기본입력!$A$9:$F$33,5))</x:f>
        <x:v>양현수_53778</x:v>
      </x:c>
      <x:c r="H1010" s="22" t="str">
        <x:f>IF(OR(N1010="",N1010&gt;기본입력!$C$34),"",기본입력!$C$6)</x:f>
        <x:v>1교육실(실습겸용강의실)_243089</x:v>
      </x:c>
      <x:c r="I1010" s="22" t="str">
        <x:f>IF(OR(O1010="",N1010&gt;기본입력!$C$34),"",VLOOKUP(O1010,기본입력!$A$9:$F$33,6,FALSE))</x:f>
        <x:v>Final 프로젝트__10</x:v>
      </x:c>
      <x:c r="J1010" s="38" t="str">
        <x:f t="shared" si="90"/>
        <x:v>Final 프로젝트</x:v>
      </x:c>
      <x:c r="K1010" s="38" t="str">
        <x:f t="shared" si="91"/>
        <x:v>1교육실(실습겸용강의실)</x:v>
      </x:c>
      <x:c r="L1010" s="38" t="str">
        <x:f t="shared" si="92"/>
        <x:v>양현수</x:v>
      </x:c>
      <x:c r="M1010" s="63"/>
      <x:c r="N1010" s="30">
        <x:f>IF(F1010="2","",COUNTIF($F$3:$F1010,"=1"))</x:f>
        <x:v>896</x:v>
      </x:c>
      <x:c r="O1010" s="30">
        <x:f t="shared" si="93"/>
        <x:v>10</x:v>
      </x:c>
      <x:c r="P1010" s="30">
        <x:f t="shared" si="95"/>
        <x:v>2</x:v>
      </x:c>
      <x:c r="Q1010" s="30">
        <x:f>COUNTIF($P$3:P1010,"=3")</x:f>
        <x:v>112</x:v>
      </x:c>
      <x:c r="R1010" s="29">
        <x:f>WORKDAY(기본입력!$H$2,Q1010-1,공휴일)</x:f>
        <x:v>46092</x:v>
      </x:c>
    </x:row>
    <x:row r="1011" spans="1:18">
      <x:c r="A1011" s="144" t="str">
        <x:f t="shared" si="94"/>
        <x:v>20260312</x:v>
      </x:c>
      <x:c r="B1011" s="17" t="s">
        <x:v>5</x:v>
      </x:c>
      <x:c r="C1011" s="17">
        <x:v>1740</x:v>
      </x:c>
      <x:c r="D1011" s="18" t="s">
        <x:v>1</x:v>
      </x:c>
      <x:c r="E1011" s="17" t="s">
        <x:v>5</x:v>
      </x:c>
      <x:c r="F1011" s="17" t="s">
        <x:v>40</x:v>
      </x:c>
      <x:c r="G1011" s="19" t="str">
        <x:f>IF(OR(N1011="",N1011&gt;기본입력!$C$34),"",VLOOKUP(O1011,기본입력!$A$9:$F$33,5))</x:f>
        <x:v>양현수_53778</x:v>
      </x:c>
      <x:c r="H1011" s="19" t="str">
        <x:f>IF(OR(N1011="",N1011&gt;기본입력!$C$34),"",기본입력!$C$6)</x:f>
        <x:v>1교육실(실습겸용강의실)_243089</x:v>
      </x:c>
      <x:c r="I1011" s="19" t="str">
        <x:f>IF(OR(O1011="",N1011&gt;기본입력!$C$34),"",VLOOKUP(O1011,기본입력!$A$9:$F$33,6,FALSE))</x:f>
        <x:v>Final 프로젝트__10</x:v>
      </x:c>
      <x:c r="J1011" s="38" t="str">
        <x:f t="shared" si="90"/>
        <x:v>Final 프로젝트</x:v>
      </x:c>
      <x:c r="K1011" s="38" t="str">
        <x:f t="shared" si="91"/>
        <x:v>1교육실(실습겸용강의실)</x:v>
      </x:c>
      <x:c r="L1011" s="38" t="str">
        <x:f t="shared" si="92"/>
        <x:v>양현수</x:v>
      </x:c>
      <x:c r="M1011" s="63"/>
      <x:c r="N1011" s="30">
        <x:f>IF(F1011="2","",COUNTIF($F$3:$F1011,"=1"))</x:f>
        <x:v>897</x:v>
      </x:c>
      <x:c r="O1011" s="30">
        <x:f t="shared" si="93"/>
        <x:v>10</x:v>
      </x:c>
      <x:c r="P1011" s="30">
        <x:f t="shared" si="95"/>
        <x:v>3</x:v>
      </x:c>
      <x:c r="Q1011" s="30">
        <x:f>COUNTIF($P$3:P1011,"=3")</x:f>
        <x:v>113</x:v>
      </x:c>
      <x:c r="R1011" s="29">
        <x:f>WORKDAY(기본입력!$H$2,Q1011-1,공휴일)</x:f>
        <x:v>46093</x:v>
      </x:c>
    </x:row>
    <x:row r="1012" spans="1:18">
      <x:c r="A1012" s="144" t="str">
        <x:f t="shared" si="94"/>
        <x:v>20260312</x:v>
      </x:c>
      <x:c r="B1012" s="17" t="s">
        <x:v>5</x:v>
      </x:c>
      <x:c r="C1012" s="17">
        <x:v>1740</x:v>
      </x:c>
      <x:c r="D1012" s="18" t="s">
        <x:v>1</x:v>
      </x:c>
      <x:c r="E1012" s="17" t="s">
        <x:v>117</x:v>
      </x:c>
      <x:c r="F1012" s="17" t="s">
        <x:v>40</x:v>
      </x:c>
      <x:c r="G1012" s="19" t="str">
        <x:f>IF(OR(N1012="",N1012&gt;기본입력!$C$34),"",VLOOKUP(O1012,기본입력!$A$9:$F$33,5))</x:f>
        <x:v>양현수_53778</x:v>
      </x:c>
      <x:c r="H1012" s="19" t="str">
        <x:f>IF(OR(N1012="",N1012&gt;기본입력!$C$34),"",기본입력!$C$6)</x:f>
        <x:v>1교육실(실습겸용강의실)_243089</x:v>
      </x:c>
      <x:c r="I1012" s="19" t="str">
        <x:f>IF(OR(O1012="",N1012&gt;기본입력!$C$34),"",VLOOKUP(O1012,기본입력!$A$9:$F$33,6,FALSE))</x:f>
        <x:v>Final 프로젝트__10</x:v>
      </x:c>
      <x:c r="J1012" s="38" t="str">
        <x:f t="shared" ref="J1012:J1079" si="96">IF(F1012="2","",LEFT(I1012,FIND("_",I1012,2)-1))</x:f>
        <x:v>Final 프로젝트</x:v>
      </x:c>
      <x:c r="K1012" s="38" t="str">
        <x:f t="shared" ref="K1012:K1079" si="97">IF(F1012="2","",LEFT(H1012,FIND("_",H1012,2)-1))</x:f>
        <x:v>1교육실(실습겸용강의실)</x:v>
      </x:c>
      <x:c r="L1012" s="38" t="str">
        <x:f t="shared" ref="L1012:L1079" si="98">IF(F1012="2","",LEFT(G1012,FIND("_",G1012,2)-1))</x:f>
        <x:v>양현수</x:v>
      </x:c>
      <x:c r="M1012" s="63"/>
      <x:c r="N1012" s="30">
        <x:f>IF(F1012="2","",COUNTIF($F$3:$F1012,"=1"))</x:f>
        <x:v>898</x:v>
      </x:c>
      <x:c r="O1012" s="30">
        <x:f t="shared" si="93"/>
        <x:v>10</x:v>
      </x:c>
      <x:c r="P1012" s="30">
        <x:f t="shared" si="95"/>
        <x:v>4</x:v>
      </x:c>
      <x:c r="Q1012" s="30">
        <x:f>COUNTIF($P$3:P1012,"=3")</x:f>
        <x:v>113</x:v>
      </x:c>
      <x:c r="R1012" s="29">
        <x:f>WORKDAY(기본입력!$H$2,Q1012-1,공휴일)</x:f>
        <x:v>46093</x:v>
      </x:c>
    </x:row>
    <x:row r="1013" spans="1:18">
      <x:c r="A1013" s="144" t="str">
        <x:f t="shared" si="94"/>
        <x:v>20260312</x:v>
      </x:c>
      <x:c r="B1013" s="17" t="s">
        <x:v>5</x:v>
      </x:c>
      <x:c r="C1013" s="17">
        <x:v>1740</x:v>
      </x:c>
      <x:c r="D1013" s="18" t="s">
        <x:v>1</x:v>
      </x:c>
      <x:c r="E1013" s="17" t="s">
        <x:v>87</x:v>
      </x:c>
      <x:c r="F1013" s="17" t="s">
        <x:v>40</x:v>
      </x:c>
      <x:c r="G1013" s="19" t="str">
        <x:f>IF(OR(N1013="",N1013&gt;기본입력!$C$34),"",VLOOKUP(O1013,기본입력!$A$9:$F$33,5))</x:f>
        <x:v>양현수_53778</x:v>
      </x:c>
      <x:c r="H1013" s="19" t="str">
        <x:f>IF(OR(N1013="",N1013&gt;기본입력!$C$34),"",기본입력!$C$6)</x:f>
        <x:v>1교육실(실습겸용강의실)_243089</x:v>
      </x:c>
      <x:c r="I1013" s="19" t="str">
        <x:f>IF(OR(O1013="",N1013&gt;기본입력!$C$34),"",VLOOKUP(O1013,기본입력!$A$9:$F$33,6,FALSE))</x:f>
        <x:v>Final 프로젝트__10</x:v>
      </x:c>
      <x:c r="J1013" s="38" t="str">
        <x:f t="shared" si="96"/>
        <x:v>Final 프로젝트</x:v>
      </x:c>
      <x:c r="K1013" s="38" t="str">
        <x:f t="shared" si="97"/>
        <x:v>1교육실(실습겸용강의실)</x:v>
      </x:c>
      <x:c r="L1013" s="38" t="str">
        <x:f t="shared" si="98"/>
        <x:v>양현수</x:v>
      </x:c>
      <x:c r="M1013" s="63"/>
      <x:c r="N1013" s="30">
        <x:f>IF(F1013="2","",COUNTIF($F$3:$F1013,"=1"))</x:f>
        <x:v>899</x:v>
      </x:c>
      <x:c r="O1013" s="30">
        <x:f t="shared" si="93"/>
        <x:v>10</x:v>
      </x:c>
      <x:c r="P1013" s="30">
        <x:f t="shared" si="95"/>
        <x:v>5</x:v>
      </x:c>
      <x:c r="Q1013" s="30">
        <x:f>COUNTIF($P$3:P1013,"=3")</x:f>
        <x:v>113</x:v>
      </x:c>
      <x:c r="R1013" s="29">
        <x:f>WORKDAY(기본입력!$H$2,Q1013-1,공휴일)</x:f>
        <x:v>46093</x:v>
      </x:c>
    </x:row>
    <x:row r="1014" spans="1:18">
      <x:c r="A1014" s="144" t="str">
        <x:f t="shared" si="94"/>
        <x:v>20260312</x:v>
      </x:c>
      <x:c r="B1014" s="17" t="s">
        <x:v>5</x:v>
      </x:c>
      <x:c r="C1014" s="17">
        <x:v>1740</x:v>
      </x:c>
      <x:c r="D1014" s="18" t="s">
        <x:v>1</x:v>
      </x:c>
      <x:c r="E1014" s="17" t="s">
        <x:v>88</x:v>
      </x:c>
      <x:c r="F1014" s="17" t="s">
        <x:v>40</x:v>
      </x:c>
      <x:c r="G1014" s="19" t="str">
        <x:f>IF(OR(N1014="",N1014&gt;기본입력!$C$34),"",VLOOKUP(O1014,기본입력!$A$9:$F$33,5))</x:f>
        <x:v>양현수_53778</x:v>
      </x:c>
      <x:c r="H1014" s="19" t="str">
        <x:f>IF(OR(N1014="",N1014&gt;기본입력!$C$34),"",기본입력!$C$6)</x:f>
        <x:v>1교육실(실습겸용강의실)_243089</x:v>
      </x:c>
      <x:c r="I1014" s="19" t="str">
        <x:f>IF(OR(O1014="",N1014&gt;기본입력!$C$34),"",VLOOKUP(O1014,기본입력!$A$9:$F$33,6,FALSE))</x:f>
        <x:v>Final 프로젝트__10</x:v>
      </x:c>
      <x:c r="J1014" s="38" t="str">
        <x:f t="shared" si="96"/>
        <x:v>Final 프로젝트</x:v>
      </x:c>
      <x:c r="K1014" s="38" t="str">
        <x:f t="shared" si="97"/>
        <x:v>1교육실(실습겸용강의실)</x:v>
      </x:c>
      <x:c r="L1014" s="38" t="str">
        <x:f t="shared" si="98"/>
        <x:v>양현수</x:v>
      </x:c>
      <x:c r="M1014" s="63"/>
      <x:c r="N1014" s="30">
        <x:f>IF(F1014="2","",COUNTIF($F$3:$F1014,"=1"))</x:f>
        <x:v>900</x:v>
      </x:c>
      <x:c r="O1014" s="30">
        <x:f t="shared" si="93"/>
        <x:v>10</x:v>
      </x:c>
      <x:c r="P1014" s="30">
        <x:f t="shared" si="95"/>
        <x:v>6</x:v>
      </x:c>
      <x:c r="Q1014" s="30">
        <x:f>COUNTIF($P$3:P1014,"=3")</x:f>
        <x:v>113</x:v>
      </x:c>
      <x:c r="R1014" s="29">
        <x:f>WORKDAY(기본입력!$H$2,Q1014-1,공휴일)</x:f>
        <x:v>46093</x:v>
      </x:c>
    </x:row>
    <x:row r="1015" spans="1:18">
      <x:c r="A1015" s="144" t="str">
        <x:f t="shared" si="94"/>
        <x:v>20260312</x:v>
      </x:c>
      <x:c r="B1015" s="17" t="s">
        <x:v>5</x:v>
      </x:c>
      <x:c r="C1015" s="17">
        <x:v>1740</x:v>
      </x:c>
      <x:c r="D1015" s="18" t="s">
        <x:v>1</x:v>
      </x:c>
      <x:c r="E1015" s="17" t="s">
        <x:v>0</x:v>
      </x:c>
      <x:c r="F1015" s="17" t="s">
        <x:v>41</x:v>
      </x:c>
      <x:c r="G1015" s="19" t="str">
        <x:f>IF(OR(N1015="",N1015&gt;기본입력!$C$34),"",VLOOKUP(O1015,기본입력!$A$9:$F$33,5))</x:f>
        <x:v/>
      </x:c>
      <x:c r="H1015" s="19" t="str">
        <x:f>IF(OR(N1015="",N1015&gt;기본입력!$C$34),"",기본입력!$C$6)</x:f>
        <x:v/>
      </x:c>
      <x:c r="I1015" s="19" t="str">
        <x:f>IF(OR(O1015="",N1015&gt;기본입력!$C$34),"",VLOOKUP(O1015,기본입력!$A$9:$F$33,6,FALSE))</x:f>
        <x:v/>
      </x:c>
      <x:c r="J1015" s="38" t="str">
        <x:f t="shared" si="96"/>
        <x:v/>
      </x:c>
      <x:c r="K1015" s="38" t="str">
        <x:f t="shared" si="97"/>
        <x:v/>
      </x:c>
      <x:c r="L1015" s="38" t="str">
        <x:f t="shared" si="98"/>
        <x:v/>
      </x:c>
      <x:c r="M1015" s="63"/>
      <x:c r="N1015" s="30" t="str">
        <x:f>IF(F1015="2","",COUNTIF($F$3:$F1015,"=1"))</x:f>
        <x:v/>
      </x:c>
      <x:c r="O1015" s="30" t="str">
        <x:f t="shared" si="93"/>
        <x:v/>
      </x:c>
      <x:c r="P1015" s="30">
        <x:f t="shared" si="95"/>
        <x:v>7</x:v>
      </x:c>
      <x:c r="Q1015" s="30">
        <x:f>COUNTIF($P$3:P1015,"=3")</x:f>
        <x:v>113</x:v>
      </x:c>
      <x:c r="R1015" s="29">
        <x:f>WORKDAY(기본입력!$H$2,Q1015-1,공휴일)</x:f>
        <x:v>46093</x:v>
      </x:c>
    </x:row>
    <x:row r="1016" spans="1:18">
      <x:c r="A1016" s="144" t="str">
        <x:f t="shared" si="94"/>
        <x:v>20260312</x:v>
      </x:c>
      <x:c r="B1016" s="17" t="s">
        <x:v>5</x:v>
      </x:c>
      <x:c r="C1016" s="17">
        <x:v>1740</x:v>
      </x:c>
      <x:c r="D1016" s="18" t="s">
        <x:v>1</x:v>
      </x:c>
      <x:c r="E1016" s="17">
        <x:v>1340</x:v>
      </x:c>
      <x:c r="F1016" s="17" t="s">
        <x:v>40</x:v>
      </x:c>
      <x:c r="G1016" s="19" t="str">
        <x:f>IF(OR(N1016="",N1016&gt;기본입력!$C$34),"",VLOOKUP(O1016,기본입력!$A$9:$F$33,5))</x:f>
        <x:v>양현수_53778</x:v>
      </x:c>
      <x:c r="H1016" s="19" t="str">
        <x:f>IF(OR(N1016="",N1016&gt;기본입력!$C$34),"",기본입력!$C$6)</x:f>
        <x:v>1교육실(실습겸용강의실)_243089</x:v>
      </x:c>
      <x:c r="I1016" s="19" t="str">
        <x:f>IF(OR(O1016="",N1016&gt;기본입력!$C$34),"",VLOOKUP(O1016,기본입력!$A$9:$F$33,6,FALSE))</x:f>
        <x:v>Final 프로젝트__10</x:v>
      </x:c>
      <x:c r="J1016" s="38" t="str">
        <x:f t="shared" si="96"/>
        <x:v>Final 프로젝트</x:v>
      </x:c>
      <x:c r="K1016" s="38" t="str">
        <x:f t="shared" si="97"/>
        <x:v>1교육실(실습겸용강의실)</x:v>
      </x:c>
      <x:c r="L1016" s="38" t="str">
        <x:f t="shared" si="98"/>
        <x:v>양현수</x:v>
      </x:c>
      <x:c r="M1016" s="63"/>
      <x:c r="N1016" s="30">
        <x:f>IF(F1016="2","",COUNTIF($F$3:$F1016,"=1"))</x:f>
        <x:v>901</x:v>
      </x:c>
      <x:c r="O1016" s="30">
        <x:f t="shared" si="93"/>
        <x:v>10</x:v>
      </x:c>
      <x:c r="P1016" s="30">
        <x:f t="shared" si="95"/>
        <x:v>8</x:v>
      </x:c>
      <x:c r="Q1016" s="30">
        <x:f>COUNTIF($P$3:P1016,"=3")</x:f>
        <x:v>113</x:v>
      </x:c>
      <x:c r="R1016" s="29">
        <x:f>WORKDAY(기본입력!$H$2,Q1016-1,공휴일)</x:f>
        <x:v>46093</x:v>
      </x:c>
    </x:row>
    <x:row r="1017" spans="1:18">
      <x:c r="A1017" s="144" t="str">
        <x:f t="shared" si="94"/>
        <x:v>20260312</x:v>
      </x:c>
      <x:c r="B1017" s="17" t="s">
        <x:v>5</x:v>
      </x:c>
      <x:c r="C1017" s="17">
        <x:v>1740</x:v>
      </x:c>
      <x:c r="D1017" s="18" t="s">
        <x:v>1</x:v>
      </x:c>
      <x:c r="E1017" s="17">
        <x:v>1440</x:v>
      </x:c>
      <x:c r="F1017" s="17" t="s">
        <x:v>40</x:v>
      </x:c>
      <x:c r="G1017" s="19" t="str">
        <x:f>IF(OR(N1017="",N1017&gt;기본입력!$C$34),"",VLOOKUP(O1017,기본입력!$A$9:$F$33,5))</x:f>
        <x:v>양현수_53778</x:v>
      </x:c>
      <x:c r="H1017" s="19" t="str">
        <x:f>IF(OR(N1017="",N1017&gt;기본입력!$C$34),"",기본입력!$C$6)</x:f>
        <x:v>1교육실(실습겸용강의실)_243089</x:v>
      </x:c>
      <x:c r="I1017" s="19" t="str">
        <x:f>IF(OR(O1017="",N1017&gt;기본입력!$C$34),"",VLOOKUP(O1017,기본입력!$A$9:$F$33,6,FALSE))</x:f>
        <x:v>Final 프로젝트__10</x:v>
      </x:c>
      <x:c r="J1017" s="38" t="str">
        <x:f t="shared" si="96"/>
        <x:v>Final 프로젝트</x:v>
      </x:c>
      <x:c r="K1017" s="38" t="str">
        <x:f t="shared" si="97"/>
        <x:v>1교육실(실습겸용강의실)</x:v>
      </x:c>
      <x:c r="L1017" s="38" t="str">
        <x:f t="shared" si="98"/>
        <x:v>양현수</x:v>
      </x:c>
      <x:c r="M1017" s="63"/>
      <x:c r="N1017" s="30">
        <x:f>IF(F1017="2","",COUNTIF($F$3:$F1017,"=1"))</x:f>
        <x:v>902</x:v>
      </x:c>
      <x:c r="O1017" s="30">
        <x:f t="shared" si="93"/>
        <x:v>10</x:v>
      </x:c>
      <x:c r="P1017" s="30">
        <x:f t="shared" si="95"/>
        <x:v>0</x:v>
      </x:c>
      <x:c r="Q1017" s="30">
        <x:f>COUNTIF($P$3:P1017,"=3")</x:f>
        <x:v>113</x:v>
      </x:c>
      <x:c r="R1017" s="29">
        <x:f>WORKDAY(기본입력!$H$2,Q1017-1,공휴일)</x:f>
        <x:v>46093</x:v>
      </x:c>
    </x:row>
    <x:row r="1018" spans="1:18">
      <x:c r="A1018" s="144" t="str">
        <x:f t="shared" si="94"/>
        <x:v>20260312</x:v>
      </x:c>
      <x:c r="B1018" s="17" t="s">
        <x:v>5</x:v>
      </x:c>
      <x:c r="C1018" s="17">
        <x:v>1740</x:v>
      </x:c>
      <x:c r="D1018" s="18" t="s">
        <x:v>1</x:v>
      </x:c>
      <x:c r="E1018" s="17">
        <x:v>1540</x:v>
      </x:c>
      <x:c r="F1018" s="17" t="s">
        <x:v>40</x:v>
      </x:c>
      <x:c r="G1018" s="19" t="str">
        <x:f>IF(OR(N1018="",N1018&gt;기본입력!$C$34),"",VLOOKUP(O1018,기본입력!$A$9:$F$33,5))</x:f>
        <x:v>양현수_53778</x:v>
      </x:c>
      <x:c r="H1018" s="19" t="str">
        <x:f>IF(OR(N1018="",N1018&gt;기본입력!$C$34),"",기본입력!$C$6)</x:f>
        <x:v>1교육실(실습겸용강의실)_243089</x:v>
      </x:c>
      <x:c r="I1018" s="19" t="str">
        <x:f>IF(OR(O1018="",N1018&gt;기본입력!$C$34),"",VLOOKUP(O1018,기본입력!$A$9:$F$33,6,FALSE))</x:f>
        <x:v>Final 프로젝트__10</x:v>
      </x:c>
      <x:c r="J1018" s="38" t="str">
        <x:f t="shared" si="96"/>
        <x:v>Final 프로젝트</x:v>
      </x:c>
      <x:c r="K1018" s="38" t="str">
        <x:f t="shared" si="97"/>
        <x:v>1교육실(실습겸용강의실)</x:v>
      </x:c>
      <x:c r="L1018" s="38" t="str">
        <x:f t="shared" si="98"/>
        <x:v>양현수</x:v>
      </x:c>
      <x:c r="M1018" s="63"/>
      <x:c r="N1018" s="30">
        <x:f>IF(F1018="2","",COUNTIF($F$3:$F1018,"=1"))</x:f>
        <x:v>903</x:v>
      </x:c>
      <x:c r="O1018" s="30">
        <x:f t="shared" si="93"/>
        <x:v>10</x:v>
      </x:c>
      <x:c r="P1018" s="30">
        <x:f t="shared" si="95"/>
        <x:v>1</x:v>
      </x:c>
      <x:c r="Q1018" s="30">
        <x:f>COUNTIF($P$3:P1018,"=3")</x:f>
        <x:v>113</x:v>
      </x:c>
      <x:c r="R1018" s="29">
        <x:f>WORKDAY(기본입력!$H$2,Q1018-1,공휴일)</x:f>
        <x:v>46093</x:v>
      </x:c>
    </x:row>
    <x:row r="1019" spans="1:18">
      <x:c r="A1019" s="144" t="str">
        <x:f t="shared" si="94"/>
        <x:v>20260312</x:v>
      </x:c>
      <x:c r="B1019" s="17" t="s">
        <x:v>5</x:v>
      </x:c>
      <x:c r="C1019" s="17">
        <x:v>1740</x:v>
      </x:c>
      <x:c r="D1019" s="18"/>
      <x:c r="E1019" s="17">
        <x:v>1640</x:v>
      </x:c>
      <x:c r="F1019" s="17" t="s">
        <x:v>40</x:v>
      </x:c>
      <x:c r="G1019" s="19" t="str">
        <x:f>IF(OR(N1019="",N1019&gt;기본입력!$C$34),"",VLOOKUP(O1019,기본입력!$A$9:$F$33,5))</x:f>
        <x:v>양현수_53778</x:v>
      </x:c>
      <x:c r="H1019" s="19" t="str">
        <x:f>IF(OR(N1019="",N1019&gt;기본입력!$C$34),"",기본입력!$C$6)</x:f>
        <x:v>1교육실(실습겸용강의실)_243089</x:v>
      </x:c>
      <x:c r="I1019" s="19" t="str">
        <x:f>IF(OR(O1019="",N1019&gt;기본입력!$C$34),"",VLOOKUP(O1019,기본입력!$A$9:$F$33,6,FALSE))</x:f>
        <x:v>Final 프로젝트__10</x:v>
      </x:c>
      <x:c r="J1019" s="38" t="str">
        <x:f>IF(F1019="2","",LEFT(I1019,FIND("_",I1019,2)-1))</x:f>
        <x:v>Final 프로젝트</x:v>
      </x:c>
      <x:c r="K1019" s="38" t="str">
        <x:f>IF(F1019="2","",LEFT(H1019,FIND("_",H1019,2)-1))</x:f>
        <x:v>1교육실(실습겸용강의실)</x:v>
      </x:c>
      <x:c r="L1019" s="38" t="str">
        <x:f>IF(F1019="2","",LEFT(G1019,FIND("_",G1019,2)-1))</x:f>
        <x:v>양현수</x:v>
      </x:c>
      <x:c r="M1019" s="63"/>
      <x:c r="N1019" s="30">
        <x:f>IF(F1019="2","",COUNTIF($F$3:$F1019,"=1"))</x:f>
        <x:v>904</x:v>
      </x:c>
      <x:c r="O1019" s="30">
        <x:f>IF(F1019="2","",IF(N1019&lt;=누적시수1,1,IF(N1019&lt;=누적시수2,2,IF(N1019&lt;=누적시수3,3,IF(N1019&lt;=누적시수4,4,IF(N1019&lt;=누적시수5,5,IF(N1019&lt;=누적시수6,6,IF(N1019&lt;=누적시수7,7,IF(N1019&lt;=누적시수8,8,IF(N1019&lt;=누적시수9,9,IF(N1019&lt;=누적시수10,10,IF(N1019&lt;=누적시수11,11,IF(N1019&lt;=누적시수12,12,IF(N1019&lt;=누적시수13,13,IF(N1019&lt;=누적시수14,14,IF(N1019&lt;=누적시수15,15,IF(N1019&lt;=누적시수16,16,IF(N1019&lt;=누적시수17,17,IF(N1019&lt;=누적시수18,18,IF(N1019&lt;=누적시수19,19,IF(N1019&lt;=누적시수20,20,IF(N1019&lt;=누적시수21,21,IF(N1019&lt;=누적시수22,22,IF(N1019&lt;=누적시수23,23,IF(N1019&lt;=누적시수24,24,IF(N1019&lt;=누적시수25,25,0))))))))))))))))))))))))))</x:f>
        <x:v>10</x:v>
      </x:c>
      <x:c r="P1019" s="30">
        <x:f t="shared" si="95"/>
        <x:v>2</x:v>
      </x:c>
      <x:c r="Q1019" s="30">
        <x:f>COUNTIF($P$3:P1019,"=3")</x:f>
        <x:v>113</x:v>
      </x:c>
      <x:c r="R1019" s="29">
        <x:f>WORKDAY(기본입력!$H$2,Q1019-1,공휴일)</x:f>
        <x:v>46093</x:v>
      </x:c>
    </x:row>
    <x:row r="1020" spans="1:18">
      <x:c r="A1020" s="145" t="str">
        <x:f t="shared" si="94"/>
        <x:v>20260313</x:v>
      </x:c>
      <x:c r="B1020" s="20" t="s">
        <x:v>5</x:v>
      </x:c>
      <x:c r="C1020" s="20">
        <x:v>1740</x:v>
      </x:c>
      <x:c r="D1020" s="21" t="s">
        <x:v>1</x:v>
      </x:c>
      <x:c r="E1020" s="20" t="s">
        <x:v>5</x:v>
      </x:c>
      <x:c r="F1020" s="20" t="s">
        <x:v>40</x:v>
      </x:c>
      <x:c r="G1020" s="22" t="str">
        <x:f>IF(OR(N1020="",N1020&gt;기본입력!$C$34),"",VLOOKUP(O1020,기본입력!$A$9:$F$33,5))</x:f>
        <x:v>양현수_53778</x:v>
      </x:c>
      <x:c r="H1020" s="22" t="str">
        <x:f>IF(OR(N1020="",N1020&gt;기본입력!$C$34),"",기본입력!$C$6)</x:f>
        <x:v>1교육실(실습겸용강의실)_243089</x:v>
      </x:c>
      <x:c r="I1020" s="22" t="str">
        <x:f>IF(OR(O1020="",N1020&gt;기본입력!$C$34),"",VLOOKUP(O1020,기본입력!$A$9:$F$33,6,FALSE))</x:f>
        <x:v>Final 프로젝트__10</x:v>
      </x:c>
      <x:c r="J1020" s="38" t="str">
        <x:f t="shared" si="96"/>
        <x:v>Final 프로젝트</x:v>
      </x:c>
      <x:c r="K1020" s="38" t="str">
        <x:f t="shared" si="97"/>
        <x:v>1교육실(실습겸용강의실)</x:v>
      </x:c>
      <x:c r="L1020" s="38" t="str">
        <x:f t="shared" si="98"/>
        <x:v>양현수</x:v>
      </x:c>
      <x:c r="M1020" s="63"/>
      <x:c r="N1020" s="30">
        <x:f>IF(F1020="2","",COUNTIF($F$3:$F1020,"=1"))</x:f>
        <x:v>905</x:v>
      </x:c>
      <x:c r="O1020" s="30">
        <x:f t="shared" si="93"/>
        <x:v>10</x:v>
      </x:c>
      <x:c r="P1020" s="30">
        <x:f t="shared" si="95"/>
        <x:v>3</x:v>
      </x:c>
      <x:c r="Q1020" s="30">
        <x:f>COUNTIF($P$3:P1020,"=3")</x:f>
        <x:v>114</x:v>
      </x:c>
      <x:c r="R1020" s="29">
        <x:f>WORKDAY(기본입력!$H$2,Q1020-1,공휴일)</x:f>
        <x:v>46094</x:v>
      </x:c>
    </x:row>
    <x:row r="1021" spans="1:18">
      <x:c r="A1021" s="145" t="str">
        <x:f t="shared" si="94"/>
        <x:v>20260313</x:v>
      </x:c>
      <x:c r="B1021" s="20" t="s">
        <x:v>5</x:v>
      </x:c>
      <x:c r="C1021" s="20">
        <x:v>1740</x:v>
      </x:c>
      <x:c r="D1021" s="21" t="s">
        <x:v>1</x:v>
      </x:c>
      <x:c r="E1021" s="20" t="s">
        <x:v>117</x:v>
      </x:c>
      <x:c r="F1021" s="20" t="s">
        <x:v>40</x:v>
      </x:c>
      <x:c r="G1021" s="22" t="str">
        <x:f>IF(OR(N1021="",N1021&gt;기본입력!$C$34),"",VLOOKUP(O1021,기본입력!$A$9:$F$33,5))</x:f>
        <x:v>양현수_53778</x:v>
      </x:c>
      <x:c r="H1021" s="22" t="str">
        <x:f>IF(OR(N1021="",N1021&gt;기본입력!$C$34),"",기본입력!$C$6)</x:f>
        <x:v>1교육실(실습겸용강의실)_243089</x:v>
      </x:c>
      <x:c r="I1021" s="22" t="str">
        <x:f>IF(OR(O1021="",N1021&gt;기본입력!$C$34),"",VLOOKUP(O1021,기본입력!$A$9:$F$33,6,FALSE))</x:f>
        <x:v>Final 프로젝트__10</x:v>
      </x:c>
      <x:c r="J1021" s="38" t="str">
        <x:f t="shared" si="96"/>
        <x:v>Final 프로젝트</x:v>
      </x:c>
      <x:c r="K1021" s="38" t="str">
        <x:f t="shared" si="97"/>
        <x:v>1교육실(실습겸용강의실)</x:v>
      </x:c>
      <x:c r="L1021" s="38" t="str">
        <x:f t="shared" si="98"/>
        <x:v>양현수</x:v>
      </x:c>
      <x:c r="M1021" s="63"/>
      <x:c r="N1021" s="30">
        <x:f>IF(F1021="2","",COUNTIF($F$3:$F1021,"=1"))</x:f>
        <x:v>906</x:v>
      </x:c>
      <x:c r="O1021" s="30">
        <x:f t="shared" si="93"/>
        <x:v>10</x:v>
      </x:c>
      <x:c r="P1021" s="30">
        <x:f t="shared" si="95"/>
        <x:v>4</x:v>
      </x:c>
      <x:c r="Q1021" s="30">
        <x:f>COUNTIF($P$3:P1021,"=3")</x:f>
        <x:v>114</x:v>
      </x:c>
      <x:c r="R1021" s="29">
        <x:f>WORKDAY(기본입력!$H$2,Q1021-1,공휴일)</x:f>
        <x:v>46094</x:v>
      </x:c>
    </x:row>
    <x:row r="1022" spans="1:18">
      <x:c r="A1022" s="145" t="str">
        <x:f t="shared" si="94"/>
        <x:v>20260313</x:v>
      </x:c>
      <x:c r="B1022" s="20" t="s">
        <x:v>5</x:v>
      </x:c>
      <x:c r="C1022" s="20">
        <x:v>1740</x:v>
      </x:c>
      <x:c r="D1022" s="21" t="s">
        <x:v>1</x:v>
      </x:c>
      <x:c r="E1022" s="20" t="s">
        <x:v>87</x:v>
      </x:c>
      <x:c r="F1022" s="20" t="s">
        <x:v>40</x:v>
      </x:c>
      <x:c r="G1022" s="22" t="str">
        <x:f>IF(OR(N1022="",N1022&gt;기본입력!$C$34),"",VLOOKUP(O1022,기본입력!$A$9:$F$33,5))</x:f>
        <x:v>양현수_53778</x:v>
      </x:c>
      <x:c r="H1022" s="22" t="str">
        <x:f>IF(OR(N1022="",N1022&gt;기본입력!$C$34),"",기본입력!$C$6)</x:f>
        <x:v>1교육실(실습겸용강의실)_243089</x:v>
      </x:c>
      <x:c r="I1022" s="22" t="str">
        <x:f>IF(OR(O1022="",N1022&gt;기본입력!$C$34),"",VLOOKUP(O1022,기본입력!$A$9:$F$33,6,FALSE))</x:f>
        <x:v>Final 프로젝트__10</x:v>
      </x:c>
      <x:c r="J1022" s="38" t="str">
        <x:f t="shared" si="96"/>
        <x:v>Final 프로젝트</x:v>
      </x:c>
      <x:c r="K1022" s="38" t="str">
        <x:f t="shared" si="97"/>
        <x:v>1교육실(실습겸용강의실)</x:v>
      </x:c>
      <x:c r="L1022" s="38" t="str">
        <x:f t="shared" si="98"/>
        <x:v>양현수</x:v>
      </x:c>
      <x:c r="M1022" s="63"/>
      <x:c r="N1022" s="30">
        <x:f>IF(F1022="2","",COUNTIF($F$3:$F1022,"=1"))</x:f>
        <x:v>907</x:v>
      </x:c>
      <x:c r="O1022" s="30">
        <x:f t="shared" si="93"/>
        <x:v>10</x:v>
      </x:c>
      <x:c r="P1022" s="30">
        <x:f t="shared" si="95"/>
        <x:v>5</x:v>
      </x:c>
      <x:c r="Q1022" s="30">
        <x:f>COUNTIF($P$3:P1022,"=3")</x:f>
        <x:v>114</x:v>
      </x:c>
      <x:c r="R1022" s="29">
        <x:f>WORKDAY(기본입력!$H$2,Q1022-1,공휴일)</x:f>
        <x:v>46094</x:v>
      </x:c>
    </x:row>
    <x:row r="1023" spans="1:18">
      <x:c r="A1023" s="145" t="str">
        <x:f t="shared" si="94"/>
        <x:v>20260313</x:v>
      </x:c>
      <x:c r="B1023" s="20" t="s">
        <x:v>5</x:v>
      </x:c>
      <x:c r="C1023" s="20">
        <x:v>1740</x:v>
      </x:c>
      <x:c r="D1023" s="21" t="s">
        <x:v>1</x:v>
      </x:c>
      <x:c r="E1023" s="20" t="s">
        <x:v>88</x:v>
      </x:c>
      <x:c r="F1023" s="20" t="s">
        <x:v>40</x:v>
      </x:c>
      <x:c r="G1023" s="22" t="str">
        <x:f>IF(OR(N1023="",N1023&gt;기본입력!$C$34),"",VLOOKUP(O1023,기본입력!$A$9:$F$33,5))</x:f>
        <x:v>양현수_53778</x:v>
      </x:c>
      <x:c r="H1023" s="22" t="str">
        <x:f>IF(OR(N1023="",N1023&gt;기본입력!$C$34),"",기본입력!$C$6)</x:f>
        <x:v>1교육실(실습겸용강의실)_243089</x:v>
      </x:c>
      <x:c r="I1023" s="22" t="str">
        <x:f>IF(OR(O1023="",N1023&gt;기본입력!$C$34),"",VLOOKUP(O1023,기본입력!$A$9:$F$33,6,FALSE))</x:f>
        <x:v>Final 프로젝트__10</x:v>
      </x:c>
      <x:c r="J1023" s="38" t="str">
        <x:f t="shared" si="96"/>
        <x:v>Final 프로젝트</x:v>
      </x:c>
      <x:c r="K1023" s="38" t="str">
        <x:f t="shared" si="97"/>
        <x:v>1교육실(실습겸용강의실)</x:v>
      </x:c>
      <x:c r="L1023" s="38" t="str">
        <x:f t="shared" si="98"/>
        <x:v>양현수</x:v>
      </x:c>
      <x:c r="M1023" s="63"/>
      <x:c r="N1023" s="30">
        <x:f>IF(F1023="2","",COUNTIF($F$3:$F1023,"=1"))</x:f>
        <x:v>908</x:v>
      </x:c>
      <x:c r="O1023" s="30">
        <x:f t="shared" si="93"/>
        <x:v>10</x:v>
      </x:c>
      <x:c r="P1023" s="30">
        <x:f t="shared" si="95"/>
        <x:v>6</x:v>
      </x:c>
      <x:c r="Q1023" s="30">
        <x:f>COUNTIF($P$3:P1023,"=3")</x:f>
        <x:v>114</x:v>
      </x:c>
      <x:c r="R1023" s="29">
        <x:f>WORKDAY(기본입력!$H$2,Q1023-1,공휴일)</x:f>
        <x:v>46094</x:v>
      </x:c>
    </x:row>
    <x:row r="1024" spans="1:18">
      <x:c r="A1024" s="145" t="str">
        <x:f t="shared" si="94"/>
        <x:v>20260313</x:v>
      </x:c>
      <x:c r="B1024" s="20" t="s">
        <x:v>5</x:v>
      </x:c>
      <x:c r="C1024" s="20">
        <x:v>1740</x:v>
      </x:c>
      <x:c r="D1024" s="21" t="s">
        <x:v>1</x:v>
      </x:c>
      <x:c r="E1024" s="20" t="s">
        <x:v>0</x:v>
      </x:c>
      <x:c r="F1024" s="20" t="s">
        <x:v>41</x:v>
      </x:c>
      <x:c r="G1024" s="22" t="str">
        <x:f>IF(OR(N1024="",N1024&gt;기본입력!$C$34),"",VLOOKUP(O1024,기본입력!$A$9:$F$33,5))</x:f>
        <x:v/>
      </x:c>
      <x:c r="H1024" s="22" t="str">
        <x:f>IF(OR(N1024="",N1024&gt;기본입력!$C$34),"",기본입력!$C$6)</x:f>
        <x:v/>
      </x:c>
      <x:c r="I1024" s="22" t="str">
        <x:f>IF(OR(O1024="",N1024&gt;기본입력!$C$34),"",VLOOKUP(O1024,기본입력!$A$9:$F$33,6,FALSE))</x:f>
        <x:v/>
      </x:c>
      <x:c r="J1024" s="38" t="str">
        <x:f t="shared" si="96"/>
        <x:v/>
      </x:c>
      <x:c r="K1024" s="38" t="str">
        <x:f t="shared" si="97"/>
        <x:v/>
      </x:c>
      <x:c r="L1024" s="38" t="str">
        <x:f t="shared" si="98"/>
        <x:v/>
      </x:c>
      <x:c r="M1024" s="63"/>
      <x:c r="N1024" s="30" t="str">
        <x:f>IF(F1024="2","",COUNTIF($F$3:$F1024,"=1"))</x:f>
        <x:v/>
      </x:c>
      <x:c r="O1024" s="30" t="str">
        <x:f t="shared" si="93"/>
        <x:v/>
      </x:c>
      <x:c r="P1024" s="30">
        <x:f t="shared" si="95"/>
        <x:v>7</x:v>
      </x:c>
      <x:c r="Q1024" s="30">
        <x:f>COUNTIF($P$3:P1024,"=3")</x:f>
        <x:v>114</x:v>
      </x:c>
      <x:c r="R1024" s="29">
        <x:f>WORKDAY(기본입력!$H$2,Q1024-1,공휴일)</x:f>
        <x:v>46094</x:v>
      </x:c>
    </x:row>
    <x:row r="1025" spans="1:18">
      <x:c r="A1025" s="145" t="str">
        <x:f t="shared" si="94"/>
        <x:v>20260313</x:v>
      </x:c>
      <x:c r="B1025" s="20" t="s">
        <x:v>5</x:v>
      </x:c>
      <x:c r="C1025" s="20">
        <x:v>1740</x:v>
      </x:c>
      <x:c r="D1025" s="21" t="s">
        <x:v>1</x:v>
      </x:c>
      <x:c r="E1025" s="20">
        <x:v>1340</x:v>
      </x:c>
      <x:c r="F1025" s="20" t="s">
        <x:v>40</x:v>
      </x:c>
      <x:c r="G1025" s="22" t="str">
        <x:f>IF(OR(N1025="",N1025&gt;기본입력!$C$34),"",VLOOKUP(O1025,기본입력!$A$9:$F$33,5))</x:f>
        <x:v>양현수_53778</x:v>
      </x:c>
      <x:c r="H1025" s="22" t="str">
        <x:f>IF(OR(N1025="",N1025&gt;기본입력!$C$34),"",기본입력!$C$6)</x:f>
        <x:v>1교육실(실습겸용강의실)_243089</x:v>
      </x:c>
      <x:c r="I1025" s="22" t="str">
        <x:f>IF(OR(O1025="",N1025&gt;기본입력!$C$34),"",VLOOKUP(O1025,기본입력!$A$9:$F$33,6,FALSE))</x:f>
        <x:v>Final 프로젝트__10</x:v>
      </x:c>
      <x:c r="J1025" s="38" t="str">
        <x:f t="shared" si="96"/>
        <x:v>Final 프로젝트</x:v>
      </x:c>
      <x:c r="K1025" s="38" t="str">
        <x:f t="shared" si="97"/>
        <x:v>1교육실(실습겸용강의실)</x:v>
      </x:c>
      <x:c r="L1025" s="38" t="str">
        <x:f t="shared" si="98"/>
        <x:v>양현수</x:v>
      </x:c>
      <x:c r="M1025" s="63"/>
      <x:c r="N1025" s="30">
        <x:f>IF(F1025="2","",COUNTIF($F$3:$F1025,"=1"))</x:f>
        <x:v>909</x:v>
      </x:c>
      <x:c r="O1025" s="30">
        <x:f t="shared" si="93"/>
        <x:v>10</x:v>
      </x:c>
      <x:c r="P1025" s="30">
        <x:f t="shared" si="95"/>
        <x:v>8</x:v>
      </x:c>
      <x:c r="Q1025" s="30">
        <x:f>COUNTIF($P$3:P1025,"=3")</x:f>
        <x:v>114</x:v>
      </x:c>
      <x:c r="R1025" s="29">
        <x:f>WORKDAY(기본입력!$H$2,Q1025-1,공휴일)</x:f>
        <x:v>46094</x:v>
      </x:c>
    </x:row>
    <x:row r="1026" spans="1:18">
      <x:c r="A1026" s="145" t="str">
        <x:f t="shared" si="94"/>
        <x:v>20260313</x:v>
      </x:c>
      <x:c r="B1026" s="20" t="s">
        <x:v>5</x:v>
      </x:c>
      <x:c r="C1026" s="20">
        <x:v>1740</x:v>
      </x:c>
      <x:c r="D1026" s="21" t="s">
        <x:v>1</x:v>
      </x:c>
      <x:c r="E1026" s="20">
        <x:v>1440</x:v>
      </x:c>
      <x:c r="F1026" s="20" t="s">
        <x:v>40</x:v>
      </x:c>
      <x:c r="G1026" s="22" t="str">
        <x:f>IF(OR(N1026="",N1026&gt;기본입력!$C$34),"",VLOOKUP(O1026,기본입력!$A$9:$F$33,5))</x:f>
        <x:v>양현수_53778</x:v>
      </x:c>
      <x:c r="H1026" s="22" t="str">
        <x:f>IF(OR(N1026="",N1026&gt;기본입력!$C$34),"",기본입력!$C$6)</x:f>
        <x:v>1교육실(실습겸용강의실)_243089</x:v>
      </x:c>
      <x:c r="I1026" s="22" t="str">
        <x:f>IF(OR(O1026="",N1026&gt;기본입력!$C$34),"",VLOOKUP(O1026,기본입력!$A$9:$F$33,6,FALSE))</x:f>
        <x:v>Final 프로젝트__10</x:v>
      </x:c>
      <x:c r="J1026" s="38" t="str">
        <x:f t="shared" si="96"/>
        <x:v>Final 프로젝트</x:v>
      </x:c>
      <x:c r="K1026" s="38" t="str">
        <x:f t="shared" si="97"/>
        <x:v>1교육실(실습겸용강의실)</x:v>
      </x:c>
      <x:c r="L1026" s="38" t="str">
        <x:f t="shared" si="98"/>
        <x:v>양현수</x:v>
      </x:c>
      <x:c r="M1026" s="63"/>
      <x:c r="N1026" s="30">
        <x:f>IF(F1026="2","",COUNTIF($F$3:$F1026,"=1"))</x:f>
        <x:v>910</x:v>
      </x:c>
      <x:c r="O1026" s="30">
        <x:f t="shared" si="93"/>
        <x:v>10</x:v>
      </x:c>
      <x:c r="P1026" s="30">
        <x:f t="shared" si="95"/>
        <x:v>0</x:v>
      </x:c>
      <x:c r="Q1026" s="30">
        <x:f>COUNTIF($P$3:P1026,"=3")</x:f>
        <x:v>114</x:v>
      </x:c>
      <x:c r="R1026" s="29">
        <x:f>WORKDAY(기본입력!$H$2,Q1026-1,공휴일)</x:f>
        <x:v>46094</x:v>
      </x:c>
    </x:row>
    <x:row r="1027" spans="1:18">
      <x:c r="A1027" s="145" t="str">
        <x:f t="shared" si="94"/>
        <x:v>20260313</x:v>
      </x:c>
      <x:c r="B1027" s="20" t="s">
        <x:v>5</x:v>
      </x:c>
      <x:c r="C1027" s="20">
        <x:v>1740</x:v>
      </x:c>
      <x:c r="D1027" s="21" t="s">
        <x:v>1</x:v>
      </x:c>
      <x:c r="E1027" s="20">
        <x:v>1540</x:v>
      </x:c>
      <x:c r="F1027" s="20" t="s">
        <x:v>40</x:v>
      </x:c>
      <x:c r="G1027" s="22" t="str">
        <x:f>IF(OR(N1027="",N1027&gt;기본입력!$C$34),"",VLOOKUP(O1027,기본입력!$A$9:$F$33,5))</x:f>
        <x:v>양현수_53778</x:v>
      </x:c>
      <x:c r="H1027" s="22" t="str">
        <x:f>IF(OR(N1027="",N1027&gt;기본입력!$C$34),"",기본입력!$C$6)</x:f>
        <x:v>1교육실(실습겸용강의실)_243089</x:v>
      </x:c>
      <x:c r="I1027" s="22" t="str">
        <x:f>IF(OR(O1027="",N1027&gt;기본입력!$C$34),"",VLOOKUP(O1027,기본입력!$A$9:$F$33,6,FALSE))</x:f>
        <x:v>Final 프로젝트__10</x:v>
      </x:c>
      <x:c r="J1027" s="38" t="str">
        <x:f t="shared" si="96"/>
        <x:v>Final 프로젝트</x:v>
      </x:c>
      <x:c r="K1027" s="38" t="str">
        <x:f t="shared" si="97"/>
        <x:v>1교육실(실습겸용강의실)</x:v>
      </x:c>
      <x:c r="L1027" s="38" t="str">
        <x:f t="shared" si="98"/>
        <x:v>양현수</x:v>
      </x:c>
      <x:c r="M1027" s="63"/>
      <x:c r="N1027" s="30">
        <x:f>IF(F1027="2","",COUNTIF($F$3:$F1027,"=1"))</x:f>
        <x:v>911</x:v>
      </x:c>
      <x:c r="O1027" s="30">
        <x:f t="shared" si="93"/>
        <x:v>10</x:v>
      </x:c>
      <x:c r="P1027" s="30">
        <x:f t="shared" si="95"/>
        <x:v>1</x:v>
      </x:c>
      <x:c r="Q1027" s="30">
        <x:f>COUNTIF($P$3:P1027,"=3")</x:f>
        <x:v>114</x:v>
      </x:c>
      <x:c r="R1027" s="29">
        <x:f>WORKDAY(기본입력!$H$2,Q1027-1,공휴일)</x:f>
        <x:v>46094</x:v>
      </x:c>
    </x:row>
    <x:row r="1028" spans="1:18">
      <x:c r="A1028" s="145" t="str">
        <x:f t="shared" si="94"/>
        <x:v>20260313</x:v>
      </x:c>
      <x:c r="B1028" s="20" t="s">
        <x:v>5</x:v>
      </x:c>
      <x:c r="C1028" s="20">
        <x:v>1740</x:v>
      </x:c>
      <x:c r="D1028" s="21" t="s">
        <x:v>1</x:v>
      </x:c>
      <x:c r="E1028" s="20">
        <x:v>1640</x:v>
      </x:c>
      <x:c r="F1028" s="20" t="s">
        <x:v>40</x:v>
      </x:c>
      <x:c r="G1028" s="22" t="str">
        <x:f>IF(OR(N1028="",N1028&gt;기본입력!$C$34),"",VLOOKUP(O1028,기본입력!$A$9:$F$33,5))</x:f>
        <x:v>양현수_53778</x:v>
      </x:c>
      <x:c r="H1028" s="22" t="str">
        <x:f>IF(OR(N1028="",N1028&gt;기본입력!$C$34),"",기본입력!$C$6)</x:f>
        <x:v>1교육실(실습겸용강의실)_243089</x:v>
      </x:c>
      <x:c r="I1028" s="22" t="str">
        <x:f>IF(OR(O1028="",N1028&gt;기본입력!$C$34),"",VLOOKUP(O1028,기본입력!$A$9:$F$33,6,FALSE))</x:f>
        <x:v>Final 프로젝트__10</x:v>
      </x:c>
      <x:c r="J1028" s="38" t="str">
        <x:f t="shared" si="96"/>
        <x:v>Final 프로젝트</x:v>
      </x:c>
      <x:c r="K1028" s="38" t="str">
        <x:f t="shared" si="97"/>
        <x:v>1교육실(실습겸용강의실)</x:v>
      </x:c>
      <x:c r="L1028" s="38" t="str">
        <x:f t="shared" si="98"/>
        <x:v>양현수</x:v>
      </x:c>
      <x:c r="M1028" s="63"/>
      <x:c r="N1028" s="30">
        <x:f>IF(F1028="2","",COUNTIF($F$3:$F1028,"=1"))</x:f>
        <x:v>912</x:v>
      </x:c>
      <x:c r="O1028" s="30">
        <x:f t="shared" si="93"/>
        <x:v>10</x:v>
      </x:c>
      <x:c r="P1028" s="30">
        <x:f t="shared" si="95"/>
        <x:v>2</x:v>
      </x:c>
      <x:c r="Q1028" s="30">
        <x:f>COUNTIF($P$3:P1028,"=3")</x:f>
        <x:v>114</x:v>
      </x:c>
      <x:c r="R1028" s="29">
        <x:f>WORKDAY(기본입력!$H$2,Q1028-1,공휴일)</x:f>
        <x:v>46094</x:v>
      </x:c>
    </x:row>
    <x:row r="1029" spans="1:18">
      <x:c r="A1029" s="144" t="str">
        <x:f t="shared" si="94"/>
        <x:v>20260316</x:v>
      </x:c>
      <x:c r="B1029" s="17" t="s">
        <x:v>5</x:v>
      </x:c>
      <x:c r="C1029" s="17">
        <x:v>1740</x:v>
      </x:c>
      <x:c r="D1029" s="18" t="s">
        <x:v>1</x:v>
      </x:c>
      <x:c r="E1029" s="17" t="s">
        <x:v>5</x:v>
      </x:c>
      <x:c r="F1029" s="17" t="s">
        <x:v>40</x:v>
      </x:c>
      <x:c r="G1029" s="19" t="str">
        <x:f>IF(OR(N1029="",N1029&gt;기본입력!$C$34),"",VLOOKUP(O1029,기본입력!$A$9:$F$33,5))</x:f>
        <x:v>양현수_53778</x:v>
      </x:c>
      <x:c r="H1029" s="19" t="str">
        <x:f>IF(OR(N1029="",N1029&gt;기본입력!$C$34),"",기본입력!$C$6)</x:f>
        <x:v>1교육실(실습겸용강의실)_243089</x:v>
      </x:c>
      <x:c r="I1029" s="19" t="str">
        <x:f>IF(OR(O1029="",N1029&gt;기본입력!$C$34),"",VLOOKUP(O1029,기본입력!$A$9:$F$33,6,FALSE))</x:f>
        <x:v>Final 프로젝트__10</x:v>
      </x:c>
      <x:c r="J1029" s="38" t="str">
        <x:f t="shared" si="96"/>
        <x:v>Final 프로젝트</x:v>
      </x:c>
      <x:c r="K1029" s="38" t="str">
        <x:f t="shared" si="97"/>
        <x:v>1교육실(실습겸용강의실)</x:v>
      </x:c>
      <x:c r="L1029" s="38" t="str">
        <x:f t="shared" si="98"/>
        <x:v>양현수</x:v>
      </x:c>
      <x:c r="M1029" s="63"/>
      <x:c r="N1029" s="30">
        <x:f>IF(F1029="2","",COUNTIF($F$3:$F1029,"=1"))</x:f>
        <x:v>913</x:v>
      </x:c>
      <x:c r="O1029" s="30">
        <x:f t="shared" si="93"/>
        <x:v>10</x:v>
      </x:c>
      <x:c r="P1029" s="30">
        <x:f t="shared" si="95"/>
        <x:v>3</x:v>
      </x:c>
      <x:c r="Q1029" s="30">
        <x:f>COUNTIF($P$3:P1029,"=3")</x:f>
        <x:v>115</x:v>
      </x:c>
      <x:c r="R1029" s="29">
        <x:f>WORKDAY(기본입력!$H$2,Q1029-1,공휴일)</x:f>
        <x:v>46097</x:v>
      </x:c>
    </x:row>
    <x:row r="1030" spans="1:18">
      <x:c r="A1030" s="144" t="str">
        <x:f t="shared" si="94"/>
        <x:v>20260316</x:v>
      </x:c>
      <x:c r="B1030" s="17" t="s">
        <x:v>5</x:v>
      </x:c>
      <x:c r="C1030" s="17">
        <x:v>1740</x:v>
      </x:c>
      <x:c r="D1030" s="18" t="s">
        <x:v>1</x:v>
      </x:c>
      <x:c r="E1030" s="17" t="s">
        <x:v>117</x:v>
      </x:c>
      <x:c r="F1030" s="17" t="s">
        <x:v>40</x:v>
      </x:c>
      <x:c r="G1030" s="19" t="str">
        <x:f>IF(OR(N1030="",N1030&gt;기본입력!$C$34),"",VLOOKUP(O1030,기본입력!$A$9:$F$33,5))</x:f>
        <x:v>양현수_53778</x:v>
      </x:c>
      <x:c r="H1030" s="19" t="str">
        <x:f>IF(OR(N1030="",N1030&gt;기본입력!$C$34),"",기본입력!$C$6)</x:f>
        <x:v>1교육실(실습겸용강의실)_243089</x:v>
      </x:c>
      <x:c r="I1030" s="19" t="str">
        <x:f>IF(OR(O1030="",N1030&gt;기본입력!$C$34),"",VLOOKUP(O1030,기본입력!$A$9:$F$33,6,FALSE))</x:f>
        <x:v>Final 프로젝트__10</x:v>
      </x:c>
      <x:c r="J1030" s="38" t="str">
        <x:f t="shared" si="96"/>
        <x:v>Final 프로젝트</x:v>
      </x:c>
      <x:c r="K1030" s="38" t="str">
        <x:f t="shared" si="97"/>
        <x:v>1교육실(실습겸용강의실)</x:v>
      </x:c>
      <x:c r="L1030" s="38" t="str">
        <x:f t="shared" si="98"/>
        <x:v>양현수</x:v>
      </x:c>
      <x:c r="M1030" s="63"/>
      <x:c r="N1030" s="30">
        <x:f>IF(F1030="2","",COUNTIF($F$3:$F1030,"=1"))</x:f>
        <x:v>914</x:v>
      </x:c>
      <x:c r="O1030" s="30">
        <x:f t="shared" ref="O1030:O1097" si="99">IF(F1030="2","",IF(N1030&lt;=누적시수1,1,IF(N1030&lt;=누적시수2,2,IF(N1030&lt;=누적시수3,3,IF(N1030&lt;=누적시수4,4,IF(N1030&lt;=누적시수5,5,IF(N1030&lt;=누적시수6,6,IF(N1030&lt;=누적시수7,7,IF(N1030&lt;=누적시수8,8,IF(N1030&lt;=누적시수9,9,IF(N1030&lt;=누적시수10,10,IF(N1030&lt;=누적시수11,11,IF(N1030&lt;=누적시수12,12,IF(N1030&lt;=누적시수13,13,IF(N1030&lt;=누적시수14,14,IF(N1030&lt;=누적시수15,15,IF(N1030&lt;=누적시수16,16,IF(N1030&lt;=누적시수17,17,IF(N1030&lt;=누적시수18,18,IF(N1030&lt;=누적시수19,19,IF(N1030&lt;=누적시수20,20,IF(N1030&lt;=누적시수21,21,IF(N1030&lt;=누적시수22,22,IF(N1030&lt;=누적시수23,23,IF(N1030&lt;=누적시수24,24,IF(N1030&lt;=누적시수25,25,0))))))))))))))))))))))))))</x:f>
        <x:v>10</x:v>
      </x:c>
      <x:c r="P1030" s="30">
        <x:f t="shared" si="95"/>
        <x:v>4</x:v>
      </x:c>
      <x:c r="Q1030" s="30">
        <x:f>COUNTIF($P$3:P1030,"=3")</x:f>
        <x:v>115</x:v>
      </x:c>
      <x:c r="R1030" s="29">
        <x:f>WORKDAY(기본입력!$H$2,Q1030-1,공휴일)</x:f>
        <x:v>46097</x:v>
      </x:c>
    </x:row>
    <x:row r="1031" spans="1:18">
      <x:c r="A1031" s="144" t="str">
        <x:f t="shared" ref="A1031:A1098" si="100">TEXT(R1031,"yyyymmdd")</x:f>
        <x:v>20260316</x:v>
      </x:c>
      <x:c r="B1031" s="17" t="s">
        <x:v>5</x:v>
      </x:c>
      <x:c r="C1031" s="17">
        <x:v>1740</x:v>
      </x:c>
      <x:c r="D1031" s="18" t="s">
        <x:v>1</x:v>
      </x:c>
      <x:c r="E1031" s="17" t="s">
        <x:v>87</x:v>
      </x:c>
      <x:c r="F1031" s="17" t="s">
        <x:v>40</x:v>
      </x:c>
      <x:c r="G1031" s="19" t="str">
        <x:f>IF(OR(N1031="",N1031&gt;기본입력!$C$34),"",VLOOKUP(O1031,기본입력!$A$9:$F$33,5))</x:f>
        <x:v>양현수_53778</x:v>
      </x:c>
      <x:c r="H1031" s="19" t="str">
        <x:f>IF(OR(N1031="",N1031&gt;기본입력!$C$34),"",기본입력!$C$6)</x:f>
        <x:v>1교육실(실습겸용강의실)_243089</x:v>
      </x:c>
      <x:c r="I1031" s="19" t="str">
        <x:f>IF(OR(O1031="",N1031&gt;기본입력!$C$34),"",VLOOKUP(O1031,기본입력!$A$9:$F$33,6,FALSE))</x:f>
        <x:v>Final 프로젝트__10</x:v>
      </x:c>
      <x:c r="J1031" s="38" t="str">
        <x:f t="shared" si="96"/>
        <x:v>Final 프로젝트</x:v>
      </x:c>
      <x:c r="K1031" s="38" t="str">
        <x:f t="shared" si="97"/>
        <x:v>1교육실(실습겸용강의실)</x:v>
      </x:c>
      <x:c r="L1031" s="38" t="str">
        <x:f t="shared" si="98"/>
        <x:v>양현수</x:v>
      </x:c>
      <x:c r="M1031" s="63"/>
      <x:c r="N1031" s="30">
        <x:f>IF(F1031="2","",COUNTIF($F$3:$F1031,"=1"))</x:f>
        <x:v>915</x:v>
      </x:c>
      <x:c r="O1031" s="30">
        <x:f t="shared" si="99"/>
        <x:v>10</x:v>
      </x:c>
      <x:c r="P1031" s="30">
        <x:f t="shared" ref="P1031:P1098" si="101">MOD(ROW(),9)</x:f>
        <x:v>5</x:v>
      </x:c>
      <x:c r="Q1031" s="30">
        <x:f>COUNTIF($P$3:P1031,"=3")</x:f>
        <x:v>115</x:v>
      </x:c>
      <x:c r="R1031" s="29">
        <x:f>WORKDAY(기본입력!$H$2,Q1031-1,공휴일)</x:f>
        <x:v>46097</x:v>
      </x:c>
    </x:row>
    <x:row r="1032" spans="1:18">
      <x:c r="A1032" s="144" t="str">
        <x:f t="shared" si="100"/>
        <x:v>20260316</x:v>
      </x:c>
      <x:c r="B1032" s="17" t="s">
        <x:v>5</x:v>
      </x:c>
      <x:c r="C1032" s="17">
        <x:v>1740</x:v>
      </x:c>
      <x:c r="D1032" s="18" t="s">
        <x:v>1</x:v>
      </x:c>
      <x:c r="E1032" s="17" t="s">
        <x:v>88</x:v>
      </x:c>
      <x:c r="F1032" s="17" t="s">
        <x:v>40</x:v>
      </x:c>
      <x:c r="G1032" s="19" t="str">
        <x:f>IF(OR(N1032="",N1032&gt;기본입력!$C$34),"",VLOOKUP(O1032,기본입력!$A$9:$F$33,5))</x:f>
        <x:v>양현수_53778</x:v>
      </x:c>
      <x:c r="H1032" s="19" t="str">
        <x:f>IF(OR(N1032="",N1032&gt;기본입력!$C$34),"",기본입력!$C$6)</x:f>
        <x:v>1교육실(실습겸용강의실)_243089</x:v>
      </x:c>
      <x:c r="I1032" s="19" t="str">
        <x:f>IF(OR(O1032="",N1032&gt;기본입력!$C$34),"",VLOOKUP(O1032,기본입력!$A$9:$F$33,6,FALSE))</x:f>
        <x:v>Final 프로젝트__10</x:v>
      </x:c>
      <x:c r="J1032" s="38" t="str">
        <x:f t="shared" si="96"/>
        <x:v>Final 프로젝트</x:v>
      </x:c>
      <x:c r="K1032" s="38" t="str">
        <x:f t="shared" si="97"/>
        <x:v>1교육실(실습겸용강의실)</x:v>
      </x:c>
      <x:c r="L1032" s="38" t="str">
        <x:f t="shared" si="98"/>
        <x:v>양현수</x:v>
      </x:c>
      <x:c r="M1032" s="63"/>
      <x:c r="N1032" s="30">
        <x:f>IF(F1032="2","",COUNTIF($F$3:$F1032,"=1"))</x:f>
        <x:v>916</x:v>
      </x:c>
      <x:c r="O1032" s="30">
        <x:f t="shared" si="99"/>
        <x:v>10</x:v>
      </x:c>
      <x:c r="P1032" s="30">
        <x:f t="shared" si="101"/>
        <x:v>6</x:v>
      </x:c>
      <x:c r="Q1032" s="30">
        <x:f>COUNTIF($P$3:P1032,"=3")</x:f>
        <x:v>115</x:v>
      </x:c>
      <x:c r="R1032" s="29">
        <x:f>WORKDAY(기본입력!$H$2,Q1032-1,공휴일)</x:f>
        <x:v>46097</x:v>
      </x:c>
    </x:row>
    <x:row r="1033" spans="1:18">
      <x:c r="A1033" s="144" t="str">
        <x:f t="shared" si="100"/>
        <x:v>20260316</x:v>
      </x:c>
      <x:c r="B1033" s="17" t="s">
        <x:v>5</x:v>
      </x:c>
      <x:c r="C1033" s="17">
        <x:v>1740</x:v>
      </x:c>
      <x:c r="D1033" s="18" t="s">
        <x:v>1</x:v>
      </x:c>
      <x:c r="E1033" s="17" t="s">
        <x:v>0</x:v>
      </x:c>
      <x:c r="F1033" s="17" t="s">
        <x:v>41</x:v>
      </x:c>
      <x:c r="G1033" s="19" t="str">
        <x:f>IF(OR(N1033="",N1033&gt;기본입력!$C$34),"",VLOOKUP(O1033,기본입력!$A$9:$F$33,5))</x:f>
        <x:v/>
      </x:c>
      <x:c r="H1033" s="19" t="str">
        <x:f>IF(OR(N1033="",N1033&gt;기본입력!$C$34),"",기본입력!$C$6)</x:f>
        <x:v/>
      </x:c>
      <x:c r="I1033" s="19" t="str">
        <x:f>IF(OR(O1033="",N1033&gt;기본입력!$C$34),"",VLOOKUP(O1033,기본입력!$A$9:$F$33,6,FALSE))</x:f>
        <x:v/>
      </x:c>
      <x:c r="J1033" s="38" t="str">
        <x:f t="shared" si="96"/>
        <x:v/>
      </x:c>
      <x:c r="K1033" s="38" t="str">
        <x:f t="shared" si="97"/>
        <x:v/>
      </x:c>
      <x:c r="L1033" s="38" t="str">
        <x:f t="shared" si="98"/>
        <x:v/>
      </x:c>
      <x:c r="M1033" s="63"/>
      <x:c r="N1033" s="30" t="str">
        <x:f>IF(F1033="2","",COUNTIF($F$3:$F1033,"=1"))</x:f>
        <x:v/>
      </x:c>
      <x:c r="O1033" s="30" t="str">
        <x:f t="shared" si="99"/>
        <x:v/>
      </x:c>
      <x:c r="P1033" s="30">
        <x:f t="shared" si="101"/>
        <x:v>7</x:v>
      </x:c>
      <x:c r="Q1033" s="30">
        <x:f>COUNTIF($P$3:P1033,"=3")</x:f>
        <x:v>115</x:v>
      </x:c>
      <x:c r="R1033" s="29">
        <x:f>WORKDAY(기본입력!$H$2,Q1033-1,공휴일)</x:f>
        <x:v>46097</x:v>
      </x:c>
    </x:row>
    <x:row r="1034" spans="1:18">
      <x:c r="A1034" s="144" t="str">
        <x:f t="shared" si="100"/>
        <x:v>20260316</x:v>
      </x:c>
      <x:c r="B1034" s="17" t="s">
        <x:v>5</x:v>
      </x:c>
      <x:c r="C1034" s="17">
        <x:v>1740</x:v>
      </x:c>
      <x:c r="D1034" s="18" t="s">
        <x:v>1</x:v>
      </x:c>
      <x:c r="E1034" s="17">
        <x:v>1340</x:v>
      </x:c>
      <x:c r="F1034" s="17" t="s">
        <x:v>40</x:v>
      </x:c>
      <x:c r="G1034" s="19" t="str">
        <x:f>IF(OR(N1034="",N1034&gt;기본입력!$C$34),"",VLOOKUP(O1034,기본입력!$A$9:$F$33,5))</x:f>
        <x:v>양현수_53778</x:v>
      </x:c>
      <x:c r="H1034" s="19" t="str">
        <x:f>IF(OR(N1034="",N1034&gt;기본입력!$C$34),"",기본입력!$C$6)</x:f>
        <x:v>1교육실(실습겸용강의실)_243089</x:v>
      </x:c>
      <x:c r="I1034" s="19" t="str">
        <x:f>IF(OR(O1034="",N1034&gt;기본입력!$C$34),"",VLOOKUP(O1034,기본입력!$A$9:$F$33,6,FALSE))</x:f>
        <x:v>Final 프로젝트__10</x:v>
      </x:c>
      <x:c r="J1034" s="38" t="str">
        <x:f t="shared" si="96"/>
        <x:v>Final 프로젝트</x:v>
      </x:c>
      <x:c r="K1034" s="38" t="str">
        <x:f t="shared" si="97"/>
        <x:v>1교육실(실습겸용강의실)</x:v>
      </x:c>
      <x:c r="L1034" s="38" t="str">
        <x:f t="shared" si="98"/>
        <x:v>양현수</x:v>
      </x:c>
      <x:c r="M1034" s="63"/>
      <x:c r="N1034" s="30">
        <x:f>IF(F1034="2","",COUNTIF($F$3:$F1034,"=1"))</x:f>
        <x:v>917</x:v>
      </x:c>
      <x:c r="O1034" s="30">
        <x:f t="shared" si="99"/>
        <x:v>10</x:v>
      </x:c>
      <x:c r="P1034" s="30">
        <x:f t="shared" si="101"/>
        <x:v>8</x:v>
      </x:c>
      <x:c r="Q1034" s="30">
        <x:f>COUNTIF($P$3:P1034,"=3")</x:f>
        <x:v>115</x:v>
      </x:c>
      <x:c r="R1034" s="29">
        <x:f>WORKDAY(기본입력!$H$2,Q1034-1,공휴일)</x:f>
        <x:v>46097</x:v>
      </x:c>
    </x:row>
    <x:row r="1035" spans="1:18">
      <x:c r="A1035" s="144" t="str">
        <x:f t="shared" si="100"/>
        <x:v>20260316</x:v>
      </x:c>
      <x:c r="B1035" s="17" t="s">
        <x:v>5</x:v>
      </x:c>
      <x:c r="C1035" s="17">
        <x:v>1740</x:v>
      </x:c>
      <x:c r="D1035" s="18" t="s">
        <x:v>1</x:v>
      </x:c>
      <x:c r="E1035" s="17">
        <x:v>1440</x:v>
      </x:c>
      <x:c r="F1035" s="17" t="s">
        <x:v>40</x:v>
      </x:c>
      <x:c r="G1035" s="19" t="str">
        <x:f>IF(OR(N1035="",N1035&gt;기본입력!$C$34),"",VLOOKUP(O1035,기본입력!$A$9:$F$33,5))</x:f>
        <x:v>양현수_53778</x:v>
      </x:c>
      <x:c r="H1035" s="19" t="str">
        <x:f>IF(OR(N1035="",N1035&gt;기본입력!$C$34),"",기본입력!$C$6)</x:f>
        <x:v>1교육실(실습겸용강의실)_243089</x:v>
      </x:c>
      <x:c r="I1035" s="19" t="str">
        <x:f>IF(OR(O1035="",N1035&gt;기본입력!$C$34),"",VLOOKUP(O1035,기본입력!$A$9:$F$33,6,FALSE))</x:f>
        <x:v>Final 프로젝트__10</x:v>
      </x:c>
      <x:c r="J1035" s="38" t="str">
        <x:f t="shared" si="96"/>
        <x:v>Final 프로젝트</x:v>
      </x:c>
      <x:c r="K1035" s="38" t="str">
        <x:f t="shared" si="97"/>
        <x:v>1교육실(실습겸용강의실)</x:v>
      </x:c>
      <x:c r="L1035" s="38" t="str">
        <x:f t="shared" si="98"/>
        <x:v>양현수</x:v>
      </x:c>
      <x:c r="M1035" s="63"/>
      <x:c r="N1035" s="30">
        <x:f>IF(F1035="2","",COUNTIF($F$3:$F1035,"=1"))</x:f>
        <x:v>918</x:v>
      </x:c>
      <x:c r="O1035" s="30">
        <x:f t="shared" si="99"/>
        <x:v>10</x:v>
      </x:c>
      <x:c r="P1035" s="30">
        <x:f t="shared" si="101"/>
        <x:v>0</x:v>
      </x:c>
      <x:c r="Q1035" s="30">
        <x:f>COUNTIF($P$3:P1035,"=3")</x:f>
        <x:v>115</x:v>
      </x:c>
      <x:c r="R1035" s="29">
        <x:f>WORKDAY(기본입력!$H$2,Q1035-1,공휴일)</x:f>
        <x:v>46097</x:v>
      </x:c>
    </x:row>
    <x:row r="1036" spans="1:18">
      <x:c r="A1036" s="144" t="str">
        <x:f t="shared" si="100"/>
        <x:v>20260316</x:v>
      </x:c>
      <x:c r="B1036" s="17" t="s">
        <x:v>5</x:v>
      </x:c>
      <x:c r="C1036" s="17">
        <x:v>1740</x:v>
      </x:c>
      <x:c r="D1036" s="18" t="s">
        <x:v>1</x:v>
      </x:c>
      <x:c r="E1036" s="17">
        <x:v>1540</x:v>
      </x:c>
      <x:c r="F1036" s="17" t="s">
        <x:v>40</x:v>
      </x:c>
      <x:c r="G1036" s="19" t="str">
        <x:f>IF(OR(N1036="",N1036&gt;기본입력!$C$34),"",VLOOKUP(O1036,기본입력!$A$9:$F$33,5))</x:f>
        <x:v>양현수_53778</x:v>
      </x:c>
      <x:c r="H1036" s="19" t="str">
        <x:f>IF(OR(N1036="",N1036&gt;기본입력!$C$34),"",기본입력!$C$6)</x:f>
        <x:v>1교육실(실습겸용강의실)_243089</x:v>
      </x:c>
      <x:c r="I1036" s="19" t="str">
        <x:f>IF(OR(O1036="",N1036&gt;기본입력!$C$34),"",VLOOKUP(O1036,기본입력!$A$9:$F$33,6,FALSE))</x:f>
        <x:v>Final 프로젝트__10</x:v>
      </x:c>
      <x:c r="J1036" s="38" t="str">
        <x:f t="shared" si="96"/>
        <x:v>Final 프로젝트</x:v>
      </x:c>
      <x:c r="K1036" s="38" t="str">
        <x:f t="shared" si="97"/>
        <x:v>1교육실(실습겸용강의실)</x:v>
      </x:c>
      <x:c r="L1036" s="38" t="str">
        <x:f t="shared" si="98"/>
        <x:v>양현수</x:v>
      </x:c>
      <x:c r="M1036" s="63"/>
      <x:c r="N1036" s="30">
        <x:f>IF(F1036="2","",COUNTIF($F$3:$F1036,"=1"))</x:f>
        <x:v>919</x:v>
      </x:c>
      <x:c r="O1036" s="30">
        <x:f t="shared" si="99"/>
        <x:v>10</x:v>
      </x:c>
      <x:c r="P1036" s="30">
        <x:f t="shared" si="101"/>
        <x:v>1</x:v>
      </x:c>
      <x:c r="Q1036" s="30">
        <x:f>COUNTIF($P$3:P1036,"=3")</x:f>
        <x:v>115</x:v>
      </x:c>
      <x:c r="R1036" s="29">
        <x:f>WORKDAY(기본입력!$H$2,Q1036-1,공휴일)</x:f>
        <x:v>46097</x:v>
      </x:c>
    </x:row>
    <x:row r="1037" spans="1:18">
      <x:c r="A1037" s="144" t="str">
        <x:f t="shared" si="100"/>
        <x:v>20260316</x:v>
      </x:c>
      <x:c r="B1037" s="17" t="s">
        <x:v>5</x:v>
      </x:c>
      <x:c r="C1037" s="17">
        <x:v>1740</x:v>
      </x:c>
      <x:c r="D1037" s="18"/>
      <x:c r="E1037" s="17">
        <x:v>1640</x:v>
      </x:c>
      <x:c r="F1037" s="17" t="s">
        <x:v>40</x:v>
      </x:c>
      <x:c r="G1037" s="19" t="str">
        <x:f>IF(OR(N1037="",N1037&gt;기본입력!$C$34),"",VLOOKUP(O1037,기본입력!$A$9:$F$33,5))</x:f>
        <x:v>양현수_53778</x:v>
      </x:c>
      <x:c r="H1037" s="19" t="str">
        <x:f>IF(OR(N1037="",N1037&gt;기본입력!$C$34),"",기본입력!$C$6)</x:f>
        <x:v>1교육실(실습겸용강의실)_243089</x:v>
      </x:c>
      <x:c r="I1037" s="19" t="str">
        <x:f>IF(OR(O1037="",N1037&gt;기본입력!$C$34),"",VLOOKUP(O1037,기본입력!$A$9:$F$33,6,FALSE))</x:f>
        <x:v>Final 프로젝트__10</x:v>
      </x:c>
      <x:c r="J1037" s="38" t="str">
        <x:f>IF(F1037="2","",LEFT(I1037,FIND("_",I1037,2)-1))</x:f>
        <x:v>Final 프로젝트</x:v>
      </x:c>
      <x:c r="K1037" s="38" t="str">
        <x:f>IF(F1037="2","",LEFT(H1037,FIND("_",H1037,2)-1))</x:f>
        <x:v>1교육실(실습겸용강의실)</x:v>
      </x:c>
      <x:c r="L1037" s="38" t="str">
        <x:f>IF(F1037="2","",LEFT(G1037,FIND("_",G1037,2)-1))</x:f>
        <x:v>양현수</x:v>
      </x:c>
      <x:c r="M1037" s="63"/>
      <x:c r="N1037" s="30">
        <x:f>IF(F1037="2","",COUNTIF($F$3:$F1037,"=1"))</x:f>
        <x:v>920</x:v>
      </x:c>
      <x:c r="O1037" s="30">
        <x:f>IF(F1037="2","",IF(N1037&lt;=누적시수1,1,IF(N1037&lt;=누적시수2,2,IF(N1037&lt;=누적시수3,3,IF(N1037&lt;=누적시수4,4,IF(N1037&lt;=누적시수5,5,IF(N1037&lt;=누적시수6,6,IF(N1037&lt;=누적시수7,7,IF(N1037&lt;=누적시수8,8,IF(N1037&lt;=누적시수9,9,IF(N1037&lt;=누적시수10,10,IF(N1037&lt;=누적시수11,11,IF(N1037&lt;=누적시수12,12,IF(N1037&lt;=누적시수13,13,IF(N1037&lt;=누적시수14,14,IF(N1037&lt;=누적시수15,15,IF(N1037&lt;=누적시수16,16,IF(N1037&lt;=누적시수17,17,IF(N1037&lt;=누적시수18,18,IF(N1037&lt;=누적시수19,19,IF(N1037&lt;=누적시수20,20,IF(N1037&lt;=누적시수21,21,IF(N1037&lt;=누적시수22,22,IF(N1037&lt;=누적시수23,23,IF(N1037&lt;=누적시수24,24,IF(N1037&lt;=누적시수25,25,0))))))))))))))))))))))))))</x:f>
        <x:v>10</x:v>
      </x:c>
      <x:c r="P1037" s="30">
        <x:f t="shared" si="101"/>
        <x:v>2</x:v>
      </x:c>
      <x:c r="Q1037" s="30">
        <x:f>COUNTIF($P$3:P1037,"=3")</x:f>
        <x:v>115</x:v>
      </x:c>
      <x:c r="R1037" s="29">
        <x:f>WORKDAY(기본입력!$H$2,Q1037-1,공휴일)</x:f>
        <x:v>46097</x:v>
      </x:c>
    </x:row>
    <x:row r="1038" spans="1:18">
      <x:c r="A1038" s="145" t="str">
        <x:f t="shared" si="100"/>
        <x:v>20260317</x:v>
      </x:c>
      <x:c r="B1038" s="20" t="s">
        <x:v>5</x:v>
      </x:c>
      <x:c r="C1038" s="20">
        <x:v>1740</x:v>
      </x:c>
      <x:c r="D1038" s="21" t="s">
        <x:v>1</x:v>
      </x:c>
      <x:c r="E1038" s="20" t="s">
        <x:v>5</x:v>
      </x:c>
      <x:c r="F1038" s="20" t="s">
        <x:v>40</x:v>
      </x:c>
      <x:c r="G1038" s="22" t="str">
        <x:f>IF(OR(N1038="",N1038&gt;기본입력!$C$34),"",VLOOKUP(O1038,기본입력!$A$9:$F$33,5))</x:f>
        <x:v>양현수_53778</x:v>
      </x:c>
      <x:c r="H1038" s="22" t="str">
        <x:f>IF(OR(N1038="",N1038&gt;기본입력!$C$34),"",기본입력!$C$6)</x:f>
        <x:v>1교육실(실습겸용강의실)_243089</x:v>
      </x:c>
      <x:c r="I1038" s="22" t="str">
        <x:f>IF(OR(O1038="",N1038&gt;기본입력!$C$34),"",VLOOKUP(O1038,기본입력!$A$9:$F$33,6,FALSE))</x:f>
        <x:v>Final 프로젝트__10</x:v>
      </x:c>
      <x:c r="J1038" s="38" t="str">
        <x:f t="shared" si="96"/>
        <x:v>Final 프로젝트</x:v>
      </x:c>
      <x:c r="K1038" s="38" t="str">
        <x:f t="shared" si="97"/>
        <x:v>1교육실(실습겸용강의실)</x:v>
      </x:c>
      <x:c r="L1038" s="38" t="str">
        <x:f t="shared" si="98"/>
        <x:v>양현수</x:v>
      </x:c>
      <x:c r="M1038" s="63"/>
      <x:c r="N1038" s="30">
        <x:f>IF(F1038="2","",COUNTIF($F$3:$F1038,"=1"))</x:f>
        <x:v>921</x:v>
      </x:c>
      <x:c r="O1038" s="30">
        <x:f t="shared" si="99"/>
        <x:v>10</x:v>
      </x:c>
      <x:c r="P1038" s="30">
        <x:f t="shared" si="101"/>
        <x:v>3</x:v>
      </x:c>
      <x:c r="Q1038" s="30">
        <x:f>COUNTIF($P$3:P1038,"=3")</x:f>
        <x:v>116</x:v>
      </x:c>
      <x:c r="R1038" s="29">
        <x:f>WORKDAY(기본입력!$H$2,Q1038-1,공휴일)</x:f>
        <x:v>46098</x:v>
      </x:c>
    </x:row>
    <x:row r="1039" spans="1:18">
      <x:c r="A1039" s="145" t="str">
        <x:f t="shared" si="100"/>
        <x:v>20260317</x:v>
      </x:c>
      <x:c r="B1039" s="20" t="s">
        <x:v>5</x:v>
      </x:c>
      <x:c r="C1039" s="20">
        <x:v>1740</x:v>
      </x:c>
      <x:c r="D1039" s="21" t="s">
        <x:v>1</x:v>
      </x:c>
      <x:c r="E1039" s="20" t="s">
        <x:v>117</x:v>
      </x:c>
      <x:c r="F1039" s="20" t="s">
        <x:v>40</x:v>
      </x:c>
      <x:c r="G1039" s="22" t="str">
        <x:f>IF(OR(N1039="",N1039&gt;기본입력!$C$34),"",VLOOKUP(O1039,기본입력!$A$9:$F$33,5))</x:f>
        <x:v>양현수_53778</x:v>
      </x:c>
      <x:c r="H1039" s="22" t="str">
        <x:f>IF(OR(N1039="",N1039&gt;기본입력!$C$34),"",기본입력!$C$6)</x:f>
        <x:v>1교육실(실습겸용강의실)_243089</x:v>
      </x:c>
      <x:c r="I1039" s="22" t="str">
        <x:f>IF(OR(O1039="",N1039&gt;기본입력!$C$34),"",VLOOKUP(O1039,기본입력!$A$9:$F$33,6,FALSE))</x:f>
        <x:v>Final 프로젝트__10</x:v>
      </x:c>
      <x:c r="J1039" s="38" t="str">
        <x:f t="shared" si="96"/>
        <x:v>Final 프로젝트</x:v>
      </x:c>
      <x:c r="K1039" s="38" t="str">
        <x:f t="shared" si="97"/>
        <x:v>1교육실(실습겸용강의실)</x:v>
      </x:c>
      <x:c r="L1039" s="38" t="str">
        <x:f t="shared" si="98"/>
        <x:v>양현수</x:v>
      </x:c>
      <x:c r="M1039" s="63"/>
      <x:c r="N1039" s="30">
        <x:f>IF(F1039="2","",COUNTIF($F$3:$F1039,"=1"))</x:f>
        <x:v>922</x:v>
      </x:c>
      <x:c r="O1039" s="30">
        <x:f t="shared" si="99"/>
        <x:v>10</x:v>
      </x:c>
      <x:c r="P1039" s="30">
        <x:f t="shared" si="101"/>
        <x:v>4</x:v>
      </x:c>
      <x:c r="Q1039" s="30">
        <x:f>COUNTIF($P$3:P1039,"=3")</x:f>
        <x:v>116</x:v>
      </x:c>
      <x:c r="R1039" s="29">
        <x:f>WORKDAY(기본입력!$H$2,Q1039-1,공휴일)</x:f>
        <x:v>46098</x:v>
      </x:c>
    </x:row>
    <x:row r="1040" spans="1:18">
      <x:c r="A1040" s="145" t="str">
        <x:f t="shared" si="100"/>
        <x:v>20260317</x:v>
      </x:c>
      <x:c r="B1040" s="20" t="s">
        <x:v>5</x:v>
      </x:c>
      <x:c r="C1040" s="20">
        <x:v>1740</x:v>
      </x:c>
      <x:c r="D1040" s="21" t="s">
        <x:v>1</x:v>
      </x:c>
      <x:c r="E1040" s="20" t="s">
        <x:v>87</x:v>
      </x:c>
      <x:c r="F1040" s="20" t="s">
        <x:v>40</x:v>
      </x:c>
      <x:c r="G1040" s="22" t="str">
        <x:f>IF(OR(N1040="",N1040&gt;기본입력!$C$34),"",VLOOKUP(O1040,기본입력!$A$9:$F$33,5))</x:f>
        <x:v>양현수_53778</x:v>
      </x:c>
      <x:c r="H1040" s="22" t="str">
        <x:f>IF(OR(N1040="",N1040&gt;기본입력!$C$34),"",기본입력!$C$6)</x:f>
        <x:v>1교육실(실습겸용강의실)_243089</x:v>
      </x:c>
      <x:c r="I1040" s="22" t="str">
        <x:f>IF(OR(O1040="",N1040&gt;기본입력!$C$34),"",VLOOKUP(O1040,기본입력!$A$9:$F$33,6,FALSE))</x:f>
        <x:v>Final 프로젝트__10</x:v>
      </x:c>
      <x:c r="J1040" s="38" t="str">
        <x:f t="shared" si="96"/>
        <x:v>Final 프로젝트</x:v>
      </x:c>
      <x:c r="K1040" s="38" t="str">
        <x:f t="shared" si="97"/>
        <x:v>1교육실(실습겸용강의실)</x:v>
      </x:c>
      <x:c r="L1040" s="38" t="str">
        <x:f t="shared" si="98"/>
        <x:v>양현수</x:v>
      </x:c>
      <x:c r="M1040" s="63"/>
      <x:c r="N1040" s="30">
        <x:f>IF(F1040="2","",COUNTIF($F$3:$F1040,"=1"))</x:f>
        <x:v>923</x:v>
      </x:c>
      <x:c r="O1040" s="30">
        <x:f t="shared" si="99"/>
        <x:v>10</x:v>
      </x:c>
      <x:c r="P1040" s="30">
        <x:f t="shared" si="101"/>
        <x:v>5</x:v>
      </x:c>
      <x:c r="Q1040" s="30">
        <x:f>COUNTIF($P$3:P1040,"=3")</x:f>
        <x:v>116</x:v>
      </x:c>
      <x:c r="R1040" s="29">
        <x:f>WORKDAY(기본입력!$H$2,Q1040-1,공휴일)</x:f>
        <x:v>46098</x:v>
      </x:c>
    </x:row>
    <x:row r="1041" spans="1:18">
      <x:c r="A1041" s="145" t="str">
        <x:f t="shared" si="100"/>
        <x:v>20260317</x:v>
      </x:c>
      <x:c r="B1041" s="20" t="s">
        <x:v>5</x:v>
      </x:c>
      <x:c r="C1041" s="20">
        <x:v>1740</x:v>
      </x:c>
      <x:c r="D1041" s="21" t="s">
        <x:v>1</x:v>
      </x:c>
      <x:c r="E1041" s="20" t="s">
        <x:v>88</x:v>
      </x:c>
      <x:c r="F1041" s="20" t="s">
        <x:v>40</x:v>
      </x:c>
      <x:c r="G1041" s="22" t="str">
        <x:f>IF(OR(N1041="",N1041&gt;기본입력!$C$34),"",VLOOKUP(O1041,기본입력!$A$9:$F$33,5))</x:f>
        <x:v>양현수_53778</x:v>
      </x:c>
      <x:c r="H1041" s="22" t="str">
        <x:f>IF(OR(N1041="",N1041&gt;기본입력!$C$34),"",기본입력!$C$6)</x:f>
        <x:v>1교육실(실습겸용강의실)_243089</x:v>
      </x:c>
      <x:c r="I1041" s="22" t="str">
        <x:f>IF(OR(O1041="",N1041&gt;기본입력!$C$34),"",VLOOKUP(O1041,기본입력!$A$9:$F$33,6,FALSE))</x:f>
        <x:v>Final 프로젝트__10</x:v>
      </x:c>
      <x:c r="J1041" s="38" t="str">
        <x:f t="shared" si="96"/>
        <x:v>Final 프로젝트</x:v>
      </x:c>
      <x:c r="K1041" s="38" t="str">
        <x:f t="shared" si="97"/>
        <x:v>1교육실(실습겸용강의실)</x:v>
      </x:c>
      <x:c r="L1041" s="38" t="str">
        <x:f t="shared" si="98"/>
        <x:v>양현수</x:v>
      </x:c>
      <x:c r="M1041" s="63"/>
      <x:c r="N1041" s="30">
        <x:f>IF(F1041="2","",COUNTIF($F$3:$F1041,"=1"))</x:f>
        <x:v>924</x:v>
      </x:c>
      <x:c r="O1041" s="30">
        <x:f t="shared" si="99"/>
        <x:v>10</x:v>
      </x:c>
      <x:c r="P1041" s="30">
        <x:f t="shared" si="101"/>
        <x:v>6</x:v>
      </x:c>
      <x:c r="Q1041" s="30">
        <x:f>COUNTIF($P$3:P1041,"=3")</x:f>
        <x:v>116</x:v>
      </x:c>
      <x:c r="R1041" s="29">
        <x:f>WORKDAY(기본입력!$H$2,Q1041-1,공휴일)</x:f>
        <x:v>46098</x:v>
      </x:c>
    </x:row>
    <x:row r="1042" spans="1:18">
      <x:c r="A1042" s="145" t="str">
        <x:f t="shared" si="100"/>
        <x:v>20260317</x:v>
      </x:c>
      <x:c r="B1042" s="20" t="s">
        <x:v>5</x:v>
      </x:c>
      <x:c r="C1042" s="20">
        <x:v>1740</x:v>
      </x:c>
      <x:c r="D1042" s="21" t="s">
        <x:v>1</x:v>
      </x:c>
      <x:c r="E1042" s="20" t="s">
        <x:v>0</x:v>
      </x:c>
      <x:c r="F1042" s="20" t="s">
        <x:v>41</x:v>
      </x:c>
      <x:c r="G1042" s="22" t="str">
        <x:f>IF(OR(N1042="",N1042&gt;기본입력!$C$34),"",VLOOKUP(O1042,기본입력!$A$9:$F$33,5))</x:f>
        <x:v/>
      </x:c>
      <x:c r="H1042" s="22" t="str">
        <x:f>IF(OR(N1042="",N1042&gt;기본입력!$C$34),"",기본입력!$C$6)</x:f>
        <x:v/>
      </x:c>
      <x:c r="I1042" s="22" t="str">
        <x:f>IF(OR(O1042="",N1042&gt;기본입력!$C$34),"",VLOOKUP(O1042,기본입력!$A$9:$F$33,6,FALSE))</x:f>
        <x:v/>
      </x:c>
      <x:c r="J1042" s="38" t="str">
        <x:f t="shared" si="96"/>
        <x:v/>
      </x:c>
      <x:c r="K1042" s="38" t="str">
        <x:f t="shared" si="97"/>
        <x:v/>
      </x:c>
      <x:c r="L1042" s="38" t="str">
        <x:f t="shared" si="98"/>
        <x:v/>
      </x:c>
      <x:c r="M1042" s="63"/>
      <x:c r="N1042" s="30" t="str">
        <x:f>IF(F1042="2","",COUNTIF($F$3:$F1042,"=1"))</x:f>
        <x:v/>
      </x:c>
      <x:c r="O1042" s="30" t="str">
        <x:f t="shared" si="99"/>
        <x:v/>
      </x:c>
      <x:c r="P1042" s="30">
        <x:f t="shared" si="101"/>
        <x:v>7</x:v>
      </x:c>
      <x:c r="Q1042" s="30">
        <x:f>COUNTIF($P$3:P1042,"=3")</x:f>
        <x:v>116</x:v>
      </x:c>
      <x:c r="R1042" s="29">
        <x:f>WORKDAY(기본입력!$H$2,Q1042-1,공휴일)</x:f>
        <x:v>46098</x:v>
      </x:c>
    </x:row>
    <x:row r="1043" spans="1:18">
      <x:c r="A1043" s="145" t="str">
        <x:f t="shared" si="100"/>
        <x:v>20260317</x:v>
      </x:c>
      <x:c r="B1043" s="20" t="s">
        <x:v>5</x:v>
      </x:c>
      <x:c r="C1043" s="20">
        <x:v>1740</x:v>
      </x:c>
      <x:c r="D1043" s="21" t="s">
        <x:v>1</x:v>
      </x:c>
      <x:c r="E1043" s="20">
        <x:v>1340</x:v>
      </x:c>
      <x:c r="F1043" s="20" t="s">
        <x:v>40</x:v>
      </x:c>
      <x:c r="G1043" s="22" t="str">
        <x:f>IF(OR(N1043="",N1043&gt;기본입력!$C$34),"",VLOOKUP(O1043,기본입력!$A$9:$F$33,5))</x:f>
        <x:v>양현수_53778</x:v>
      </x:c>
      <x:c r="H1043" s="22" t="str">
        <x:f>IF(OR(N1043="",N1043&gt;기본입력!$C$34),"",기본입력!$C$6)</x:f>
        <x:v>1교육실(실습겸용강의실)_243089</x:v>
      </x:c>
      <x:c r="I1043" s="22" t="str">
        <x:f>IF(OR(O1043="",N1043&gt;기본입력!$C$34),"",VLOOKUP(O1043,기본입력!$A$9:$F$33,6,FALSE))</x:f>
        <x:v>Final 프로젝트__10</x:v>
      </x:c>
      <x:c r="J1043" s="38" t="str">
        <x:f t="shared" si="96"/>
        <x:v>Final 프로젝트</x:v>
      </x:c>
      <x:c r="K1043" s="38" t="str">
        <x:f t="shared" si="97"/>
        <x:v>1교육실(실습겸용강의실)</x:v>
      </x:c>
      <x:c r="L1043" s="38" t="str">
        <x:f t="shared" si="98"/>
        <x:v>양현수</x:v>
      </x:c>
      <x:c r="M1043" s="63"/>
      <x:c r="N1043" s="30">
        <x:f>IF(F1043="2","",COUNTIF($F$3:$F1043,"=1"))</x:f>
        <x:v>925</x:v>
      </x:c>
      <x:c r="O1043" s="30">
        <x:f t="shared" si="99"/>
        <x:v>10</x:v>
      </x:c>
      <x:c r="P1043" s="30">
        <x:f t="shared" si="101"/>
        <x:v>8</x:v>
      </x:c>
      <x:c r="Q1043" s="30">
        <x:f>COUNTIF($P$3:P1043,"=3")</x:f>
        <x:v>116</x:v>
      </x:c>
      <x:c r="R1043" s="29">
        <x:f>WORKDAY(기본입력!$H$2,Q1043-1,공휴일)</x:f>
        <x:v>46098</x:v>
      </x:c>
    </x:row>
    <x:row r="1044" spans="1:18">
      <x:c r="A1044" s="145" t="str">
        <x:f t="shared" si="100"/>
        <x:v>20260317</x:v>
      </x:c>
      <x:c r="B1044" s="20" t="s">
        <x:v>5</x:v>
      </x:c>
      <x:c r="C1044" s="20">
        <x:v>1740</x:v>
      </x:c>
      <x:c r="D1044" s="21" t="s">
        <x:v>1</x:v>
      </x:c>
      <x:c r="E1044" s="20">
        <x:v>1440</x:v>
      </x:c>
      <x:c r="F1044" s="20" t="s">
        <x:v>40</x:v>
      </x:c>
      <x:c r="G1044" s="22" t="str">
        <x:f>IF(OR(N1044="",N1044&gt;기본입력!$C$34),"",VLOOKUP(O1044,기본입력!$A$9:$F$33,5))</x:f>
        <x:v>양현수_53778</x:v>
      </x:c>
      <x:c r="H1044" s="22" t="str">
        <x:f>IF(OR(N1044="",N1044&gt;기본입력!$C$34),"",기본입력!$C$6)</x:f>
        <x:v>1교육실(실습겸용강의실)_243089</x:v>
      </x:c>
      <x:c r="I1044" s="22" t="str">
        <x:f>IF(OR(O1044="",N1044&gt;기본입력!$C$34),"",VLOOKUP(O1044,기본입력!$A$9:$F$33,6,FALSE))</x:f>
        <x:v>Final 프로젝트__10</x:v>
      </x:c>
      <x:c r="J1044" s="38" t="str">
        <x:f t="shared" si="96"/>
        <x:v>Final 프로젝트</x:v>
      </x:c>
      <x:c r="K1044" s="38" t="str">
        <x:f t="shared" si="97"/>
        <x:v>1교육실(실습겸용강의실)</x:v>
      </x:c>
      <x:c r="L1044" s="38" t="str">
        <x:f t="shared" si="98"/>
        <x:v>양현수</x:v>
      </x:c>
      <x:c r="M1044" s="63"/>
      <x:c r="N1044" s="30">
        <x:f>IF(F1044="2","",COUNTIF($F$3:$F1044,"=1"))</x:f>
        <x:v>926</x:v>
      </x:c>
      <x:c r="O1044" s="30">
        <x:f t="shared" si="99"/>
        <x:v>10</x:v>
      </x:c>
      <x:c r="P1044" s="30">
        <x:f t="shared" si="101"/>
        <x:v>0</x:v>
      </x:c>
      <x:c r="Q1044" s="30">
        <x:f>COUNTIF($P$3:P1044,"=3")</x:f>
        <x:v>116</x:v>
      </x:c>
      <x:c r="R1044" s="29">
        <x:f>WORKDAY(기본입력!$H$2,Q1044-1,공휴일)</x:f>
        <x:v>46098</x:v>
      </x:c>
    </x:row>
    <x:row r="1045" spans="1:18">
      <x:c r="A1045" s="145" t="str">
        <x:f t="shared" si="100"/>
        <x:v>20260317</x:v>
      </x:c>
      <x:c r="B1045" s="20" t="s">
        <x:v>5</x:v>
      </x:c>
      <x:c r="C1045" s="20">
        <x:v>1740</x:v>
      </x:c>
      <x:c r="D1045" s="21" t="s">
        <x:v>1</x:v>
      </x:c>
      <x:c r="E1045" s="20">
        <x:v>1540</x:v>
      </x:c>
      <x:c r="F1045" s="20" t="s">
        <x:v>40</x:v>
      </x:c>
      <x:c r="G1045" s="22" t="str">
        <x:f>IF(OR(N1045="",N1045&gt;기본입력!$C$34),"",VLOOKUP(O1045,기본입력!$A$9:$F$33,5))</x:f>
        <x:v>양현수_53778</x:v>
      </x:c>
      <x:c r="H1045" s="22" t="str">
        <x:f>IF(OR(N1045="",N1045&gt;기본입력!$C$34),"",기본입력!$C$6)</x:f>
        <x:v>1교육실(실습겸용강의실)_243089</x:v>
      </x:c>
      <x:c r="I1045" s="22" t="str">
        <x:f>IF(OR(O1045="",N1045&gt;기본입력!$C$34),"",VLOOKUP(O1045,기본입력!$A$9:$F$33,6,FALSE))</x:f>
        <x:v>Final 프로젝트__10</x:v>
      </x:c>
      <x:c r="J1045" s="38" t="str">
        <x:f t="shared" si="96"/>
        <x:v>Final 프로젝트</x:v>
      </x:c>
      <x:c r="K1045" s="38" t="str">
        <x:f t="shared" si="97"/>
        <x:v>1교육실(실습겸용강의실)</x:v>
      </x:c>
      <x:c r="L1045" s="38" t="str">
        <x:f t="shared" si="98"/>
        <x:v>양현수</x:v>
      </x:c>
      <x:c r="M1045" s="63"/>
      <x:c r="N1045" s="30">
        <x:f>IF(F1045="2","",COUNTIF($F$3:$F1045,"=1"))</x:f>
        <x:v>927</x:v>
      </x:c>
      <x:c r="O1045" s="30">
        <x:f t="shared" si="99"/>
        <x:v>10</x:v>
      </x:c>
      <x:c r="P1045" s="30">
        <x:f t="shared" si="101"/>
        <x:v>1</x:v>
      </x:c>
      <x:c r="Q1045" s="30">
        <x:f>COUNTIF($P$3:P1045,"=3")</x:f>
        <x:v>116</x:v>
      </x:c>
      <x:c r="R1045" s="29">
        <x:f>WORKDAY(기본입력!$H$2,Q1045-1,공휴일)</x:f>
        <x:v>46098</x:v>
      </x:c>
    </x:row>
    <x:row r="1046" spans="1:18">
      <x:c r="A1046" s="145" t="str">
        <x:f t="shared" si="100"/>
        <x:v>20260317</x:v>
      </x:c>
      <x:c r="B1046" s="20" t="s">
        <x:v>5</x:v>
      </x:c>
      <x:c r="C1046" s="20">
        <x:v>1740</x:v>
      </x:c>
      <x:c r="D1046" s="21" t="s">
        <x:v>1</x:v>
      </x:c>
      <x:c r="E1046" s="20">
        <x:v>1640</x:v>
      </x:c>
      <x:c r="F1046" s="20" t="s">
        <x:v>40</x:v>
      </x:c>
      <x:c r="G1046" s="22" t="str">
        <x:f>IF(OR(N1046="",N1046&gt;기본입력!$C$34),"",VLOOKUP(O1046,기본입력!$A$9:$F$33,5))</x:f>
        <x:v>양현수_53778</x:v>
      </x:c>
      <x:c r="H1046" s="22" t="str">
        <x:f>IF(OR(N1046="",N1046&gt;기본입력!$C$34),"",기본입력!$C$6)</x:f>
        <x:v>1교육실(실습겸용강의실)_243089</x:v>
      </x:c>
      <x:c r="I1046" s="22" t="str">
        <x:f>IF(OR(O1046="",N1046&gt;기본입력!$C$34),"",VLOOKUP(O1046,기본입력!$A$9:$F$33,6,FALSE))</x:f>
        <x:v>Final 프로젝트__10</x:v>
      </x:c>
      <x:c r="J1046" s="38" t="str">
        <x:f t="shared" si="96"/>
        <x:v>Final 프로젝트</x:v>
      </x:c>
      <x:c r="K1046" s="38" t="str">
        <x:f t="shared" si="97"/>
        <x:v>1교육실(실습겸용강의실)</x:v>
      </x:c>
      <x:c r="L1046" s="38" t="str">
        <x:f t="shared" si="98"/>
        <x:v>양현수</x:v>
      </x:c>
      <x:c r="M1046" s="63"/>
      <x:c r="N1046" s="30">
        <x:f>IF(F1046="2","",COUNTIF($F$3:$F1046,"=1"))</x:f>
        <x:v>928</x:v>
      </x:c>
      <x:c r="O1046" s="30">
        <x:f t="shared" si="99"/>
        <x:v>10</x:v>
      </x:c>
      <x:c r="P1046" s="30">
        <x:f t="shared" si="101"/>
        <x:v>2</x:v>
      </x:c>
      <x:c r="Q1046" s="30">
        <x:f>COUNTIF($P$3:P1046,"=3")</x:f>
        <x:v>116</x:v>
      </x:c>
      <x:c r="R1046" s="29">
        <x:f>WORKDAY(기본입력!$H$2,Q1046-1,공휴일)</x:f>
        <x:v>46098</x:v>
      </x:c>
    </x:row>
    <x:row r="1047" spans="1:18">
      <x:c r="A1047" s="144" t="str">
        <x:f t="shared" si="100"/>
        <x:v>20260318</x:v>
      </x:c>
      <x:c r="B1047" s="17" t="s">
        <x:v>5</x:v>
      </x:c>
      <x:c r="C1047" s="17">
        <x:v>1740</x:v>
      </x:c>
      <x:c r="D1047" s="18" t="s">
        <x:v>1</x:v>
      </x:c>
      <x:c r="E1047" s="17" t="s">
        <x:v>5</x:v>
      </x:c>
      <x:c r="F1047" s="17" t="s">
        <x:v>40</x:v>
      </x:c>
      <x:c r="G1047" s="19" t="str">
        <x:f>IF(OR(N1047="",N1047&gt;기본입력!$C$34),"",VLOOKUP(O1047,기본입력!$A$9:$F$33,5))</x:f>
        <x:v>양현수_53778</x:v>
      </x:c>
      <x:c r="H1047" s="19" t="str">
        <x:f>IF(OR(N1047="",N1047&gt;기본입력!$C$34),"",기본입력!$C$6)</x:f>
        <x:v>1교육실(실습겸용강의실)_243089</x:v>
      </x:c>
      <x:c r="I1047" s="19" t="str">
        <x:f>IF(OR(O1047="",N1047&gt;기본입력!$C$34),"",VLOOKUP(O1047,기본입력!$A$9:$F$33,6,FALSE))</x:f>
        <x:v>Final 프로젝트__10</x:v>
      </x:c>
      <x:c r="J1047" s="38" t="str">
        <x:f t="shared" si="96"/>
        <x:v>Final 프로젝트</x:v>
      </x:c>
      <x:c r="K1047" s="38" t="str">
        <x:f t="shared" si="97"/>
        <x:v>1교육실(실습겸용강의실)</x:v>
      </x:c>
      <x:c r="L1047" s="38" t="str">
        <x:f t="shared" si="98"/>
        <x:v>양현수</x:v>
      </x:c>
      <x:c r="M1047" s="63"/>
      <x:c r="N1047" s="30">
        <x:f>IF(F1047="2","",COUNTIF($F$3:$F1047,"=1"))</x:f>
        <x:v>929</x:v>
      </x:c>
      <x:c r="O1047" s="30">
        <x:f t="shared" si="99"/>
        <x:v>10</x:v>
      </x:c>
      <x:c r="P1047" s="30">
        <x:f t="shared" si="101"/>
        <x:v>3</x:v>
      </x:c>
      <x:c r="Q1047" s="30">
        <x:f>COUNTIF($P$3:P1047,"=3")</x:f>
        <x:v>117</x:v>
      </x:c>
      <x:c r="R1047" s="29">
        <x:f>WORKDAY(기본입력!$H$2,Q1047-1,공휴일)</x:f>
        <x:v>46099</x:v>
      </x:c>
    </x:row>
    <x:row r="1048" spans="1:18">
      <x:c r="A1048" s="144" t="str">
        <x:f t="shared" si="100"/>
        <x:v>20260318</x:v>
      </x:c>
      <x:c r="B1048" s="17" t="s">
        <x:v>5</x:v>
      </x:c>
      <x:c r="C1048" s="17">
        <x:v>1740</x:v>
      </x:c>
      <x:c r="D1048" s="18" t="s">
        <x:v>1</x:v>
      </x:c>
      <x:c r="E1048" s="17" t="s">
        <x:v>117</x:v>
      </x:c>
      <x:c r="F1048" s="17" t="s">
        <x:v>40</x:v>
      </x:c>
      <x:c r="G1048" s="19" t="str">
        <x:f>IF(OR(N1048="",N1048&gt;기본입력!$C$34),"",VLOOKUP(O1048,기본입력!$A$9:$F$33,5))</x:f>
        <x:v>양현수_53778</x:v>
      </x:c>
      <x:c r="H1048" s="19" t="str">
        <x:f>IF(OR(N1048="",N1048&gt;기본입력!$C$34),"",기본입력!$C$6)</x:f>
        <x:v>1교육실(실습겸용강의실)_243089</x:v>
      </x:c>
      <x:c r="I1048" s="19" t="str">
        <x:f>IF(OR(O1048="",N1048&gt;기본입력!$C$34),"",VLOOKUP(O1048,기본입력!$A$9:$F$33,6,FALSE))</x:f>
        <x:v>Final 프로젝트__10</x:v>
      </x:c>
      <x:c r="J1048" s="38" t="str">
        <x:f t="shared" si="96"/>
        <x:v>Final 프로젝트</x:v>
      </x:c>
      <x:c r="K1048" s="38" t="str">
        <x:f t="shared" si="97"/>
        <x:v>1교육실(실습겸용강의실)</x:v>
      </x:c>
      <x:c r="L1048" s="38" t="str">
        <x:f t="shared" si="98"/>
        <x:v>양현수</x:v>
      </x:c>
      <x:c r="M1048" s="63"/>
      <x:c r="N1048" s="30">
        <x:f>IF(F1048="2","",COUNTIF($F$3:$F1048,"=1"))</x:f>
        <x:v>930</x:v>
      </x:c>
      <x:c r="O1048" s="30">
        <x:f t="shared" si="99"/>
        <x:v>10</x:v>
      </x:c>
      <x:c r="P1048" s="30">
        <x:f t="shared" si="101"/>
        <x:v>4</x:v>
      </x:c>
      <x:c r="Q1048" s="30">
        <x:f>COUNTIF($P$3:P1048,"=3")</x:f>
        <x:v>117</x:v>
      </x:c>
      <x:c r="R1048" s="29">
        <x:f>WORKDAY(기본입력!$H$2,Q1048-1,공휴일)</x:f>
        <x:v>46099</x:v>
      </x:c>
    </x:row>
    <x:row r="1049" spans="1:18">
      <x:c r="A1049" s="144" t="str">
        <x:f t="shared" si="100"/>
        <x:v>20260318</x:v>
      </x:c>
      <x:c r="B1049" s="17" t="s">
        <x:v>5</x:v>
      </x:c>
      <x:c r="C1049" s="17">
        <x:v>1740</x:v>
      </x:c>
      <x:c r="D1049" s="18" t="s">
        <x:v>1</x:v>
      </x:c>
      <x:c r="E1049" s="17" t="s">
        <x:v>87</x:v>
      </x:c>
      <x:c r="F1049" s="17" t="s">
        <x:v>40</x:v>
      </x:c>
      <x:c r="G1049" s="19" t="str">
        <x:f>IF(OR(N1049="",N1049&gt;기본입력!$C$34),"",VLOOKUP(O1049,기본입력!$A$9:$F$33,5))</x:f>
        <x:v>양현수_53778</x:v>
      </x:c>
      <x:c r="H1049" s="19" t="str">
        <x:f>IF(OR(N1049="",N1049&gt;기본입력!$C$34),"",기본입력!$C$6)</x:f>
        <x:v>1교육실(실습겸용강의실)_243089</x:v>
      </x:c>
      <x:c r="I1049" s="19" t="str">
        <x:f>IF(OR(O1049="",N1049&gt;기본입력!$C$34),"",VLOOKUP(O1049,기본입력!$A$9:$F$33,6,FALSE))</x:f>
        <x:v>Final 프로젝트__10</x:v>
      </x:c>
      <x:c r="J1049" s="38" t="str">
        <x:f t="shared" si="96"/>
        <x:v>Final 프로젝트</x:v>
      </x:c>
      <x:c r="K1049" s="38" t="str">
        <x:f t="shared" si="97"/>
        <x:v>1교육실(실습겸용강의실)</x:v>
      </x:c>
      <x:c r="L1049" s="38" t="str">
        <x:f t="shared" si="98"/>
        <x:v>양현수</x:v>
      </x:c>
      <x:c r="M1049" s="63"/>
      <x:c r="N1049" s="30">
        <x:f>IF(F1049="2","",COUNTIF($F$3:$F1049,"=1"))</x:f>
        <x:v>931</x:v>
      </x:c>
      <x:c r="O1049" s="30">
        <x:f t="shared" si="99"/>
        <x:v>10</x:v>
      </x:c>
      <x:c r="P1049" s="30">
        <x:f t="shared" si="101"/>
        <x:v>5</x:v>
      </x:c>
      <x:c r="Q1049" s="30">
        <x:f>COUNTIF($P$3:P1049,"=3")</x:f>
        <x:v>117</x:v>
      </x:c>
      <x:c r="R1049" s="29">
        <x:f>WORKDAY(기본입력!$H$2,Q1049-1,공휴일)</x:f>
        <x:v>46099</x:v>
      </x:c>
    </x:row>
    <x:row r="1050" spans="1:18">
      <x:c r="A1050" s="144" t="str">
        <x:f t="shared" si="100"/>
        <x:v>20260318</x:v>
      </x:c>
      <x:c r="B1050" s="17" t="s">
        <x:v>5</x:v>
      </x:c>
      <x:c r="C1050" s="17">
        <x:v>1740</x:v>
      </x:c>
      <x:c r="D1050" s="18" t="s">
        <x:v>1</x:v>
      </x:c>
      <x:c r="E1050" s="17" t="s">
        <x:v>88</x:v>
      </x:c>
      <x:c r="F1050" s="17" t="s">
        <x:v>40</x:v>
      </x:c>
      <x:c r="G1050" s="19" t="str">
        <x:f>IF(OR(N1050="",N1050&gt;기본입력!$C$34),"",VLOOKUP(O1050,기본입력!$A$9:$F$33,5))</x:f>
        <x:v>양현수_53778</x:v>
      </x:c>
      <x:c r="H1050" s="19" t="str">
        <x:f>IF(OR(N1050="",N1050&gt;기본입력!$C$34),"",기본입력!$C$6)</x:f>
        <x:v>1교육실(실습겸용강의실)_243089</x:v>
      </x:c>
      <x:c r="I1050" s="19" t="str">
        <x:f>IF(OR(O1050="",N1050&gt;기본입력!$C$34),"",VLOOKUP(O1050,기본입력!$A$9:$F$33,6,FALSE))</x:f>
        <x:v>Final 프로젝트__10</x:v>
      </x:c>
      <x:c r="J1050" s="38" t="str">
        <x:f t="shared" si="96"/>
        <x:v>Final 프로젝트</x:v>
      </x:c>
      <x:c r="K1050" s="38" t="str">
        <x:f t="shared" si="97"/>
        <x:v>1교육실(실습겸용강의실)</x:v>
      </x:c>
      <x:c r="L1050" s="38" t="str">
        <x:f t="shared" si="98"/>
        <x:v>양현수</x:v>
      </x:c>
      <x:c r="M1050" s="63"/>
      <x:c r="N1050" s="30">
        <x:f>IF(F1050="2","",COUNTIF($F$3:$F1050,"=1"))</x:f>
        <x:v>932</x:v>
      </x:c>
      <x:c r="O1050" s="30">
        <x:f t="shared" si="99"/>
        <x:v>10</x:v>
      </x:c>
      <x:c r="P1050" s="30">
        <x:f t="shared" si="101"/>
        <x:v>6</x:v>
      </x:c>
      <x:c r="Q1050" s="30">
        <x:f>COUNTIF($P$3:P1050,"=3")</x:f>
        <x:v>117</x:v>
      </x:c>
      <x:c r="R1050" s="29">
        <x:f>WORKDAY(기본입력!$H$2,Q1050-1,공휴일)</x:f>
        <x:v>46099</x:v>
      </x:c>
    </x:row>
    <x:row r="1051" spans="1:18">
      <x:c r="A1051" s="144" t="str">
        <x:f t="shared" si="100"/>
        <x:v>20260318</x:v>
      </x:c>
      <x:c r="B1051" s="17" t="s">
        <x:v>5</x:v>
      </x:c>
      <x:c r="C1051" s="17">
        <x:v>1740</x:v>
      </x:c>
      <x:c r="D1051" s="18" t="s">
        <x:v>1</x:v>
      </x:c>
      <x:c r="E1051" s="17" t="s">
        <x:v>0</x:v>
      </x:c>
      <x:c r="F1051" s="17" t="s">
        <x:v>41</x:v>
      </x:c>
      <x:c r="G1051" s="19" t="str">
        <x:f>IF(OR(N1051="",N1051&gt;기본입력!$C$34),"",VLOOKUP(O1051,기본입력!$A$9:$F$33,5))</x:f>
        <x:v/>
      </x:c>
      <x:c r="H1051" s="19" t="str">
        <x:f>IF(OR(N1051="",N1051&gt;기본입력!$C$34),"",기본입력!$C$6)</x:f>
        <x:v/>
      </x:c>
      <x:c r="I1051" s="19" t="str">
        <x:f>IF(OR(O1051="",N1051&gt;기본입력!$C$34),"",VLOOKUP(O1051,기본입력!$A$9:$F$33,6,FALSE))</x:f>
        <x:v/>
      </x:c>
      <x:c r="J1051" s="38" t="str">
        <x:f t="shared" si="96"/>
        <x:v/>
      </x:c>
      <x:c r="K1051" s="38" t="str">
        <x:f t="shared" si="97"/>
        <x:v/>
      </x:c>
      <x:c r="L1051" s="38" t="str">
        <x:f t="shared" si="98"/>
        <x:v/>
      </x:c>
      <x:c r="M1051" s="63"/>
      <x:c r="N1051" s="30" t="str">
        <x:f>IF(F1051="2","",COUNTIF($F$3:$F1051,"=1"))</x:f>
        <x:v/>
      </x:c>
      <x:c r="O1051" s="30" t="str">
        <x:f t="shared" si="99"/>
        <x:v/>
      </x:c>
      <x:c r="P1051" s="30">
        <x:f t="shared" si="101"/>
        <x:v>7</x:v>
      </x:c>
      <x:c r="Q1051" s="30">
        <x:f>COUNTIF($P$3:P1051,"=3")</x:f>
        <x:v>117</x:v>
      </x:c>
      <x:c r="R1051" s="29">
        <x:f>WORKDAY(기본입력!$H$2,Q1051-1,공휴일)</x:f>
        <x:v>46099</x:v>
      </x:c>
    </x:row>
    <x:row r="1052" spans="1:18">
      <x:c r="A1052" s="144" t="str">
        <x:f t="shared" si="100"/>
        <x:v>20260318</x:v>
      </x:c>
      <x:c r="B1052" s="17" t="s">
        <x:v>5</x:v>
      </x:c>
      <x:c r="C1052" s="17">
        <x:v>1740</x:v>
      </x:c>
      <x:c r="D1052" s="18" t="s">
        <x:v>1</x:v>
      </x:c>
      <x:c r="E1052" s="17">
        <x:v>1340</x:v>
      </x:c>
      <x:c r="F1052" s="17" t="s">
        <x:v>40</x:v>
      </x:c>
      <x:c r="G1052" s="19" t="str">
        <x:f>IF(OR(N1052="",N1052&gt;기본입력!$C$34),"",VLOOKUP(O1052,기본입력!$A$9:$F$33,5))</x:f>
        <x:v>양현수_53778</x:v>
      </x:c>
      <x:c r="H1052" s="19" t="str">
        <x:f>IF(OR(N1052="",N1052&gt;기본입력!$C$34),"",기본입력!$C$6)</x:f>
        <x:v>1교육실(실습겸용강의실)_243089</x:v>
      </x:c>
      <x:c r="I1052" s="19" t="str">
        <x:f>IF(OR(O1052="",N1052&gt;기본입력!$C$34),"",VLOOKUP(O1052,기본입력!$A$9:$F$33,6,FALSE))</x:f>
        <x:v>Final 프로젝트__10</x:v>
      </x:c>
      <x:c r="J1052" s="38" t="str">
        <x:f t="shared" si="96"/>
        <x:v>Final 프로젝트</x:v>
      </x:c>
      <x:c r="K1052" s="38" t="str">
        <x:f t="shared" si="97"/>
        <x:v>1교육실(실습겸용강의실)</x:v>
      </x:c>
      <x:c r="L1052" s="38" t="str">
        <x:f t="shared" si="98"/>
        <x:v>양현수</x:v>
      </x:c>
      <x:c r="M1052" s="63"/>
      <x:c r="N1052" s="30">
        <x:f>IF(F1052="2","",COUNTIF($F$3:$F1052,"=1"))</x:f>
        <x:v>933</x:v>
      </x:c>
      <x:c r="O1052" s="30">
        <x:f t="shared" si="99"/>
        <x:v>10</x:v>
      </x:c>
      <x:c r="P1052" s="30">
        <x:f t="shared" si="101"/>
        <x:v>8</x:v>
      </x:c>
      <x:c r="Q1052" s="30">
        <x:f>COUNTIF($P$3:P1052,"=3")</x:f>
        <x:v>117</x:v>
      </x:c>
      <x:c r="R1052" s="29">
        <x:f>WORKDAY(기본입력!$H$2,Q1052-1,공휴일)</x:f>
        <x:v>46099</x:v>
      </x:c>
    </x:row>
    <x:row r="1053" spans="1:18">
      <x:c r="A1053" s="144" t="str">
        <x:f t="shared" si="100"/>
        <x:v>20260318</x:v>
      </x:c>
      <x:c r="B1053" s="17" t="s">
        <x:v>5</x:v>
      </x:c>
      <x:c r="C1053" s="17">
        <x:v>1740</x:v>
      </x:c>
      <x:c r="D1053" s="18" t="s">
        <x:v>1</x:v>
      </x:c>
      <x:c r="E1053" s="17">
        <x:v>1440</x:v>
      </x:c>
      <x:c r="F1053" s="17" t="s">
        <x:v>40</x:v>
      </x:c>
      <x:c r="G1053" s="19" t="str">
        <x:f>IF(OR(N1053="",N1053&gt;기본입력!$C$34),"",VLOOKUP(O1053,기본입력!$A$9:$F$33,5))</x:f>
        <x:v>양현수_53778</x:v>
      </x:c>
      <x:c r="H1053" s="19" t="str">
        <x:f>IF(OR(N1053="",N1053&gt;기본입력!$C$34),"",기본입력!$C$6)</x:f>
        <x:v>1교육실(실습겸용강의실)_243089</x:v>
      </x:c>
      <x:c r="I1053" s="19" t="str">
        <x:f>IF(OR(O1053="",N1053&gt;기본입력!$C$34),"",VLOOKUP(O1053,기본입력!$A$9:$F$33,6,FALSE))</x:f>
        <x:v>Final 프로젝트__10</x:v>
      </x:c>
      <x:c r="J1053" s="38" t="str">
        <x:f t="shared" si="96"/>
        <x:v>Final 프로젝트</x:v>
      </x:c>
      <x:c r="K1053" s="38" t="str">
        <x:f t="shared" si="97"/>
        <x:v>1교육실(실습겸용강의실)</x:v>
      </x:c>
      <x:c r="L1053" s="38" t="str">
        <x:f t="shared" si="98"/>
        <x:v>양현수</x:v>
      </x:c>
      <x:c r="M1053" s="63"/>
      <x:c r="N1053" s="30">
        <x:f>IF(F1053="2","",COUNTIF($F$3:$F1053,"=1"))</x:f>
        <x:v>934</x:v>
      </x:c>
      <x:c r="O1053" s="30">
        <x:f t="shared" si="99"/>
        <x:v>10</x:v>
      </x:c>
      <x:c r="P1053" s="30">
        <x:f t="shared" si="101"/>
        <x:v>0</x:v>
      </x:c>
      <x:c r="Q1053" s="30">
        <x:f>COUNTIF($P$3:P1053,"=3")</x:f>
        <x:v>117</x:v>
      </x:c>
      <x:c r="R1053" s="29">
        <x:f>WORKDAY(기본입력!$H$2,Q1053-1,공휴일)</x:f>
        <x:v>46099</x:v>
      </x:c>
    </x:row>
    <x:row r="1054" spans="1:18">
      <x:c r="A1054" s="144" t="str">
        <x:f t="shared" si="100"/>
        <x:v>20260318</x:v>
      </x:c>
      <x:c r="B1054" s="17" t="s">
        <x:v>5</x:v>
      </x:c>
      <x:c r="C1054" s="17">
        <x:v>1740</x:v>
      </x:c>
      <x:c r="D1054" s="18"/>
      <x:c r="E1054" s="17">
        <x:v>1540</x:v>
      </x:c>
      <x:c r="F1054" s="17" t="s">
        <x:v>40</x:v>
      </x:c>
      <x:c r="G1054" s="19" t="str">
        <x:f>IF(OR(N1054="",N1054&gt;기본입력!$C$34),"",VLOOKUP(O1054,기본입력!$A$9:$F$33,5))</x:f>
        <x:v>양현수_53778</x:v>
      </x:c>
      <x:c r="H1054" s="19" t="str">
        <x:f>IF(OR(N1054="",N1054&gt;기본입력!$C$34),"",기본입력!$C$6)</x:f>
        <x:v>1교육실(실습겸용강의실)_243089</x:v>
      </x:c>
      <x:c r="I1054" s="19" t="str">
        <x:f>IF(OR(O1054="",N1054&gt;기본입력!$C$34),"",VLOOKUP(O1054,기본입력!$A$9:$F$33,6,FALSE))</x:f>
        <x:v>Final 프로젝트__10</x:v>
      </x:c>
      <x:c r="J1054" s="38" t="str">
        <x:f t="shared" si="96"/>
        <x:v>Final 프로젝트</x:v>
      </x:c>
      <x:c r="K1054" s="38" t="str">
        <x:f t="shared" si="97"/>
        <x:v>1교육실(실습겸용강의실)</x:v>
      </x:c>
      <x:c r="L1054" s="38" t="str">
        <x:f t="shared" si="98"/>
        <x:v>양현수</x:v>
      </x:c>
      <x:c r="M1054" s="63"/>
      <x:c r="N1054" s="30">
        <x:f>IF(F1054="2","",COUNTIF($F$3:$F1054,"=1"))</x:f>
        <x:v>935</x:v>
      </x:c>
      <x:c r="O1054" s="30">
        <x:f t="shared" si="99"/>
        <x:v>10</x:v>
      </x:c>
      <x:c r="P1054" s="30">
        <x:f t="shared" si="101"/>
        <x:v>1</x:v>
      </x:c>
      <x:c r="Q1054" s="30">
        <x:f>COUNTIF($P$3:P1054,"=3")</x:f>
        <x:v>117</x:v>
      </x:c>
      <x:c r="R1054" s="29">
        <x:f>WORKDAY(기본입력!$H$2,Q1054-1,공휴일)</x:f>
        <x:v>46099</x:v>
      </x:c>
    </x:row>
    <x:row r="1055" spans="1:18">
      <x:c r="A1055" s="144" t="str">
        <x:f t="shared" si="100"/>
        <x:v>20260318</x:v>
      </x:c>
      <x:c r="B1055" s="17" t="s">
        <x:v>5</x:v>
      </x:c>
      <x:c r="C1055" s="17">
        <x:v>1740</x:v>
      </x:c>
      <x:c r="D1055" s="18"/>
      <x:c r="E1055" s="17">
        <x:v>1640</x:v>
      </x:c>
      <x:c r="F1055" s="17" t="s">
        <x:v>40</x:v>
      </x:c>
      <x:c r="G1055" s="19" t="str">
        <x:f>IF(OR(N1055="",N1055&gt;기본입력!$C$34),"",VLOOKUP(O1055,기본입력!$A$9:$F$33,5))</x:f>
        <x:v>양현수_53778</x:v>
      </x:c>
      <x:c r="H1055" s="19" t="str">
        <x:f>IF(OR(N1055="",N1055&gt;기본입력!$C$34),"",기본입력!$C$6)</x:f>
        <x:v>1교육실(실습겸용강의실)_243089</x:v>
      </x:c>
      <x:c r="I1055" s="19" t="str">
        <x:f>IF(OR(O1055="",N1055&gt;기본입력!$C$34),"",VLOOKUP(O1055,기본입력!$A$9:$F$33,6,FALSE))</x:f>
        <x:v>Final 프로젝트__10</x:v>
      </x:c>
      <x:c r="J1055" s="38" t="str">
        <x:f>IF(F1055="2","",LEFT(I1055,FIND("_",I1055,2)-1))</x:f>
        <x:v>Final 프로젝트</x:v>
      </x:c>
      <x:c r="K1055" s="38" t="str">
        <x:f>IF(F1055="2","",LEFT(H1055,FIND("_",H1055,2)-1))</x:f>
        <x:v>1교육실(실습겸용강의실)</x:v>
      </x:c>
      <x:c r="L1055" s="38" t="str">
        <x:f>IF(F1055="2","",LEFT(G1055,FIND("_",G1055,2)-1))</x:f>
        <x:v>양현수</x:v>
      </x:c>
      <x:c r="M1055" s="63"/>
      <x:c r="N1055" s="30">
        <x:f>IF(F1055="2","",COUNTIF($F$3:$F1055,"=1"))</x:f>
        <x:v>936</x:v>
      </x:c>
      <x:c r="O1055" s="30">
        <x:f>IF(F1055="2","",IF(N1055&lt;=누적시수1,1,IF(N1055&lt;=누적시수2,2,IF(N1055&lt;=누적시수3,3,IF(N1055&lt;=누적시수4,4,IF(N1055&lt;=누적시수5,5,IF(N1055&lt;=누적시수6,6,IF(N1055&lt;=누적시수7,7,IF(N1055&lt;=누적시수8,8,IF(N1055&lt;=누적시수9,9,IF(N1055&lt;=누적시수10,10,IF(N1055&lt;=누적시수11,11,IF(N1055&lt;=누적시수12,12,IF(N1055&lt;=누적시수13,13,IF(N1055&lt;=누적시수14,14,IF(N1055&lt;=누적시수15,15,IF(N1055&lt;=누적시수16,16,IF(N1055&lt;=누적시수17,17,IF(N1055&lt;=누적시수18,18,IF(N1055&lt;=누적시수19,19,IF(N1055&lt;=누적시수20,20,IF(N1055&lt;=누적시수21,21,IF(N1055&lt;=누적시수22,22,IF(N1055&lt;=누적시수23,23,IF(N1055&lt;=누적시수24,24,IF(N1055&lt;=누적시수25,25,0))))))))))))))))))))))))))</x:f>
        <x:v>10</x:v>
      </x:c>
      <x:c r="P1055" s="30">
        <x:f t="shared" si="101"/>
        <x:v>2</x:v>
      </x:c>
      <x:c r="Q1055" s="30">
        <x:f>COUNTIF($P$3:P1055,"=3")</x:f>
        <x:v>117</x:v>
      </x:c>
      <x:c r="R1055" s="29">
        <x:f>WORKDAY(기본입력!$H$2,Q1055-1,공휴일)</x:f>
        <x:v>46099</x:v>
      </x:c>
    </x:row>
    <x:row r="1056" spans="1:18">
      <x:c r="A1056" s="145" t="str">
        <x:f t="shared" si="100"/>
        <x:v>20260319</x:v>
      </x:c>
      <x:c r="B1056" s="20" t="s">
        <x:v>5</x:v>
      </x:c>
      <x:c r="C1056" s="20">
        <x:v>1740</x:v>
      </x:c>
      <x:c r="D1056" s="21" t="s">
        <x:v>1</x:v>
      </x:c>
      <x:c r="E1056" s="20" t="s">
        <x:v>5</x:v>
      </x:c>
      <x:c r="F1056" s="20" t="s">
        <x:v>40</x:v>
      </x:c>
      <x:c r="G1056" s="24" t="str">
        <x:f>IF(OR(N1056="",N1056&gt;기본입력!$C$34),"",VLOOKUP(O1056,기본입력!$A$9:$F$33,5))</x:f>
        <x:v>양현수_53778</x:v>
      </x:c>
      <x:c r="H1056" s="24" t="str">
        <x:f>IF(OR(N1056="",N1056&gt;기본입력!$C$34),"",기본입력!$C$6)</x:f>
        <x:v>1교육실(실습겸용강의실)_243089</x:v>
      </x:c>
      <x:c r="I1056" s="24" t="str">
        <x:f>IF(OR(O1056="",N1056&gt;기본입력!$C$34),"",VLOOKUP(O1056,기본입력!$A$9:$F$33,6,FALSE))</x:f>
        <x:v>Final 프로젝트__10</x:v>
      </x:c>
      <x:c r="J1056" s="38" t="str">
        <x:f t="shared" si="96"/>
        <x:v>Final 프로젝트</x:v>
      </x:c>
      <x:c r="K1056" s="38" t="str">
        <x:f t="shared" si="97"/>
        <x:v>1교육실(실습겸용강의실)</x:v>
      </x:c>
      <x:c r="L1056" s="38" t="str">
        <x:f t="shared" si="98"/>
        <x:v>양현수</x:v>
      </x:c>
      <x:c r="M1056" s="63"/>
      <x:c r="N1056" s="30">
        <x:f>IF(F1056="2","",COUNTIF($F$3:$F1056,"=1"))</x:f>
        <x:v>937</x:v>
      </x:c>
      <x:c r="O1056" s="30">
        <x:f t="shared" si="99"/>
        <x:v>10</x:v>
      </x:c>
      <x:c r="P1056" s="30">
        <x:f t="shared" si="101"/>
        <x:v>3</x:v>
      </x:c>
      <x:c r="Q1056" s="30">
        <x:f>COUNTIF($P$3:P1056,"=3")</x:f>
        <x:v>118</x:v>
      </x:c>
      <x:c r="R1056" s="29">
        <x:f>WORKDAY(기본입력!$H$2,Q1056-1,공휴일)</x:f>
        <x:v>46100</x:v>
      </x:c>
    </x:row>
    <x:row r="1057" spans="1:18">
      <x:c r="A1057" s="145" t="str">
        <x:f t="shared" si="100"/>
        <x:v>20260319</x:v>
      </x:c>
      <x:c r="B1057" s="20" t="s">
        <x:v>5</x:v>
      </x:c>
      <x:c r="C1057" s="20">
        <x:v>1740</x:v>
      </x:c>
      <x:c r="D1057" s="21" t="s">
        <x:v>1</x:v>
      </x:c>
      <x:c r="E1057" s="20" t="s">
        <x:v>117</x:v>
      </x:c>
      <x:c r="F1057" s="20" t="s">
        <x:v>40</x:v>
      </x:c>
      <x:c r="G1057" s="24" t="str">
        <x:f>IF(OR(N1057="",N1057&gt;기본입력!$C$34),"",VLOOKUP(O1057,기본입력!$A$9:$F$33,5))</x:f>
        <x:v>양현수_53778</x:v>
      </x:c>
      <x:c r="H1057" s="24" t="str">
        <x:f>IF(OR(N1057="",N1057&gt;기본입력!$C$34),"",기본입력!$C$6)</x:f>
        <x:v>1교육실(실습겸용강의실)_243089</x:v>
      </x:c>
      <x:c r="I1057" s="24" t="str">
        <x:f>IF(OR(O1057="",N1057&gt;기본입력!$C$34),"",VLOOKUP(O1057,기본입력!$A$9:$F$33,6,FALSE))</x:f>
        <x:v>Final 프로젝트__10</x:v>
      </x:c>
      <x:c r="J1057" s="38" t="str">
        <x:f t="shared" si="96"/>
        <x:v>Final 프로젝트</x:v>
      </x:c>
      <x:c r="K1057" s="38" t="str">
        <x:f t="shared" si="97"/>
        <x:v>1교육실(실습겸용강의실)</x:v>
      </x:c>
      <x:c r="L1057" s="38" t="str">
        <x:f t="shared" si="98"/>
        <x:v>양현수</x:v>
      </x:c>
      <x:c r="M1057" s="63"/>
      <x:c r="N1057" s="30">
        <x:f>IF(F1057="2","",COUNTIF($F$3:$F1057,"=1"))</x:f>
        <x:v>938</x:v>
      </x:c>
      <x:c r="O1057" s="30">
        <x:f t="shared" si="99"/>
        <x:v>10</x:v>
      </x:c>
      <x:c r="P1057" s="30">
        <x:f t="shared" si="101"/>
        <x:v>4</x:v>
      </x:c>
      <x:c r="Q1057" s="30">
        <x:f>COUNTIF($P$3:P1057,"=3")</x:f>
        <x:v>118</x:v>
      </x:c>
      <x:c r="R1057" s="29">
        <x:f>WORKDAY(기본입력!$H$2,Q1057-1,공휴일)</x:f>
        <x:v>46100</x:v>
      </x:c>
    </x:row>
    <x:row r="1058" spans="1:18">
      <x:c r="A1058" s="145" t="str">
        <x:f t="shared" si="100"/>
        <x:v>20260319</x:v>
      </x:c>
      <x:c r="B1058" s="20" t="s">
        <x:v>5</x:v>
      </x:c>
      <x:c r="C1058" s="20">
        <x:v>1740</x:v>
      </x:c>
      <x:c r="D1058" s="21" t="s">
        <x:v>1</x:v>
      </x:c>
      <x:c r="E1058" s="20" t="s">
        <x:v>87</x:v>
      </x:c>
      <x:c r="F1058" s="20" t="s">
        <x:v>40</x:v>
      </x:c>
      <x:c r="G1058" s="24" t="str">
        <x:f>IF(OR(N1058="",N1058&gt;기본입력!$C$34),"",VLOOKUP(O1058,기본입력!$A$9:$F$33,5))</x:f>
        <x:v>양현수_53778</x:v>
      </x:c>
      <x:c r="H1058" s="24" t="str">
        <x:f>IF(OR(N1058="",N1058&gt;기본입력!$C$34),"",기본입력!$C$6)</x:f>
        <x:v>1교육실(실습겸용강의실)_243089</x:v>
      </x:c>
      <x:c r="I1058" s="24" t="str">
        <x:f>IF(OR(O1058="",N1058&gt;기본입력!$C$34),"",VLOOKUP(O1058,기본입력!$A$9:$F$33,6,FALSE))</x:f>
        <x:v>Final 프로젝트__10</x:v>
      </x:c>
      <x:c r="J1058" s="38" t="str">
        <x:f t="shared" si="96"/>
        <x:v>Final 프로젝트</x:v>
      </x:c>
      <x:c r="K1058" s="38" t="str">
        <x:f t="shared" si="97"/>
        <x:v>1교육실(실습겸용강의실)</x:v>
      </x:c>
      <x:c r="L1058" s="38" t="str">
        <x:f t="shared" si="98"/>
        <x:v>양현수</x:v>
      </x:c>
      <x:c r="M1058" s="63"/>
      <x:c r="N1058" s="30">
        <x:f>IF(F1058="2","",COUNTIF($F$3:$F1058,"=1"))</x:f>
        <x:v>939</x:v>
      </x:c>
      <x:c r="O1058" s="30">
        <x:f t="shared" si="99"/>
        <x:v>10</x:v>
      </x:c>
      <x:c r="P1058" s="30">
        <x:f t="shared" si="101"/>
        <x:v>5</x:v>
      </x:c>
      <x:c r="Q1058" s="30">
        <x:f>COUNTIF($P$3:P1058,"=3")</x:f>
        <x:v>118</x:v>
      </x:c>
      <x:c r="R1058" s="29">
        <x:f>WORKDAY(기본입력!$H$2,Q1058-1,공휴일)</x:f>
        <x:v>46100</x:v>
      </x:c>
    </x:row>
    <x:row r="1059" spans="1:18">
      <x:c r="A1059" s="145" t="str">
        <x:f t="shared" si="100"/>
        <x:v>20260319</x:v>
      </x:c>
      <x:c r="B1059" s="20" t="s">
        <x:v>5</x:v>
      </x:c>
      <x:c r="C1059" s="20">
        <x:v>1740</x:v>
      </x:c>
      <x:c r="D1059" s="21" t="s">
        <x:v>1</x:v>
      </x:c>
      <x:c r="E1059" s="20" t="s">
        <x:v>88</x:v>
      </x:c>
      <x:c r="F1059" s="20" t="s">
        <x:v>40</x:v>
      </x:c>
      <x:c r="G1059" s="24" t="str">
        <x:f>IF(OR(N1059="",N1059&gt;기본입력!$C$34),"",VLOOKUP(O1059,기본입력!$A$9:$F$33,5))</x:f>
        <x:v>양현수_53778</x:v>
      </x:c>
      <x:c r="H1059" s="24" t="str">
        <x:f>IF(OR(N1059="",N1059&gt;기본입력!$C$34),"",기본입력!$C$6)</x:f>
        <x:v>1교육실(실습겸용강의실)_243089</x:v>
      </x:c>
      <x:c r="I1059" s="24" t="str">
        <x:f>IF(OR(O1059="",N1059&gt;기본입력!$C$34),"",VLOOKUP(O1059,기본입력!$A$9:$F$33,6,FALSE))</x:f>
        <x:v>Final 프로젝트__10</x:v>
      </x:c>
      <x:c r="J1059" s="38" t="str">
        <x:f t="shared" si="96"/>
        <x:v>Final 프로젝트</x:v>
      </x:c>
      <x:c r="K1059" s="38" t="str">
        <x:f t="shared" si="97"/>
        <x:v>1교육실(실습겸용강의실)</x:v>
      </x:c>
      <x:c r="L1059" s="38" t="str">
        <x:f t="shared" si="98"/>
        <x:v>양현수</x:v>
      </x:c>
      <x:c r="M1059" s="63"/>
      <x:c r="N1059" s="30">
        <x:f>IF(F1059="2","",COUNTIF($F$3:$F1059,"=1"))</x:f>
        <x:v>940</x:v>
      </x:c>
      <x:c r="O1059" s="30">
        <x:f t="shared" si="99"/>
        <x:v>10</x:v>
      </x:c>
      <x:c r="P1059" s="30">
        <x:f t="shared" si="101"/>
        <x:v>6</x:v>
      </x:c>
      <x:c r="Q1059" s="30">
        <x:f>COUNTIF($P$3:P1059,"=3")</x:f>
        <x:v>118</x:v>
      </x:c>
      <x:c r="R1059" s="29">
        <x:f>WORKDAY(기본입력!$H$2,Q1059-1,공휴일)</x:f>
        <x:v>46100</x:v>
      </x:c>
    </x:row>
    <x:row r="1060" spans="1:18">
      <x:c r="A1060" s="145" t="str">
        <x:f t="shared" si="100"/>
        <x:v>20260319</x:v>
      </x:c>
      <x:c r="B1060" s="20" t="s">
        <x:v>5</x:v>
      </x:c>
      <x:c r="C1060" s="20">
        <x:v>1740</x:v>
      </x:c>
      <x:c r="D1060" s="21" t="s">
        <x:v>1</x:v>
      </x:c>
      <x:c r="E1060" s="20" t="s">
        <x:v>0</x:v>
      </x:c>
      <x:c r="F1060" s="20" t="s">
        <x:v>41</x:v>
      </x:c>
      <x:c r="G1060" s="24" t="str">
        <x:f>IF(OR(N1060="",N1060&gt;기본입력!$C$34),"",VLOOKUP(O1060,기본입력!$A$9:$F$33,5))</x:f>
        <x:v/>
      </x:c>
      <x:c r="H1060" s="24" t="str">
        <x:f>IF(OR(N1060="",N1060&gt;기본입력!$C$34),"",기본입력!$C$6)</x:f>
        <x:v/>
      </x:c>
      <x:c r="I1060" s="24" t="str">
        <x:f>IF(OR(O1060="",N1060&gt;기본입력!$C$34),"",VLOOKUP(O1060,기본입력!$A$9:$F$33,6,FALSE))</x:f>
        <x:v/>
      </x:c>
      <x:c r="J1060" s="38" t="str">
        <x:f t="shared" si="96"/>
        <x:v/>
      </x:c>
      <x:c r="K1060" s="38" t="str">
        <x:f t="shared" si="97"/>
        <x:v/>
      </x:c>
      <x:c r="L1060" s="38" t="str">
        <x:f t="shared" si="98"/>
        <x:v/>
      </x:c>
      <x:c r="M1060" s="63"/>
      <x:c r="N1060" s="30" t="str">
        <x:f>IF(F1060="2","",COUNTIF($F$3:$F1060,"=1"))</x:f>
        <x:v/>
      </x:c>
      <x:c r="O1060" s="30" t="str">
        <x:f t="shared" si="99"/>
        <x:v/>
      </x:c>
      <x:c r="P1060" s="30">
        <x:f t="shared" si="101"/>
        <x:v>7</x:v>
      </x:c>
      <x:c r="Q1060" s="30">
        <x:f>COUNTIF($P$3:P1060,"=3")</x:f>
        <x:v>118</x:v>
      </x:c>
      <x:c r="R1060" s="29">
        <x:f>WORKDAY(기본입력!$H$2,Q1060-1,공휴일)</x:f>
        <x:v>46100</x:v>
      </x:c>
    </x:row>
    <x:row r="1061" spans="1:18">
      <x:c r="A1061" s="145" t="str">
        <x:f t="shared" si="100"/>
        <x:v>20260319</x:v>
      </x:c>
      <x:c r="B1061" s="20" t="s">
        <x:v>5</x:v>
      </x:c>
      <x:c r="C1061" s="20">
        <x:v>1740</x:v>
      </x:c>
      <x:c r="D1061" s="21" t="s">
        <x:v>1</x:v>
      </x:c>
      <x:c r="E1061" s="20">
        <x:v>1340</x:v>
      </x:c>
      <x:c r="F1061" s="20" t="s">
        <x:v>40</x:v>
      </x:c>
      <x:c r="G1061" s="24" t="str">
        <x:f>IF(OR(N1061="",N1061&gt;기본입력!$C$34),"",VLOOKUP(O1061,기본입력!$A$9:$F$33,5))</x:f>
        <x:v>양현수_53778</x:v>
      </x:c>
      <x:c r="H1061" s="24" t="str">
        <x:f>IF(OR(N1061="",N1061&gt;기본입력!$C$34),"",기본입력!$C$6)</x:f>
        <x:v>1교육실(실습겸용강의실)_243089</x:v>
      </x:c>
      <x:c r="I1061" s="24" t="str">
        <x:f>IF(OR(O1061="",N1061&gt;기본입력!$C$34),"",VLOOKUP(O1061,기본입력!$A$9:$F$33,6,FALSE))</x:f>
        <x:v>Final 프로젝트__10</x:v>
      </x:c>
      <x:c r="J1061" s="38" t="str">
        <x:f t="shared" si="96"/>
        <x:v>Final 프로젝트</x:v>
      </x:c>
      <x:c r="K1061" s="38" t="str">
        <x:f t="shared" si="97"/>
        <x:v>1교육실(실습겸용강의실)</x:v>
      </x:c>
      <x:c r="L1061" s="38" t="str">
        <x:f t="shared" si="98"/>
        <x:v>양현수</x:v>
      </x:c>
      <x:c r="M1061" s="63"/>
      <x:c r="N1061" s="30">
        <x:f>IF(F1061="2","",COUNTIF($F$3:$F1061,"=1"))</x:f>
        <x:v>941</x:v>
      </x:c>
      <x:c r="O1061" s="30">
        <x:f t="shared" si="99"/>
        <x:v>10</x:v>
      </x:c>
      <x:c r="P1061" s="30">
        <x:f t="shared" si="101"/>
        <x:v>8</x:v>
      </x:c>
      <x:c r="Q1061" s="30">
        <x:f>COUNTIF($P$3:P1061,"=3")</x:f>
        <x:v>118</x:v>
      </x:c>
      <x:c r="R1061" s="29">
        <x:f>WORKDAY(기본입력!$H$2,Q1061-1,공휴일)</x:f>
        <x:v>46100</x:v>
      </x:c>
    </x:row>
    <x:row r="1062" spans="1:18">
      <x:c r="A1062" s="145" t="str">
        <x:f t="shared" si="100"/>
        <x:v>20260319</x:v>
      </x:c>
      <x:c r="B1062" s="20" t="s">
        <x:v>5</x:v>
      </x:c>
      <x:c r="C1062" s="20">
        <x:v>1740</x:v>
      </x:c>
      <x:c r="D1062" s="21" t="s">
        <x:v>1</x:v>
      </x:c>
      <x:c r="E1062" s="20">
        <x:v>1440</x:v>
      </x:c>
      <x:c r="F1062" s="20" t="s">
        <x:v>40</x:v>
      </x:c>
      <x:c r="G1062" s="24" t="str">
        <x:f>IF(OR(N1062="",N1062&gt;기본입력!$C$34),"",VLOOKUP(O1062,기본입력!$A$9:$F$33,5))</x:f>
        <x:v>양현수_53778</x:v>
      </x:c>
      <x:c r="H1062" s="24" t="str">
        <x:f>IF(OR(N1062="",N1062&gt;기본입력!$C$34),"",기본입력!$C$6)</x:f>
        <x:v>1교육실(실습겸용강의실)_243089</x:v>
      </x:c>
      <x:c r="I1062" s="24" t="str">
        <x:f>IF(OR(O1062="",N1062&gt;기본입력!$C$34),"",VLOOKUP(O1062,기본입력!$A$9:$F$33,6,FALSE))</x:f>
        <x:v>Final 프로젝트__10</x:v>
      </x:c>
      <x:c r="J1062" s="38" t="str">
        <x:f t="shared" si="96"/>
        <x:v>Final 프로젝트</x:v>
      </x:c>
      <x:c r="K1062" s="38" t="str">
        <x:f t="shared" si="97"/>
        <x:v>1교육실(실습겸용강의실)</x:v>
      </x:c>
      <x:c r="L1062" s="38" t="str">
        <x:f t="shared" si="98"/>
        <x:v>양현수</x:v>
      </x:c>
      <x:c r="M1062" s="63"/>
      <x:c r="N1062" s="30">
        <x:f>IF(F1062="2","",COUNTIF($F$3:$F1062,"=1"))</x:f>
        <x:v>942</x:v>
      </x:c>
      <x:c r="O1062" s="30">
        <x:f t="shared" si="99"/>
        <x:v>10</x:v>
      </x:c>
      <x:c r="P1062" s="30">
        <x:f t="shared" si="101"/>
        <x:v>0</x:v>
      </x:c>
      <x:c r="Q1062" s="30">
        <x:f>COUNTIF($P$3:P1062,"=3")</x:f>
        <x:v>118</x:v>
      </x:c>
      <x:c r="R1062" s="29">
        <x:f>WORKDAY(기본입력!$H$2,Q1062-1,공휴일)</x:f>
        <x:v>46100</x:v>
      </x:c>
    </x:row>
    <x:row r="1063" spans="1:18">
      <x:c r="A1063" s="145" t="str">
        <x:f t="shared" si="100"/>
        <x:v>20260319</x:v>
      </x:c>
      <x:c r="B1063" s="20" t="s">
        <x:v>5</x:v>
      </x:c>
      <x:c r="C1063" s="20">
        <x:v>1740</x:v>
      </x:c>
      <x:c r="D1063" s="21" t="s">
        <x:v>1</x:v>
      </x:c>
      <x:c r="E1063" s="20">
        <x:v>1540</x:v>
      </x:c>
      <x:c r="F1063" s="20" t="s">
        <x:v>40</x:v>
      </x:c>
      <x:c r="G1063" s="24" t="str">
        <x:f>IF(OR(N1063="",N1063&gt;기본입력!$C$34),"",VLOOKUP(O1063,기본입력!$A$9:$F$33,5))</x:f>
        <x:v>양현수_53778</x:v>
      </x:c>
      <x:c r="H1063" s="24" t="str">
        <x:f>IF(OR(N1063="",N1063&gt;기본입력!$C$34),"",기본입력!$C$6)</x:f>
        <x:v>1교육실(실습겸용강의실)_243089</x:v>
      </x:c>
      <x:c r="I1063" s="24" t="str">
        <x:f>IF(OR(O1063="",N1063&gt;기본입력!$C$34),"",VLOOKUP(O1063,기본입력!$A$9:$F$33,6,FALSE))</x:f>
        <x:v>Final 프로젝트__10</x:v>
      </x:c>
      <x:c r="J1063" s="38" t="str">
        <x:f t="shared" si="96"/>
        <x:v>Final 프로젝트</x:v>
      </x:c>
      <x:c r="K1063" s="38" t="str">
        <x:f t="shared" si="97"/>
        <x:v>1교육실(실습겸용강의실)</x:v>
      </x:c>
      <x:c r="L1063" s="38" t="str">
        <x:f t="shared" si="98"/>
        <x:v>양현수</x:v>
      </x:c>
      <x:c r="M1063" s="63"/>
      <x:c r="N1063" s="30">
        <x:f>IF(F1063="2","",COUNTIF($F$3:$F1063,"=1"))</x:f>
        <x:v>943</x:v>
      </x:c>
      <x:c r="O1063" s="30">
        <x:f t="shared" si="99"/>
        <x:v>10</x:v>
      </x:c>
      <x:c r="P1063" s="30">
        <x:f t="shared" si="101"/>
        <x:v>1</x:v>
      </x:c>
      <x:c r="Q1063" s="30">
        <x:f>COUNTIF($P$3:P1063,"=3")</x:f>
        <x:v>118</x:v>
      </x:c>
      <x:c r="R1063" s="29">
        <x:f>WORKDAY(기본입력!$H$2,Q1063-1,공휴일)</x:f>
        <x:v>46100</x:v>
      </x:c>
    </x:row>
    <x:row r="1064" spans="1:18">
      <x:c r="A1064" s="145" t="str">
        <x:f t="shared" si="100"/>
        <x:v>20260319</x:v>
      </x:c>
      <x:c r="B1064" s="20" t="s">
        <x:v>5</x:v>
      </x:c>
      <x:c r="C1064" s="20">
        <x:v>1740</x:v>
      </x:c>
      <x:c r="D1064" s="21" t="s">
        <x:v>1</x:v>
      </x:c>
      <x:c r="E1064" s="20">
        <x:v>1640</x:v>
      </x:c>
      <x:c r="F1064" s="20" t="s">
        <x:v>40</x:v>
      </x:c>
      <x:c r="G1064" s="24" t="str">
        <x:f>IF(OR(N1064="",N1064&gt;기본입력!$C$34),"",VLOOKUP(O1064,기본입력!$A$9:$F$33,5))</x:f>
        <x:v>양현수_53778</x:v>
      </x:c>
      <x:c r="H1064" s="24" t="str">
        <x:f>IF(OR(N1064="",N1064&gt;기본입력!$C$34),"",기본입력!$C$6)</x:f>
        <x:v>1교육실(실습겸용강의실)_243089</x:v>
      </x:c>
      <x:c r="I1064" s="24" t="str">
        <x:f>IF(OR(O1064="",N1064&gt;기본입력!$C$34),"",VLOOKUP(O1064,기본입력!$A$9:$F$33,6,FALSE))</x:f>
        <x:v>Final 프로젝트__10</x:v>
      </x:c>
      <x:c r="J1064" s="38" t="str">
        <x:f t="shared" si="96"/>
        <x:v>Final 프로젝트</x:v>
      </x:c>
      <x:c r="K1064" s="38" t="str">
        <x:f t="shared" si="97"/>
        <x:v>1교육실(실습겸용강의실)</x:v>
      </x:c>
      <x:c r="L1064" s="38" t="str">
        <x:f t="shared" si="98"/>
        <x:v>양현수</x:v>
      </x:c>
      <x:c r="M1064" s="63"/>
      <x:c r="N1064" s="30">
        <x:f>IF(F1064="2","",COUNTIF($F$3:$F1064,"=1"))</x:f>
        <x:v>944</x:v>
      </x:c>
      <x:c r="O1064" s="30">
        <x:f t="shared" si="99"/>
        <x:v>10</x:v>
      </x:c>
      <x:c r="P1064" s="30">
        <x:f t="shared" si="101"/>
        <x:v>2</x:v>
      </x:c>
      <x:c r="Q1064" s="30">
        <x:f>COUNTIF($P$3:P1064,"=3")</x:f>
        <x:v>118</x:v>
      </x:c>
      <x:c r="R1064" s="29">
        <x:f>WORKDAY(기본입력!$H$2,Q1064-1,공휴일)</x:f>
        <x:v>46100</x:v>
      </x:c>
    </x:row>
    <x:row r="1065" spans="1:18">
      <x:c r="A1065" s="144" t="str">
        <x:f t="shared" si="100"/>
        <x:v>20260320</x:v>
      </x:c>
      <x:c r="B1065" s="17" t="s">
        <x:v>5</x:v>
      </x:c>
      <x:c r="C1065" s="17">
        <x:v>1740</x:v>
      </x:c>
      <x:c r="D1065" s="18" t="s">
        <x:v>1</x:v>
      </x:c>
      <x:c r="E1065" s="17" t="s">
        <x:v>5</x:v>
      </x:c>
      <x:c r="F1065" s="17" t="s">
        <x:v>40</x:v>
      </x:c>
      <x:c r="G1065" s="25" t="str">
        <x:f>IF(OR(N1065="",N1065&gt;기본입력!$C$34),"",VLOOKUP(O1065,기본입력!$A$9:$F$33,5))</x:f>
        <x:v>양현수_53778</x:v>
      </x:c>
      <x:c r="H1065" s="25" t="str">
        <x:f>IF(OR(N1065="",N1065&gt;기본입력!$C$34),"",기본입력!$C$6)</x:f>
        <x:v>1교육실(실습겸용강의실)_243089</x:v>
      </x:c>
      <x:c r="I1065" s="25" t="str">
        <x:f>IF(OR(O1065="",N1065&gt;기본입력!$C$34),"",VLOOKUP(O1065,기본입력!$A$9:$F$33,6,FALSE))</x:f>
        <x:v>Final 프로젝트__10</x:v>
      </x:c>
      <x:c r="J1065" s="38" t="str">
        <x:f t="shared" si="96"/>
        <x:v>Final 프로젝트</x:v>
      </x:c>
      <x:c r="K1065" s="38" t="str">
        <x:f t="shared" si="97"/>
        <x:v>1교육실(실습겸용강의실)</x:v>
      </x:c>
      <x:c r="L1065" s="38" t="str">
        <x:f t="shared" si="98"/>
        <x:v>양현수</x:v>
      </x:c>
      <x:c r="M1065" s="63"/>
      <x:c r="N1065" s="30">
        <x:f>IF(F1065="2","",COUNTIF($F$3:$F1065,"=1"))</x:f>
        <x:v>945</x:v>
      </x:c>
      <x:c r="O1065" s="30">
        <x:f t="shared" si="99"/>
        <x:v>10</x:v>
      </x:c>
      <x:c r="P1065" s="30">
        <x:f t="shared" si="101"/>
        <x:v>3</x:v>
      </x:c>
      <x:c r="Q1065" s="30">
        <x:f>COUNTIF($P$3:P1065,"=3")</x:f>
        <x:v>119</x:v>
      </x:c>
      <x:c r="R1065" s="29">
        <x:f>WORKDAY(기본입력!$H$2,Q1065-1,공휴일)</x:f>
        <x:v>46101</x:v>
      </x:c>
    </x:row>
    <x:row r="1066" spans="1:18">
      <x:c r="A1066" s="144" t="str">
        <x:f t="shared" si="100"/>
        <x:v>20260320</x:v>
      </x:c>
      <x:c r="B1066" s="17" t="s">
        <x:v>5</x:v>
      </x:c>
      <x:c r="C1066" s="17">
        <x:v>1740</x:v>
      </x:c>
      <x:c r="D1066" s="18" t="s">
        <x:v>1</x:v>
      </x:c>
      <x:c r="E1066" s="17" t="s">
        <x:v>117</x:v>
      </x:c>
      <x:c r="F1066" s="17" t="s">
        <x:v>40</x:v>
      </x:c>
      <x:c r="G1066" s="25" t="str">
        <x:f>IF(OR(N1066="",N1066&gt;기본입력!$C$34),"",VLOOKUP(O1066,기본입력!$A$9:$F$33,5))</x:f>
        <x:v>양현수_53778</x:v>
      </x:c>
      <x:c r="H1066" s="25" t="str">
        <x:f>IF(OR(N1066="",N1066&gt;기본입력!$C$34),"",기본입력!$C$6)</x:f>
        <x:v>1교육실(실습겸용강의실)_243089</x:v>
      </x:c>
      <x:c r="I1066" s="25" t="str">
        <x:f>IF(OR(O1066="",N1066&gt;기본입력!$C$34),"",VLOOKUP(O1066,기본입력!$A$9:$F$33,6,FALSE))</x:f>
        <x:v>Final 프로젝트__10</x:v>
      </x:c>
      <x:c r="J1066" s="38" t="str">
        <x:f t="shared" si="96"/>
        <x:v>Final 프로젝트</x:v>
      </x:c>
      <x:c r="K1066" s="38" t="str">
        <x:f t="shared" si="97"/>
        <x:v>1교육실(실습겸용강의실)</x:v>
      </x:c>
      <x:c r="L1066" s="38" t="str">
        <x:f t="shared" si="98"/>
        <x:v>양현수</x:v>
      </x:c>
      <x:c r="M1066" s="63"/>
      <x:c r="N1066" s="30">
        <x:f>IF(F1066="2","",COUNTIF($F$3:$F1066,"=1"))</x:f>
        <x:v>946</x:v>
      </x:c>
      <x:c r="O1066" s="30">
        <x:f t="shared" si="99"/>
        <x:v>10</x:v>
      </x:c>
      <x:c r="P1066" s="30">
        <x:f t="shared" si="101"/>
        <x:v>4</x:v>
      </x:c>
      <x:c r="Q1066" s="30">
        <x:f>COUNTIF($P$3:P1066,"=3")</x:f>
        <x:v>119</x:v>
      </x:c>
      <x:c r="R1066" s="29">
        <x:f>WORKDAY(기본입력!$H$2,Q1066-1,공휴일)</x:f>
        <x:v>46101</x:v>
      </x:c>
    </x:row>
    <x:row r="1067" spans="1:18">
      <x:c r="A1067" s="144" t="str">
        <x:f t="shared" si="100"/>
        <x:v>20260320</x:v>
      </x:c>
      <x:c r="B1067" s="17" t="s">
        <x:v>5</x:v>
      </x:c>
      <x:c r="C1067" s="17">
        <x:v>1740</x:v>
      </x:c>
      <x:c r="D1067" s="18" t="s">
        <x:v>1</x:v>
      </x:c>
      <x:c r="E1067" s="17" t="s">
        <x:v>87</x:v>
      </x:c>
      <x:c r="F1067" s="17" t="s">
        <x:v>40</x:v>
      </x:c>
      <x:c r="G1067" s="25" t="str">
        <x:f>IF(OR(N1067="",N1067&gt;기본입력!$C$34),"",VLOOKUP(O1067,기본입력!$A$9:$F$33,5))</x:f>
        <x:v>양현수_53778</x:v>
      </x:c>
      <x:c r="H1067" s="25" t="str">
        <x:f>IF(OR(N1067="",N1067&gt;기본입력!$C$34),"",기본입력!$C$6)</x:f>
        <x:v>1교육실(실습겸용강의실)_243089</x:v>
      </x:c>
      <x:c r="I1067" s="25" t="str">
        <x:f>IF(OR(O1067="",N1067&gt;기본입력!$C$34),"",VLOOKUP(O1067,기본입력!$A$9:$F$33,6,FALSE))</x:f>
        <x:v>Final 프로젝트__10</x:v>
      </x:c>
      <x:c r="J1067" s="38" t="str">
        <x:f t="shared" si="96"/>
        <x:v>Final 프로젝트</x:v>
      </x:c>
      <x:c r="K1067" s="38" t="str">
        <x:f t="shared" si="97"/>
        <x:v>1교육실(실습겸용강의실)</x:v>
      </x:c>
      <x:c r="L1067" s="38" t="str">
        <x:f t="shared" si="98"/>
        <x:v>양현수</x:v>
      </x:c>
      <x:c r="M1067" s="63"/>
      <x:c r="N1067" s="30">
        <x:f>IF(F1067="2","",COUNTIF($F$3:$F1067,"=1"))</x:f>
        <x:v>947</x:v>
      </x:c>
      <x:c r="O1067" s="30">
        <x:f t="shared" si="99"/>
        <x:v>10</x:v>
      </x:c>
      <x:c r="P1067" s="30">
        <x:f t="shared" si="101"/>
        <x:v>5</x:v>
      </x:c>
      <x:c r="Q1067" s="30">
        <x:f>COUNTIF($P$3:P1067,"=3")</x:f>
        <x:v>119</x:v>
      </x:c>
      <x:c r="R1067" s="29">
        <x:f>WORKDAY(기본입력!$H$2,Q1067-1,공휴일)</x:f>
        <x:v>46101</x:v>
      </x:c>
    </x:row>
    <x:row r="1068" spans="1:18">
      <x:c r="A1068" s="144" t="str">
        <x:f t="shared" si="100"/>
        <x:v>20260320</x:v>
      </x:c>
      <x:c r="B1068" s="17" t="s">
        <x:v>5</x:v>
      </x:c>
      <x:c r="C1068" s="17">
        <x:v>1740</x:v>
      </x:c>
      <x:c r="D1068" s="18" t="s">
        <x:v>1</x:v>
      </x:c>
      <x:c r="E1068" s="17" t="s">
        <x:v>88</x:v>
      </x:c>
      <x:c r="F1068" s="17" t="s">
        <x:v>40</x:v>
      </x:c>
      <x:c r="G1068" s="25" t="str">
        <x:f>IF(OR(N1068="",N1068&gt;기본입력!$C$34),"",VLOOKUP(O1068,기본입력!$A$9:$F$33,5))</x:f>
        <x:v>양현수_53778</x:v>
      </x:c>
      <x:c r="H1068" s="25" t="str">
        <x:f>IF(OR(N1068="",N1068&gt;기본입력!$C$34),"",기본입력!$C$6)</x:f>
        <x:v>1교육실(실습겸용강의실)_243089</x:v>
      </x:c>
      <x:c r="I1068" s="25" t="str">
        <x:f>IF(OR(O1068="",N1068&gt;기본입력!$C$34),"",VLOOKUP(O1068,기본입력!$A$9:$F$33,6,FALSE))</x:f>
        <x:v>Final 프로젝트__10</x:v>
      </x:c>
      <x:c r="J1068" s="38" t="str">
        <x:f t="shared" si="96"/>
        <x:v>Final 프로젝트</x:v>
      </x:c>
      <x:c r="K1068" s="38" t="str">
        <x:f t="shared" si="97"/>
        <x:v>1교육실(실습겸용강의실)</x:v>
      </x:c>
      <x:c r="L1068" s="38" t="str">
        <x:f t="shared" si="98"/>
        <x:v>양현수</x:v>
      </x:c>
      <x:c r="M1068" s="63"/>
      <x:c r="N1068" s="30">
        <x:f>IF(F1068="2","",COUNTIF($F$3:$F1068,"=1"))</x:f>
        <x:v>948</x:v>
      </x:c>
      <x:c r="O1068" s="30">
        <x:f t="shared" si="99"/>
        <x:v>10</x:v>
      </x:c>
      <x:c r="P1068" s="30">
        <x:f t="shared" si="101"/>
        <x:v>6</x:v>
      </x:c>
      <x:c r="Q1068" s="30">
        <x:f>COUNTIF($P$3:P1068,"=3")</x:f>
        <x:v>119</x:v>
      </x:c>
      <x:c r="R1068" s="29">
        <x:f>WORKDAY(기본입력!$H$2,Q1068-1,공휴일)</x:f>
        <x:v>46101</x:v>
      </x:c>
    </x:row>
    <x:row r="1069" spans="1:18">
      <x:c r="A1069" s="144" t="str">
        <x:f t="shared" si="100"/>
        <x:v>20260320</x:v>
      </x:c>
      <x:c r="B1069" s="17" t="s">
        <x:v>5</x:v>
      </x:c>
      <x:c r="C1069" s="17">
        <x:v>1740</x:v>
      </x:c>
      <x:c r="D1069" s="18" t="s">
        <x:v>1</x:v>
      </x:c>
      <x:c r="E1069" s="17" t="s">
        <x:v>0</x:v>
      </x:c>
      <x:c r="F1069" s="17" t="s">
        <x:v>41</x:v>
      </x:c>
      <x:c r="G1069" s="25" t="str">
        <x:f>IF(OR(N1069="",N1069&gt;기본입력!$C$34),"",VLOOKUP(O1069,기본입력!$A$9:$F$33,5))</x:f>
        <x:v/>
      </x:c>
      <x:c r="H1069" s="25" t="str">
        <x:f>IF(OR(N1069="",N1069&gt;기본입력!$C$34),"",기본입력!$C$6)</x:f>
        <x:v/>
      </x:c>
      <x:c r="I1069" s="25" t="str">
        <x:f>IF(OR(O1069="",N1069&gt;기본입력!$C$34),"",VLOOKUP(O1069,기본입력!$A$9:$F$33,6,FALSE))</x:f>
        <x:v/>
      </x:c>
      <x:c r="J1069" s="38" t="str">
        <x:f t="shared" si="96"/>
        <x:v/>
      </x:c>
      <x:c r="K1069" s="38" t="str">
        <x:f t="shared" si="97"/>
        <x:v/>
      </x:c>
      <x:c r="L1069" s="38" t="str">
        <x:f t="shared" si="98"/>
        <x:v/>
      </x:c>
      <x:c r="M1069" s="63"/>
      <x:c r="N1069" s="30" t="str">
        <x:f>IF(F1069="2","",COUNTIF($F$3:$F1069,"=1"))</x:f>
        <x:v/>
      </x:c>
      <x:c r="O1069" s="30" t="str">
        <x:f t="shared" si="99"/>
        <x:v/>
      </x:c>
      <x:c r="P1069" s="30">
        <x:f t="shared" si="101"/>
        <x:v>7</x:v>
      </x:c>
      <x:c r="Q1069" s="30">
        <x:f>COUNTIF($P$3:P1069,"=3")</x:f>
        <x:v>119</x:v>
      </x:c>
      <x:c r="R1069" s="29">
        <x:f>WORKDAY(기본입력!$H$2,Q1069-1,공휴일)</x:f>
        <x:v>46101</x:v>
      </x:c>
    </x:row>
    <x:row r="1070" spans="1:18">
      <x:c r="A1070" s="144" t="str">
        <x:f t="shared" si="100"/>
        <x:v>20260320</x:v>
      </x:c>
      <x:c r="B1070" s="17" t="s">
        <x:v>5</x:v>
      </x:c>
      <x:c r="C1070" s="17">
        <x:v>1740</x:v>
      </x:c>
      <x:c r="D1070" s="18" t="s">
        <x:v>1</x:v>
      </x:c>
      <x:c r="E1070" s="17">
        <x:v>1340</x:v>
      </x:c>
      <x:c r="F1070" s="17" t="s">
        <x:v>40</x:v>
      </x:c>
      <x:c r="G1070" s="25" t="str">
        <x:f>IF(OR(N1070="",N1070&gt;기본입력!$C$34),"",VLOOKUP(O1070,기본입력!$A$9:$F$33,5))</x:f>
        <x:v>양현수_53778</x:v>
      </x:c>
      <x:c r="H1070" s="25" t="str">
        <x:f>IF(OR(N1070="",N1070&gt;기본입력!$C$34),"",기본입력!$C$6)</x:f>
        <x:v>1교육실(실습겸용강의실)_243089</x:v>
      </x:c>
      <x:c r="I1070" s="25" t="str">
        <x:f>IF(OR(O1070="",N1070&gt;기본입력!$C$34),"",VLOOKUP(O1070,기본입력!$A$9:$F$33,6,FALSE))</x:f>
        <x:v>Final 프로젝트__10</x:v>
      </x:c>
      <x:c r="J1070" s="38" t="str">
        <x:f t="shared" si="96"/>
        <x:v>Final 프로젝트</x:v>
      </x:c>
      <x:c r="K1070" s="38" t="str">
        <x:f t="shared" si="97"/>
        <x:v>1교육실(실습겸용강의실)</x:v>
      </x:c>
      <x:c r="L1070" s="38" t="str">
        <x:f t="shared" si="98"/>
        <x:v>양현수</x:v>
      </x:c>
      <x:c r="M1070" s="63"/>
      <x:c r="N1070" s="30">
        <x:f>IF(F1070="2","",COUNTIF($F$3:$F1070,"=1"))</x:f>
        <x:v>949</x:v>
      </x:c>
      <x:c r="O1070" s="30">
        <x:f t="shared" si="99"/>
        <x:v>10</x:v>
      </x:c>
      <x:c r="P1070" s="30">
        <x:f t="shared" si="101"/>
        <x:v>8</x:v>
      </x:c>
      <x:c r="Q1070" s="30">
        <x:f>COUNTIF($P$3:P1070,"=3")</x:f>
        <x:v>119</x:v>
      </x:c>
      <x:c r="R1070" s="29">
        <x:f>WORKDAY(기본입력!$H$2,Q1070-1,공휴일)</x:f>
        <x:v>46101</x:v>
      </x:c>
    </x:row>
    <x:row r="1071" spans="1:18">
      <x:c r="A1071" s="144" t="str">
        <x:f t="shared" si="100"/>
        <x:v>20260320</x:v>
      </x:c>
      <x:c r="B1071" s="17" t="s">
        <x:v>5</x:v>
      </x:c>
      <x:c r="C1071" s="17">
        <x:v>1740</x:v>
      </x:c>
      <x:c r="D1071" s="18" t="s">
        <x:v>1</x:v>
      </x:c>
      <x:c r="E1071" s="17">
        <x:v>1440</x:v>
      </x:c>
      <x:c r="F1071" s="17" t="s">
        <x:v>40</x:v>
      </x:c>
      <x:c r="G1071" s="25" t="str">
        <x:f>IF(OR(N1071="",N1071&gt;기본입력!$C$34),"",VLOOKUP(O1071,기본입력!$A$9:$F$33,5))</x:f>
        <x:v>양현수_53778</x:v>
      </x:c>
      <x:c r="H1071" s="25" t="str">
        <x:f>IF(OR(N1071="",N1071&gt;기본입력!$C$34),"",기본입력!$C$6)</x:f>
        <x:v>1교육실(실습겸용강의실)_243089</x:v>
      </x:c>
      <x:c r="I1071" s="25" t="str">
        <x:f>IF(OR(O1071="",N1071&gt;기본입력!$C$34),"",VLOOKUP(O1071,기본입력!$A$9:$F$33,6,FALSE))</x:f>
        <x:v>Final 프로젝트__10</x:v>
      </x:c>
      <x:c r="J1071" s="38" t="str">
        <x:f t="shared" si="96"/>
        <x:v>Final 프로젝트</x:v>
      </x:c>
      <x:c r="K1071" s="38" t="str">
        <x:f t="shared" si="97"/>
        <x:v>1교육실(실습겸용강의실)</x:v>
      </x:c>
      <x:c r="L1071" s="38" t="str">
        <x:f t="shared" si="98"/>
        <x:v>양현수</x:v>
      </x:c>
      <x:c r="M1071" s="63"/>
      <x:c r="N1071" s="30">
        <x:f>IF(F1071="2","",COUNTIF($F$3:$F1071,"=1"))</x:f>
        <x:v>950</x:v>
      </x:c>
      <x:c r="O1071" s="30">
        <x:f t="shared" si="99"/>
        <x:v>10</x:v>
      </x:c>
      <x:c r="P1071" s="30">
        <x:f t="shared" si="101"/>
        <x:v>0</x:v>
      </x:c>
      <x:c r="Q1071" s="30">
        <x:f>COUNTIF($P$3:P1071,"=3")</x:f>
        <x:v>119</x:v>
      </x:c>
      <x:c r="R1071" s="29">
        <x:f>WORKDAY(기본입력!$H$2,Q1071-1,공휴일)</x:f>
        <x:v>46101</x:v>
      </x:c>
    </x:row>
    <x:row r="1072" spans="1:18">
      <x:c r="A1072" s="144" t="str">
        <x:f t="shared" si="100"/>
        <x:v>20260320</x:v>
      </x:c>
      <x:c r="B1072" s="17" t="s">
        <x:v>5</x:v>
      </x:c>
      <x:c r="C1072" s="17">
        <x:v>1740</x:v>
      </x:c>
      <x:c r="D1072" s="18" t="s">
        <x:v>1</x:v>
      </x:c>
      <x:c r="E1072" s="17">
        <x:v>1540</x:v>
      </x:c>
      <x:c r="F1072" s="17" t="s">
        <x:v>40</x:v>
      </x:c>
      <x:c r="G1072" s="25" t="str">
        <x:f>IF(OR(N1072="",N1072&gt;기본입력!$C$34),"",VLOOKUP(O1072,기본입력!$A$9:$F$33,5))</x:f>
        <x:v>양현수_53778</x:v>
      </x:c>
      <x:c r="H1072" s="25" t="str">
        <x:f>IF(OR(N1072="",N1072&gt;기본입력!$C$34),"",기본입력!$C$6)</x:f>
        <x:v>1교육실(실습겸용강의실)_243089</x:v>
      </x:c>
      <x:c r="I1072" s="25" t="str">
        <x:f>IF(OR(O1072="",N1072&gt;기본입력!$C$34),"",VLOOKUP(O1072,기본입력!$A$9:$F$33,6,FALSE))</x:f>
        <x:v>Final 프로젝트__10</x:v>
      </x:c>
      <x:c r="J1072" s="38" t="str">
        <x:f t="shared" si="96"/>
        <x:v>Final 프로젝트</x:v>
      </x:c>
      <x:c r="K1072" s="38" t="str">
        <x:f t="shared" si="97"/>
        <x:v>1교육실(실습겸용강의실)</x:v>
      </x:c>
      <x:c r="L1072" s="38" t="str">
        <x:f t="shared" si="98"/>
        <x:v>양현수</x:v>
      </x:c>
      <x:c r="M1072" s="63"/>
      <x:c r="N1072" s="30">
        <x:f>IF(F1072="2","",COUNTIF($F$3:$F1072,"=1"))</x:f>
        <x:v>951</x:v>
      </x:c>
      <x:c r="O1072" s="30">
        <x:f t="shared" si="99"/>
        <x:v>10</x:v>
      </x:c>
      <x:c r="P1072" s="30">
        <x:f t="shared" si="101"/>
        <x:v>1</x:v>
      </x:c>
      <x:c r="Q1072" s="30">
        <x:f>COUNTIF($P$3:P1072,"=3")</x:f>
        <x:v>119</x:v>
      </x:c>
      <x:c r="R1072" s="29">
        <x:f>WORKDAY(기본입력!$H$2,Q1072-1,공휴일)</x:f>
        <x:v>46101</x:v>
      </x:c>
    </x:row>
    <x:row r="1073" spans="1:18">
      <x:c r="A1073" s="144" t="str">
        <x:f t="shared" si="100"/>
        <x:v>20260320</x:v>
      </x:c>
      <x:c r="B1073" s="17" t="s">
        <x:v>5</x:v>
      </x:c>
      <x:c r="C1073" s="17">
        <x:v>1740</x:v>
      </x:c>
      <x:c r="D1073" s="18"/>
      <x:c r="E1073" s="17">
        <x:v>1640</x:v>
      </x:c>
      <x:c r="F1073" s="17" t="s">
        <x:v>40</x:v>
      </x:c>
      <x:c r="G1073" s="25" t="str">
        <x:f>IF(OR(N1073="",N1073&gt;기본입력!$C$34),"",VLOOKUP(O1073,기본입력!$A$9:$F$33,5))</x:f>
        <x:v>양현수_53778</x:v>
      </x:c>
      <x:c r="H1073" s="25" t="str">
        <x:f>IF(OR(N1073="",N1073&gt;기본입력!$C$34),"",기본입력!$C$6)</x:f>
        <x:v>1교육실(실습겸용강의실)_243089</x:v>
      </x:c>
      <x:c r="I1073" s="25" t="str">
        <x:f>IF(OR(O1073="",N1073&gt;기본입력!$C$34),"",VLOOKUP(O1073,기본입력!$A$9:$F$33,6,FALSE))</x:f>
        <x:v>Final 프로젝트__10</x:v>
      </x:c>
      <x:c r="J1073" s="38" t="str">
        <x:f>IF(F1073="2","",LEFT(I1073,FIND("_",I1073,2)-1))</x:f>
        <x:v>Final 프로젝트</x:v>
      </x:c>
      <x:c r="K1073" s="38" t="str">
        <x:f>IF(F1073="2","",LEFT(H1073,FIND("_",H1073,2)-1))</x:f>
        <x:v>1교육실(실습겸용강의실)</x:v>
      </x:c>
      <x:c r="L1073" s="38" t="str">
        <x:f>IF(F1073="2","",LEFT(G1073,FIND("_",G1073,2)-1))</x:f>
        <x:v>양현수</x:v>
      </x:c>
      <x:c r="M1073" s="63"/>
      <x:c r="N1073" s="30">
        <x:f>IF(F1073="2","",COUNTIF($F$3:$F1073,"=1"))</x:f>
        <x:v>952</x:v>
      </x:c>
      <x:c r="O1073" s="30">
        <x:f>IF(F1073="2","",IF(N1073&lt;=누적시수1,1,IF(N1073&lt;=누적시수2,2,IF(N1073&lt;=누적시수3,3,IF(N1073&lt;=누적시수4,4,IF(N1073&lt;=누적시수5,5,IF(N1073&lt;=누적시수6,6,IF(N1073&lt;=누적시수7,7,IF(N1073&lt;=누적시수8,8,IF(N1073&lt;=누적시수9,9,IF(N1073&lt;=누적시수10,10,IF(N1073&lt;=누적시수11,11,IF(N1073&lt;=누적시수12,12,IF(N1073&lt;=누적시수13,13,IF(N1073&lt;=누적시수14,14,IF(N1073&lt;=누적시수15,15,IF(N1073&lt;=누적시수16,16,IF(N1073&lt;=누적시수17,17,IF(N1073&lt;=누적시수18,18,IF(N1073&lt;=누적시수19,19,IF(N1073&lt;=누적시수20,20,IF(N1073&lt;=누적시수21,21,IF(N1073&lt;=누적시수22,22,IF(N1073&lt;=누적시수23,23,IF(N1073&lt;=누적시수24,24,IF(N1073&lt;=누적시수25,25,0))))))))))))))))))))))))))</x:f>
        <x:v>10</x:v>
      </x:c>
      <x:c r="P1073" s="30">
        <x:f t="shared" si="101"/>
        <x:v>2</x:v>
      </x:c>
      <x:c r="Q1073" s="30">
        <x:f>COUNTIF($P$3:P1073,"=3")</x:f>
        <x:v>119</x:v>
      </x:c>
      <x:c r="R1073" s="29">
        <x:f>WORKDAY(기본입력!$H$2,Q1073-1,공휴일)</x:f>
        <x:v>46101</x:v>
      </x:c>
    </x:row>
    <x:row r="1074" spans="1:18">
      <x:c r="A1074" s="145" t="str">
        <x:f t="shared" si="100"/>
        <x:v>20260323</x:v>
      </x:c>
      <x:c r="B1074" s="20" t="s">
        <x:v>5</x:v>
      </x:c>
      <x:c r="C1074" s="20">
        <x:v>1740</x:v>
      </x:c>
      <x:c r="D1074" s="21" t="s">
        <x:v>1</x:v>
      </x:c>
      <x:c r="E1074" s="20" t="s">
        <x:v>5</x:v>
      </x:c>
      <x:c r="F1074" s="20" t="s">
        <x:v>40</x:v>
      </x:c>
      <x:c r="G1074" s="24" t="str">
        <x:f>IF(OR(N1074="",N1074&gt;기본입력!$C$34),"",VLOOKUP(O1074,기본입력!$A$9:$F$33,5))</x:f>
        <x:v>양현수_53778</x:v>
      </x:c>
      <x:c r="H1074" s="24" t="str">
        <x:f>IF(OR(N1074="",N1074&gt;기본입력!$C$34),"",기본입력!$C$6)</x:f>
        <x:v>1교육실(실습겸용강의실)_243089</x:v>
      </x:c>
      <x:c r="I1074" s="24" t="str">
        <x:f>IF(OR(O1074="",N1074&gt;기본입력!$C$34),"",VLOOKUP(O1074,기본입력!$A$9:$F$33,6,FALSE))</x:f>
        <x:v>Final 프로젝트__10</x:v>
      </x:c>
      <x:c r="J1074" s="38" t="str">
        <x:f t="shared" si="96"/>
        <x:v>Final 프로젝트</x:v>
      </x:c>
      <x:c r="K1074" s="38" t="str">
        <x:f t="shared" si="97"/>
        <x:v>1교육실(실습겸용강의실)</x:v>
      </x:c>
      <x:c r="L1074" s="38" t="str">
        <x:f t="shared" si="98"/>
        <x:v>양현수</x:v>
      </x:c>
      <x:c r="M1074" s="63"/>
      <x:c r="N1074" s="30">
        <x:f>IF(F1074="2","",COUNTIF($F$3:$F1074,"=1"))</x:f>
        <x:v>953</x:v>
      </x:c>
      <x:c r="O1074" s="30">
        <x:f t="shared" si="99"/>
        <x:v>10</x:v>
      </x:c>
      <x:c r="P1074" s="30">
        <x:f t="shared" si="101"/>
        <x:v>3</x:v>
      </x:c>
      <x:c r="Q1074" s="30">
        <x:f>COUNTIF($P$3:P1074,"=3")</x:f>
        <x:v>120</x:v>
      </x:c>
      <x:c r="R1074" s="29">
        <x:f>WORKDAY(기본입력!$H$2,Q1074-1,공휴일)</x:f>
        <x:v>46104</x:v>
      </x:c>
    </x:row>
    <x:row r="1075" spans="1:18">
      <x:c r="A1075" s="145" t="str">
        <x:f t="shared" si="100"/>
        <x:v>20260323</x:v>
      </x:c>
      <x:c r="B1075" s="20" t="s">
        <x:v>5</x:v>
      </x:c>
      <x:c r="C1075" s="20">
        <x:v>1740</x:v>
      </x:c>
      <x:c r="D1075" s="21" t="s">
        <x:v>1</x:v>
      </x:c>
      <x:c r="E1075" s="20" t="s">
        <x:v>117</x:v>
      </x:c>
      <x:c r="F1075" s="20" t="s">
        <x:v>40</x:v>
      </x:c>
      <x:c r="G1075" s="24" t="str">
        <x:f>IF(OR(N1075="",N1075&gt;기본입력!$C$34),"",VLOOKUP(O1075,기본입력!$A$9:$F$33,5))</x:f>
        <x:v>양현수_53778</x:v>
      </x:c>
      <x:c r="H1075" s="24" t="str">
        <x:f>IF(OR(N1075="",N1075&gt;기본입력!$C$34),"",기본입력!$C$6)</x:f>
        <x:v>1교육실(실습겸용강의실)_243089</x:v>
      </x:c>
      <x:c r="I1075" s="24" t="str">
        <x:f>IF(OR(O1075="",N1075&gt;기본입력!$C$34),"",VLOOKUP(O1075,기본입력!$A$9:$F$33,6,FALSE))</x:f>
        <x:v>Final 프로젝트__10</x:v>
      </x:c>
      <x:c r="J1075" s="38" t="str">
        <x:f t="shared" si="96"/>
        <x:v>Final 프로젝트</x:v>
      </x:c>
      <x:c r="K1075" s="38" t="str">
        <x:f t="shared" si="97"/>
        <x:v>1교육실(실습겸용강의실)</x:v>
      </x:c>
      <x:c r="L1075" s="38" t="str">
        <x:f t="shared" si="98"/>
        <x:v>양현수</x:v>
      </x:c>
      <x:c r="M1075" s="63"/>
      <x:c r="N1075" s="30">
        <x:f>IF(F1075="2","",COUNTIF($F$3:$F1075,"=1"))</x:f>
        <x:v>954</x:v>
      </x:c>
      <x:c r="O1075" s="30">
        <x:f t="shared" si="99"/>
        <x:v>10</x:v>
      </x:c>
      <x:c r="P1075" s="30">
        <x:f t="shared" si="101"/>
        <x:v>4</x:v>
      </x:c>
      <x:c r="Q1075" s="30">
        <x:f>COUNTIF($P$3:P1075,"=3")</x:f>
        <x:v>120</x:v>
      </x:c>
      <x:c r="R1075" s="29">
        <x:f>WORKDAY(기본입력!$H$2,Q1075-1,공휴일)</x:f>
        <x:v>46104</x:v>
      </x:c>
    </x:row>
    <x:row r="1076" spans="1:18">
      <x:c r="A1076" s="145" t="str">
        <x:f t="shared" si="100"/>
        <x:v>20260323</x:v>
      </x:c>
      <x:c r="B1076" s="20" t="s">
        <x:v>5</x:v>
      </x:c>
      <x:c r="C1076" s="20">
        <x:v>1740</x:v>
      </x:c>
      <x:c r="D1076" s="21" t="s">
        <x:v>1</x:v>
      </x:c>
      <x:c r="E1076" s="20" t="s">
        <x:v>87</x:v>
      </x:c>
      <x:c r="F1076" s="20" t="s">
        <x:v>40</x:v>
      </x:c>
      <x:c r="G1076" s="24" t="str">
        <x:f>IF(OR(N1076="",N1076&gt;기본입력!$C$34),"",VLOOKUP(O1076,기본입력!$A$9:$F$33,5))</x:f>
        <x:v>양현수_53778</x:v>
      </x:c>
      <x:c r="H1076" s="24" t="str">
        <x:f>IF(OR(N1076="",N1076&gt;기본입력!$C$34),"",기본입력!$C$6)</x:f>
        <x:v>1교육실(실습겸용강의실)_243089</x:v>
      </x:c>
      <x:c r="I1076" s="24" t="str">
        <x:f>IF(OR(O1076="",N1076&gt;기본입력!$C$34),"",VLOOKUP(O1076,기본입력!$A$9:$F$33,6,FALSE))</x:f>
        <x:v>Final 프로젝트__10</x:v>
      </x:c>
      <x:c r="J1076" s="38" t="str">
        <x:f t="shared" si="96"/>
        <x:v>Final 프로젝트</x:v>
      </x:c>
      <x:c r="K1076" s="38" t="str">
        <x:f t="shared" si="97"/>
        <x:v>1교육실(실습겸용강의실)</x:v>
      </x:c>
      <x:c r="L1076" s="38" t="str">
        <x:f t="shared" si="98"/>
        <x:v>양현수</x:v>
      </x:c>
      <x:c r="M1076" s="63"/>
      <x:c r="N1076" s="30">
        <x:f>IF(F1076="2","",COUNTIF($F$3:$F1076,"=1"))</x:f>
        <x:v>955</x:v>
      </x:c>
      <x:c r="O1076" s="30">
        <x:f t="shared" si="99"/>
        <x:v>10</x:v>
      </x:c>
      <x:c r="P1076" s="30">
        <x:f t="shared" si="101"/>
        <x:v>5</x:v>
      </x:c>
      <x:c r="Q1076" s="30">
        <x:f>COUNTIF($P$3:P1076,"=3")</x:f>
        <x:v>120</x:v>
      </x:c>
      <x:c r="R1076" s="29">
        <x:f>WORKDAY(기본입력!$H$2,Q1076-1,공휴일)</x:f>
        <x:v>46104</x:v>
      </x:c>
    </x:row>
    <x:row r="1077" spans="1:18">
      <x:c r="A1077" s="145" t="str">
        <x:f t="shared" si="100"/>
        <x:v>20260323</x:v>
      </x:c>
      <x:c r="B1077" s="20" t="s">
        <x:v>5</x:v>
      </x:c>
      <x:c r="C1077" s="20">
        <x:v>1740</x:v>
      </x:c>
      <x:c r="D1077" s="21" t="s">
        <x:v>1</x:v>
      </x:c>
      <x:c r="E1077" s="20" t="s">
        <x:v>88</x:v>
      </x:c>
      <x:c r="F1077" s="20" t="s">
        <x:v>40</x:v>
      </x:c>
      <x:c r="G1077" s="24" t="str">
        <x:f>IF(OR(N1077="",N1077&gt;기본입력!$C$34),"",VLOOKUP(O1077,기본입력!$A$9:$F$33,5))</x:f>
        <x:v>양현수_53778</x:v>
      </x:c>
      <x:c r="H1077" s="24" t="str">
        <x:f>IF(OR(N1077="",N1077&gt;기본입력!$C$34),"",기본입력!$C$6)</x:f>
        <x:v>1교육실(실습겸용강의실)_243089</x:v>
      </x:c>
      <x:c r="I1077" s="24" t="str">
        <x:f>IF(OR(O1077="",N1077&gt;기본입력!$C$34),"",VLOOKUP(O1077,기본입력!$A$9:$F$33,6,FALSE))</x:f>
        <x:v>Final 프로젝트__10</x:v>
      </x:c>
      <x:c r="J1077" s="38" t="str">
        <x:f t="shared" si="96"/>
        <x:v>Final 프로젝트</x:v>
      </x:c>
      <x:c r="K1077" s="38" t="str">
        <x:f t="shared" si="97"/>
        <x:v>1교육실(실습겸용강의실)</x:v>
      </x:c>
      <x:c r="L1077" s="38" t="str">
        <x:f t="shared" si="98"/>
        <x:v>양현수</x:v>
      </x:c>
      <x:c r="M1077" s="63"/>
      <x:c r="N1077" s="30">
        <x:f>IF(F1077="2","",COUNTIF($F$3:$F1077,"=1"))</x:f>
        <x:v>956</x:v>
      </x:c>
      <x:c r="O1077" s="30">
        <x:f t="shared" si="99"/>
        <x:v>10</x:v>
      </x:c>
      <x:c r="P1077" s="30">
        <x:f t="shared" si="101"/>
        <x:v>6</x:v>
      </x:c>
      <x:c r="Q1077" s="30">
        <x:f>COUNTIF($P$3:P1077,"=3")</x:f>
        <x:v>120</x:v>
      </x:c>
      <x:c r="R1077" s="29">
        <x:f>WORKDAY(기본입력!$H$2,Q1077-1,공휴일)</x:f>
        <x:v>46104</x:v>
      </x:c>
    </x:row>
    <x:row r="1078" spans="1:18">
      <x:c r="A1078" s="145" t="str">
        <x:f t="shared" si="100"/>
        <x:v>20260323</x:v>
      </x:c>
      <x:c r="B1078" s="20" t="s">
        <x:v>5</x:v>
      </x:c>
      <x:c r="C1078" s="20">
        <x:v>1740</x:v>
      </x:c>
      <x:c r="D1078" s="21" t="s">
        <x:v>1</x:v>
      </x:c>
      <x:c r="E1078" s="20" t="s">
        <x:v>0</x:v>
      </x:c>
      <x:c r="F1078" s="20" t="s">
        <x:v>41</x:v>
      </x:c>
      <x:c r="G1078" s="24" t="str">
        <x:f>IF(OR(N1078="",N1078&gt;기본입력!$C$34),"",VLOOKUP(O1078,기본입력!$A$9:$F$33,5))</x:f>
        <x:v/>
      </x:c>
      <x:c r="H1078" s="24" t="str">
        <x:f>IF(OR(N1078="",N1078&gt;기본입력!$C$34),"",기본입력!$C$6)</x:f>
        <x:v/>
      </x:c>
      <x:c r="I1078" s="24" t="str">
        <x:f>IF(OR(O1078="",N1078&gt;기본입력!$C$34),"",VLOOKUP(O1078,기본입력!$A$9:$F$33,6,FALSE))</x:f>
        <x:v/>
      </x:c>
      <x:c r="J1078" s="38" t="str">
        <x:f t="shared" si="96"/>
        <x:v/>
      </x:c>
      <x:c r="K1078" s="38" t="str">
        <x:f t="shared" si="97"/>
        <x:v/>
      </x:c>
      <x:c r="L1078" s="38" t="str">
        <x:f t="shared" si="98"/>
        <x:v/>
      </x:c>
      <x:c r="M1078" s="63"/>
      <x:c r="N1078" s="30" t="str">
        <x:f>IF(F1078="2","",COUNTIF($F$3:$F1078,"=1"))</x:f>
        <x:v/>
      </x:c>
      <x:c r="O1078" s="30" t="str">
        <x:f t="shared" si="99"/>
        <x:v/>
      </x:c>
      <x:c r="P1078" s="30">
        <x:f t="shared" si="101"/>
        <x:v>7</x:v>
      </x:c>
      <x:c r="Q1078" s="30">
        <x:f>COUNTIF($P$3:P1078,"=3")</x:f>
        <x:v>120</x:v>
      </x:c>
      <x:c r="R1078" s="29">
        <x:f>WORKDAY(기본입력!$H$2,Q1078-1,공휴일)</x:f>
        <x:v>46104</x:v>
      </x:c>
    </x:row>
    <x:row r="1079" spans="1:18">
      <x:c r="A1079" s="145" t="str">
        <x:f t="shared" si="100"/>
        <x:v>20260323</x:v>
      </x:c>
      <x:c r="B1079" s="20" t="s">
        <x:v>5</x:v>
      </x:c>
      <x:c r="C1079" s="20">
        <x:v>1740</x:v>
      </x:c>
      <x:c r="D1079" s="21" t="s">
        <x:v>1</x:v>
      </x:c>
      <x:c r="E1079" s="20">
        <x:v>1340</x:v>
      </x:c>
      <x:c r="F1079" s="20" t="s">
        <x:v>40</x:v>
      </x:c>
      <x:c r="G1079" s="24" t="str">
        <x:f>IF(OR(N1079="",N1079&gt;기본입력!$C$34),"",VLOOKUP(O1079,기본입력!$A$9:$F$33,5))</x:f>
        <x:v>양현수_53778</x:v>
      </x:c>
      <x:c r="H1079" s="24" t="str">
        <x:f>IF(OR(N1079="",N1079&gt;기본입력!$C$34),"",기본입력!$C$6)</x:f>
        <x:v>1교육실(실습겸용강의실)_243089</x:v>
      </x:c>
      <x:c r="I1079" s="24" t="str">
        <x:f>IF(OR(O1079="",N1079&gt;기본입력!$C$34),"",VLOOKUP(O1079,기본입력!$A$9:$F$33,6,FALSE))</x:f>
        <x:v>Final 프로젝트__10</x:v>
      </x:c>
      <x:c r="J1079" s="38" t="str">
        <x:f t="shared" si="96"/>
        <x:v>Final 프로젝트</x:v>
      </x:c>
      <x:c r="K1079" s="38" t="str">
        <x:f t="shared" si="97"/>
        <x:v>1교육실(실습겸용강의실)</x:v>
      </x:c>
      <x:c r="L1079" s="38" t="str">
        <x:f t="shared" si="98"/>
        <x:v>양현수</x:v>
      </x:c>
      <x:c r="M1079" s="63"/>
      <x:c r="N1079" s="30">
        <x:f>IF(F1079="2","",COUNTIF($F$3:$F1079,"=1"))</x:f>
        <x:v>957</x:v>
      </x:c>
      <x:c r="O1079" s="30">
        <x:f t="shared" si="99"/>
        <x:v>10</x:v>
      </x:c>
      <x:c r="P1079" s="30">
        <x:f t="shared" si="101"/>
        <x:v>8</x:v>
      </x:c>
      <x:c r="Q1079" s="30">
        <x:f>COUNTIF($P$3:P1079,"=3")</x:f>
        <x:v>120</x:v>
      </x:c>
      <x:c r="R1079" s="29">
        <x:f>WORKDAY(기본입력!$H$2,Q1079-1,공휴일)</x:f>
        <x:v>46104</x:v>
      </x:c>
    </x:row>
    <x:row r="1080" spans="1:18">
      <x:c r="A1080" s="145" t="str">
        <x:f t="shared" si="100"/>
        <x:v>20260323</x:v>
      </x:c>
      <x:c r="B1080" s="20" t="s">
        <x:v>5</x:v>
      </x:c>
      <x:c r="C1080" s="20">
        <x:v>1740</x:v>
      </x:c>
      <x:c r="D1080" s="21" t="s">
        <x:v>1</x:v>
      </x:c>
      <x:c r="E1080" s="20">
        <x:v>1440</x:v>
      </x:c>
      <x:c r="F1080" s="20" t="s">
        <x:v>40</x:v>
      </x:c>
      <x:c r="G1080" s="24" t="str">
        <x:f>IF(OR(N1080="",N1080&gt;기본입력!$C$34),"",VLOOKUP(O1080,기본입력!$A$9:$F$33,5))</x:f>
        <x:v>양현수_53778</x:v>
      </x:c>
      <x:c r="H1080" s="24" t="str">
        <x:f>IF(OR(N1080="",N1080&gt;기본입력!$C$34),"",기본입력!$C$6)</x:f>
        <x:v>1교육실(실습겸용강의실)_243089</x:v>
      </x:c>
      <x:c r="I1080" s="24" t="str">
        <x:f>IF(OR(O1080="",N1080&gt;기본입력!$C$34),"",VLOOKUP(O1080,기본입력!$A$9:$F$33,6,FALSE))</x:f>
        <x:v>Final 프로젝트__10</x:v>
      </x:c>
      <x:c r="J1080" s="38" t="str">
        <x:f t="shared" ref="J1080:J1147" si="102">IF(F1080="2","",LEFT(I1080,FIND("_",I1080,2)-1))</x:f>
        <x:v>Final 프로젝트</x:v>
      </x:c>
      <x:c r="K1080" s="38" t="str">
        <x:f t="shared" ref="K1080:K1147" si="103">IF(F1080="2","",LEFT(H1080,FIND("_",H1080,2)-1))</x:f>
        <x:v>1교육실(실습겸용강의실)</x:v>
      </x:c>
      <x:c r="L1080" s="38" t="str">
        <x:f t="shared" ref="L1080:L1147" si="104">IF(F1080="2","",LEFT(G1080,FIND("_",G1080,2)-1))</x:f>
        <x:v>양현수</x:v>
      </x:c>
      <x:c r="M1080" s="63"/>
      <x:c r="N1080" s="30">
        <x:f>IF(F1080="2","",COUNTIF($F$3:$F1080,"=1"))</x:f>
        <x:v>958</x:v>
      </x:c>
      <x:c r="O1080" s="30">
        <x:f t="shared" si="99"/>
        <x:v>10</x:v>
      </x:c>
      <x:c r="P1080" s="30">
        <x:f t="shared" si="101"/>
        <x:v>0</x:v>
      </x:c>
      <x:c r="Q1080" s="30">
        <x:f>COUNTIF($P$3:P1080,"=3")</x:f>
        <x:v>120</x:v>
      </x:c>
      <x:c r="R1080" s="29">
        <x:f>WORKDAY(기본입력!$H$2,Q1080-1,공휴일)</x:f>
        <x:v>46104</x:v>
      </x:c>
    </x:row>
    <x:row r="1081" spans="1:18">
      <x:c r="A1081" s="145" t="str">
        <x:f t="shared" si="100"/>
        <x:v>20260323</x:v>
      </x:c>
      <x:c r="B1081" s="20" t="s">
        <x:v>5</x:v>
      </x:c>
      <x:c r="C1081" s="20">
        <x:v>1740</x:v>
      </x:c>
      <x:c r="D1081" s="21" t="s">
        <x:v>1</x:v>
      </x:c>
      <x:c r="E1081" s="20">
        <x:v>1540</x:v>
      </x:c>
      <x:c r="F1081" s="20" t="s">
        <x:v>40</x:v>
      </x:c>
      <x:c r="G1081" s="24" t="str">
        <x:f>IF(OR(N1081="",N1081&gt;기본입력!$C$34),"",VLOOKUP(O1081,기본입력!$A$9:$F$33,5))</x:f>
        <x:v>양현수_53778</x:v>
      </x:c>
      <x:c r="H1081" s="24" t="str">
        <x:f>IF(OR(N1081="",N1081&gt;기본입력!$C$34),"",기본입력!$C$6)</x:f>
        <x:v>1교육실(실습겸용강의실)_243089</x:v>
      </x:c>
      <x:c r="I1081" s="24" t="str">
        <x:f>IF(OR(O1081="",N1081&gt;기본입력!$C$34),"",VLOOKUP(O1081,기본입력!$A$9:$F$33,6,FALSE))</x:f>
        <x:v>Final 프로젝트__10</x:v>
      </x:c>
      <x:c r="J1081" s="38" t="str">
        <x:f t="shared" si="102"/>
        <x:v>Final 프로젝트</x:v>
      </x:c>
      <x:c r="K1081" s="38" t="str">
        <x:f t="shared" si="103"/>
        <x:v>1교육실(실습겸용강의실)</x:v>
      </x:c>
      <x:c r="L1081" s="38" t="str">
        <x:f t="shared" si="104"/>
        <x:v>양현수</x:v>
      </x:c>
      <x:c r="M1081" s="63"/>
      <x:c r="N1081" s="30">
        <x:f>IF(F1081="2","",COUNTIF($F$3:$F1081,"=1"))</x:f>
        <x:v>959</x:v>
      </x:c>
      <x:c r="O1081" s="30">
        <x:f t="shared" si="99"/>
        <x:v>10</x:v>
      </x:c>
      <x:c r="P1081" s="30">
        <x:f t="shared" si="101"/>
        <x:v>1</x:v>
      </x:c>
      <x:c r="Q1081" s="30">
        <x:f>COUNTIF($P$3:P1081,"=3")</x:f>
        <x:v>120</x:v>
      </x:c>
      <x:c r="R1081" s="29">
        <x:f>WORKDAY(기본입력!$H$2,Q1081-1,공휴일)</x:f>
        <x:v>46104</x:v>
      </x:c>
    </x:row>
    <x:row r="1082" spans="1:18">
      <x:c r="A1082" s="145" t="str">
        <x:f t="shared" si="100"/>
        <x:v>20260323</x:v>
      </x:c>
      <x:c r="B1082" s="20" t="s">
        <x:v>5</x:v>
      </x:c>
      <x:c r="C1082" s="20">
        <x:v>1740</x:v>
      </x:c>
      <x:c r="D1082" s="21" t="s">
        <x:v>1</x:v>
      </x:c>
      <x:c r="E1082" s="20">
        <x:v>1640</x:v>
      </x:c>
      <x:c r="F1082" s="20" t="s">
        <x:v>40</x:v>
      </x:c>
      <x:c r="G1082" s="24" t="str">
        <x:f>IF(OR(N1082="",N1082&gt;기본입력!$C$34),"",VLOOKUP(O1082,기본입력!$A$9:$F$33,5))</x:f>
        <x:v>양현수_53778</x:v>
      </x:c>
      <x:c r="H1082" s="24" t="str">
        <x:f>IF(OR(N1082="",N1082&gt;기본입력!$C$34),"",기본입력!$C$6)</x:f>
        <x:v>1교육실(실습겸용강의실)_243089</x:v>
      </x:c>
      <x:c r="I1082" s="24" t="str">
        <x:f>IF(OR(O1082="",N1082&gt;기본입력!$C$34),"",VLOOKUP(O1082,기본입력!$A$9:$F$33,6,FALSE))</x:f>
        <x:v>Final 프로젝트__10</x:v>
      </x:c>
      <x:c r="J1082" s="38" t="str">
        <x:f t="shared" si="102"/>
        <x:v>Final 프로젝트</x:v>
      </x:c>
      <x:c r="K1082" s="38" t="str">
        <x:f t="shared" si="103"/>
        <x:v>1교육실(실습겸용강의실)</x:v>
      </x:c>
      <x:c r="L1082" s="38" t="str">
        <x:f t="shared" si="104"/>
        <x:v>양현수</x:v>
      </x:c>
      <x:c r="M1082" s="63"/>
      <x:c r="N1082" s="30">
        <x:f>IF(F1082="2","",COUNTIF($F$3:$F1082,"=1"))</x:f>
        <x:v>960</x:v>
      </x:c>
      <x:c r="O1082" s="30">
        <x:f t="shared" si="99"/>
        <x:v>10</x:v>
      </x:c>
      <x:c r="P1082" s="30">
        <x:f t="shared" si="101"/>
        <x:v>2</x:v>
      </x:c>
      <x:c r="Q1082" s="30">
        <x:f>COUNTIF($P$3:P1082,"=3")</x:f>
        <x:v>120</x:v>
      </x:c>
      <x:c r="R1082" s="29">
        <x:f>WORKDAY(기본입력!$H$2,Q1082-1,공휴일)</x:f>
        <x:v>46104</x:v>
      </x:c>
    </x:row>
    <x:row r="1083" spans="1:18">
      <x:c r="A1083" s="144" t="str">
        <x:f t="shared" si="100"/>
        <x:v>20260324</x:v>
      </x:c>
      <x:c r="B1083" s="17" t="s">
        <x:v>5</x:v>
      </x:c>
      <x:c r="C1083" s="17">
        <x:v>1740</x:v>
      </x:c>
      <x:c r="D1083" s="18" t="s">
        <x:v>1</x:v>
      </x:c>
      <x:c r="E1083" s="17" t="s">
        <x:v>5</x:v>
      </x:c>
      <x:c r="F1083" s="17" t="s">
        <x:v>40</x:v>
      </x:c>
      <x:c r="G1083" s="19" t="str">
        <x:f>IF(OR(N1083="",N1083&gt;기본입력!$C$34),"",VLOOKUP(O1083,기본입력!$A$9:$F$33,5))</x:f>
        <x:v>양현수_53778</x:v>
      </x:c>
      <x:c r="H1083" s="19" t="str">
        <x:f>IF(OR(N1083="",N1083&gt;기본입력!$C$34),"",기본입력!$C$6)</x:f>
        <x:v>1교육실(실습겸용강의실)_243089</x:v>
      </x:c>
      <x:c r="I1083" s="19" t="str">
        <x:f>IF(OR(O1083="",N1083&gt;기본입력!$C$34),"",VLOOKUP(O1083,기본입력!$A$9:$F$33,6,FALSE))</x:f>
        <x:v>산업체특강 , 프로젝트 발표(시연), 수료식__12</x:v>
      </x:c>
      <x:c r="J1083" s="38" t="str">
        <x:f t="shared" si="102"/>
        <x:v>산업체특강 , 프로젝트 발표(시연), 수료식</x:v>
      </x:c>
      <x:c r="K1083" s="38" t="str">
        <x:f t="shared" si="103"/>
        <x:v>1교육실(실습겸용강의실)</x:v>
      </x:c>
      <x:c r="L1083" s="38" t="str">
        <x:f t="shared" si="104"/>
        <x:v>양현수</x:v>
      </x:c>
      <x:c r="M1083" s="63"/>
      <x:c r="N1083" s="30">
        <x:f>IF(F1083="2","",COUNTIF($F$3:$F1083,"=1"))</x:f>
        <x:v>961</x:v>
      </x:c>
      <x:c r="O1083" s="30">
        <x:f t="shared" si="99"/>
        <x:v>11</x:v>
      </x:c>
      <x:c r="P1083" s="30">
        <x:f t="shared" si="101"/>
        <x:v>3</x:v>
      </x:c>
      <x:c r="Q1083" s="30">
        <x:f>COUNTIF($P$3:P1083,"=3")</x:f>
        <x:v>121</x:v>
      </x:c>
      <x:c r="R1083" s="29">
        <x:f>WORKDAY(기본입력!$H$2,Q1083-1,공휴일)</x:f>
        <x:v>46105</x:v>
      </x:c>
    </x:row>
    <x:row r="1084" spans="1:18">
      <x:c r="A1084" s="144" t="str">
        <x:f t="shared" si="100"/>
        <x:v>20260324</x:v>
      </x:c>
      <x:c r="B1084" s="17" t="s">
        <x:v>5</x:v>
      </x:c>
      <x:c r="C1084" s="17">
        <x:v>1740</x:v>
      </x:c>
      <x:c r="D1084" s="18" t="s">
        <x:v>1</x:v>
      </x:c>
      <x:c r="E1084" s="17" t="s">
        <x:v>117</x:v>
      </x:c>
      <x:c r="F1084" s="17" t="s">
        <x:v>40</x:v>
      </x:c>
      <x:c r="G1084" s="19" t="str">
        <x:f>IF(OR(N1084="",N1084&gt;기본입력!$C$34),"",VLOOKUP(O1084,기본입력!$A$9:$F$33,5))</x:f>
        <x:v>양현수_53778</x:v>
      </x:c>
      <x:c r="H1084" s="19" t="str">
        <x:f>IF(OR(N1084="",N1084&gt;기본입력!$C$34),"",기본입력!$C$6)</x:f>
        <x:v>1교육실(실습겸용강의실)_243089</x:v>
      </x:c>
      <x:c r="I1084" s="19" t="str">
        <x:f>IF(OR(O1084="",N1084&gt;기본입력!$C$34),"",VLOOKUP(O1084,기본입력!$A$9:$F$33,6,FALSE))</x:f>
        <x:v>산업체특강 , 프로젝트 발표(시연), 수료식__12</x:v>
      </x:c>
      <x:c r="J1084" s="38" t="str">
        <x:f t="shared" si="102"/>
        <x:v>산업체특강 , 프로젝트 발표(시연), 수료식</x:v>
      </x:c>
      <x:c r="K1084" s="38" t="str">
        <x:f t="shared" si="103"/>
        <x:v>1교육실(실습겸용강의실)</x:v>
      </x:c>
      <x:c r="L1084" s="38" t="str">
        <x:f t="shared" si="104"/>
        <x:v>양현수</x:v>
      </x:c>
      <x:c r="M1084" s="63"/>
      <x:c r="N1084" s="30">
        <x:f>IF(F1084="2","",COUNTIF($F$3:$F1084,"=1"))</x:f>
        <x:v>962</x:v>
      </x:c>
      <x:c r="O1084" s="30">
        <x:f t="shared" si="99"/>
        <x:v>11</x:v>
      </x:c>
      <x:c r="P1084" s="30">
        <x:f t="shared" si="101"/>
        <x:v>4</x:v>
      </x:c>
      <x:c r="Q1084" s="30">
        <x:f>COUNTIF($P$3:P1084,"=3")</x:f>
        <x:v>121</x:v>
      </x:c>
      <x:c r="R1084" s="29">
        <x:f>WORKDAY(기본입력!$H$2,Q1084-1,공휴일)</x:f>
        <x:v>46105</x:v>
      </x:c>
    </x:row>
    <x:row r="1085" spans="1:18">
      <x:c r="A1085" s="144" t="str">
        <x:f t="shared" si="100"/>
        <x:v>20260324</x:v>
      </x:c>
      <x:c r="B1085" s="17" t="s">
        <x:v>5</x:v>
      </x:c>
      <x:c r="C1085" s="17">
        <x:v>1740</x:v>
      </x:c>
      <x:c r="D1085" s="18" t="s">
        <x:v>1</x:v>
      </x:c>
      <x:c r="E1085" s="17" t="s">
        <x:v>87</x:v>
      </x:c>
      <x:c r="F1085" s="17" t="s">
        <x:v>40</x:v>
      </x:c>
      <x:c r="G1085" s="19" t="str">
        <x:f>IF(OR(N1085="",N1085&gt;기본입력!$C$34),"",VLOOKUP(O1085,기본입력!$A$9:$F$33,5))</x:f>
        <x:v>양현수_53778</x:v>
      </x:c>
      <x:c r="H1085" s="19" t="str">
        <x:f>IF(OR(N1085="",N1085&gt;기본입력!$C$34),"",기본입력!$C$6)</x:f>
        <x:v>1교육실(실습겸용강의실)_243089</x:v>
      </x:c>
      <x:c r="I1085" s="19" t="str">
        <x:f>IF(OR(O1085="",N1085&gt;기본입력!$C$34),"",VLOOKUP(O1085,기본입력!$A$9:$F$33,6,FALSE))</x:f>
        <x:v>산업체특강 , 프로젝트 발표(시연), 수료식__12</x:v>
      </x:c>
      <x:c r="J1085" s="38" t="str">
        <x:f t="shared" si="102"/>
        <x:v>산업체특강 , 프로젝트 발표(시연), 수료식</x:v>
      </x:c>
      <x:c r="K1085" s="38" t="str">
        <x:f t="shared" si="103"/>
        <x:v>1교육실(실습겸용강의실)</x:v>
      </x:c>
      <x:c r="L1085" s="38" t="str">
        <x:f t="shared" si="104"/>
        <x:v>양현수</x:v>
      </x:c>
      <x:c r="M1085" s="63"/>
      <x:c r="N1085" s="30">
        <x:f>IF(F1085="2","",COUNTIF($F$3:$F1085,"=1"))</x:f>
        <x:v>963</x:v>
      </x:c>
      <x:c r="O1085" s="30">
        <x:f t="shared" si="99"/>
        <x:v>11</x:v>
      </x:c>
      <x:c r="P1085" s="30">
        <x:f t="shared" si="101"/>
        <x:v>5</x:v>
      </x:c>
      <x:c r="Q1085" s="30">
        <x:f>COUNTIF($P$3:P1085,"=3")</x:f>
        <x:v>121</x:v>
      </x:c>
      <x:c r="R1085" s="29">
        <x:f>WORKDAY(기본입력!$H$2,Q1085-1,공휴일)</x:f>
        <x:v>46105</x:v>
      </x:c>
    </x:row>
    <x:row r="1086" spans="1:18">
      <x:c r="A1086" s="144" t="str">
        <x:f t="shared" si="100"/>
        <x:v>20260324</x:v>
      </x:c>
      <x:c r="B1086" s="17" t="s">
        <x:v>5</x:v>
      </x:c>
      <x:c r="C1086" s="17">
        <x:v>1740</x:v>
      </x:c>
      <x:c r="D1086" s="18" t="s">
        <x:v>1</x:v>
      </x:c>
      <x:c r="E1086" s="17" t="s">
        <x:v>88</x:v>
      </x:c>
      <x:c r="F1086" s="17" t="s">
        <x:v>40</x:v>
      </x:c>
      <x:c r="G1086" s="19" t="str">
        <x:f>IF(OR(N1086="",N1086&gt;기본입력!$C$34),"",VLOOKUP(O1086,기본입력!$A$9:$F$33,5))</x:f>
        <x:v>양현수_53778</x:v>
      </x:c>
      <x:c r="H1086" s="19" t="str">
        <x:f>IF(OR(N1086="",N1086&gt;기본입력!$C$34),"",기본입력!$C$6)</x:f>
        <x:v>1교육실(실습겸용강의실)_243089</x:v>
      </x:c>
      <x:c r="I1086" s="19" t="str">
        <x:f>IF(OR(O1086="",N1086&gt;기본입력!$C$34),"",VLOOKUP(O1086,기본입력!$A$9:$F$33,6,FALSE))</x:f>
        <x:v>산업체특강 , 프로젝트 발표(시연), 수료식__12</x:v>
      </x:c>
      <x:c r="J1086" s="38" t="str">
        <x:f t="shared" si="102"/>
        <x:v>산업체특강 , 프로젝트 발표(시연), 수료식</x:v>
      </x:c>
      <x:c r="K1086" s="38" t="str">
        <x:f t="shared" si="103"/>
        <x:v>1교육실(실습겸용강의실)</x:v>
      </x:c>
      <x:c r="L1086" s="38" t="str">
        <x:f t="shared" si="104"/>
        <x:v>양현수</x:v>
      </x:c>
      <x:c r="M1086" s="63"/>
      <x:c r="N1086" s="30">
        <x:f>IF(F1086="2","",COUNTIF($F$3:$F1086,"=1"))</x:f>
        <x:v>964</x:v>
      </x:c>
      <x:c r="O1086" s="30">
        <x:f t="shared" si="99"/>
        <x:v>11</x:v>
      </x:c>
      <x:c r="P1086" s="30">
        <x:f t="shared" si="101"/>
        <x:v>6</x:v>
      </x:c>
      <x:c r="Q1086" s="30">
        <x:f>COUNTIF($P$3:P1086,"=3")</x:f>
        <x:v>121</x:v>
      </x:c>
      <x:c r="R1086" s="29">
        <x:f>WORKDAY(기본입력!$H$2,Q1086-1,공휴일)</x:f>
        <x:v>46105</x:v>
      </x:c>
    </x:row>
    <x:row r="1087" spans="1:18">
      <x:c r="A1087" s="144" t="str">
        <x:f t="shared" si="100"/>
        <x:v>20260324</x:v>
      </x:c>
      <x:c r="B1087" s="17" t="s">
        <x:v>5</x:v>
      </x:c>
      <x:c r="C1087" s="17">
        <x:v>1740</x:v>
      </x:c>
      <x:c r="D1087" s="18" t="s">
        <x:v>1</x:v>
      </x:c>
      <x:c r="E1087" s="17" t="s">
        <x:v>0</x:v>
      </x:c>
      <x:c r="F1087" s="17" t="s">
        <x:v>41</x:v>
      </x:c>
      <x:c r="G1087" s="19" t="str">
        <x:f>IF(OR(N1087="",N1087&gt;기본입력!$C$34),"",VLOOKUP(O1087,기본입력!$A$9:$F$33,5))</x:f>
        <x:v/>
      </x:c>
      <x:c r="H1087" s="19" t="str">
        <x:f>IF(OR(N1087="",N1087&gt;기본입력!$C$34),"",기본입력!$C$6)</x:f>
        <x:v/>
      </x:c>
      <x:c r="I1087" s="19" t="str">
        <x:f>IF(OR(O1087="",N1087&gt;기본입력!$C$34),"",VLOOKUP(O1087,기본입력!$A$9:$F$33,6,FALSE))</x:f>
        <x:v/>
      </x:c>
      <x:c r="J1087" s="38" t="str">
        <x:f t="shared" si="102"/>
        <x:v/>
      </x:c>
      <x:c r="K1087" s="38" t="str">
        <x:f t="shared" si="103"/>
        <x:v/>
      </x:c>
      <x:c r="L1087" s="38" t="str">
        <x:f t="shared" si="104"/>
        <x:v/>
      </x:c>
      <x:c r="M1087" s="63"/>
      <x:c r="N1087" s="30" t="str">
        <x:f>IF(F1087="2","",COUNTIF($F$3:$F1087,"=1"))</x:f>
        <x:v/>
      </x:c>
      <x:c r="O1087" s="30" t="str">
        <x:f t="shared" si="99"/>
        <x:v/>
      </x:c>
      <x:c r="P1087" s="30">
        <x:f t="shared" si="101"/>
        <x:v>7</x:v>
      </x:c>
      <x:c r="Q1087" s="30">
        <x:f>COUNTIF($P$3:P1087,"=3")</x:f>
        <x:v>121</x:v>
      </x:c>
      <x:c r="R1087" s="29">
        <x:f>WORKDAY(기본입력!$H$2,Q1087-1,공휴일)</x:f>
        <x:v>46105</x:v>
      </x:c>
    </x:row>
    <x:row r="1088" spans="1:18">
      <x:c r="A1088" s="144" t="str">
        <x:f t="shared" si="100"/>
        <x:v>20260324</x:v>
      </x:c>
      <x:c r="B1088" s="17" t="s">
        <x:v>5</x:v>
      </x:c>
      <x:c r="C1088" s="17">
        <x:v>1740</x:v>
      </x:c>
      <x:c r="D1088" s="18" t="s">
        <x:v>1</x:v>
      </x:c>
      <x:c r="E1088" s="17">
        <x:v>1340</x:v>
      </x:c>
      <x:c r="F1088" s="17" t="s">
        <x:v>40</x:v>
      </x:c>
      <x:c r="G1088" s="19" t="str">
        <x:f>IF(OR(N1088="",N1088&gt;기본입력!$C$34),"",VLOOKUP(O1088,기본입력!$A$9:$F$33,5))</x:f>
        <x:v>양현수_53778</x:v>
      </x:c>
      <x:c r="H1088" s="19" t="str">
        <x:f>IF(OR(N1088="",N1088&gt;기본입력!$C$34),"",기본입력!$C$6)</x:f>
        <x:v>1교육실(실습겸용강의실)_243089</x:v>
      </x:c>
      <x:c r="I1088" s="19" t="str">
        <x:f>IF(OR(O1088="",N1088&gt;기본입력!$C$34),"",VLOOKUP(O1088,기본입력!$A$9:$F$33,6,FALSE))</x:f>
        <x:v>취업특강 및 모의면접__11</x:v>
      </x:c>
      <x:c r="J1088" s="38" t="str">
        <x:f t="shared" si="102"/>
        <x:v>취업특강 및 모의면접</x:v>
      </x:c>
      <x:c r="K1088" s="38" t="str">
        <x:f t="shared" si="103"/>
        <x:v>1교육실(실습겸용강의실)</x:v>
      </x:c>
      <x:c r="L1088" s="38" t="str">
        <x:f t="shared" si="104"/>
        <x:v>양현수</x:v>
      </x:c>
      <x:c r="M1088" s="63"/>
      <x:c r="N1088" s="30">
        <x:f>IF(F1088="2","",COUNTIF($F$3:$F1088,"=1"))</x:f>
        <x:v>965</x:v>
      </x:c>
      <x:c r="O1088" s="30">
        <x:f t="shared" si="99"/>
        <x:v>12</x:v>
      </x:c>
      <x:c r="P1088" s="30">
        <x:f t="shared" si="101"/>
        <x:v>8</x:v>
      </x:c>
      <x:c r="Q1088" s="30">
        <x:f>COUNTIF($P$3:P1088,"=3")</x:f>
        <x:v>121</x:v>
      </x:c>
      <x:c r="R1088" s="29">
        <x:f>WORKDAY(기본입력!$H$2,Q1088-1,공휴일)</x:f>
        <x:v>46105</x:v>
      </x:c>
    </x:row>
    <x:row r="1089" spans="1:18">
      <x:c r="A1089" s="144" t="str">
        <x:f t="shared" si="100"/>
        <x:v>20260324</x:v>
      </x:c>
      <x:c r="B1089" s="17" t="s">
        <x:v>5</x:v>
      </x:c>
      <x:c r="C1089" s="17">
        <x:v>1740</x:v>
      </x:c>
      <x:c r="D1089" s="18" t="s">
        <x:v>1</x:v>
      </x:c>
      <x:c r="E1089" s="17">
        <x:v>1440</x:v>
      </x:c>
      <x:c r="F1089" s="17" t="s">
        <x:v>40</x:v>
      </x:c>
      <x:c r="G1089" s="19" t="str">
        <x:f>IF(OR(N1089="",N1089&gt;기본입력!$C$34),"",VLOOKUP(O1089,기본입력!$A$9:$F$33,5))</x:f>
        <x:v>양현수_53778</x:v>
      </x:c>
      <x:c r="H1089" s="19" t="str">
        <x:f>IF(OR(N1089="",N1089&gt;기본입력!$C$34),"",기본입력!$C$6)</x:f>
        <x:v>1교육실(실습겸용강의실)_243089</x:v>
      </x:c>
      <x:c r="I1089" s="19" t="str">
        <x:f>IF(OR(O1089="",N1089&gt;기본입력!$C$34),"",VLOOKUP(O1089,기본입력!$A$9:$F$33,6,FALSE))</x:f>
        <x:v>취업특강 및 모의면접__11</x:v>
      </x:c>
      <x:c r="J1089" s="38" t="str">
        <x:f t="shared" si="102"/>
        <x:v>취업특강 및 모의면접</x:v>
      </x:c>
      <x:c r="K1089" s="38" t="str">
        <x:f t="shared" si="103"/>
        <x:v>1교육실(실습겸용강의실)</x:v>
      </x:c>
      <x:c r="L1089" s="38" t="str">
        <x:f t="shared" si="104"/>
        <x:v>양현수</x:v>
      </x:c>
      <x:c r="M1089" s="63"/>
      <x:c r="N1089" s="30">
        <x:f>IF(F1089="2","",COUNTIF($F$3:$F1089,"=1"))</x:f>
        <x:v>966</x:v>
      </x:c>
      <x:c r="O1089" s="30">
        <x:f t="shared" si="99"/>
        <x:v>12</x:v>
      </x:c>
      <x:c r="P1089" s="30">
        <x:f t="shared" si="101"/>
        <x:v>0</x:v>
      </x:c>
      <x:c r="Q1089" s="30">
        <x:f>COUNTIF($P$3:P1089,"=3")</x:f>
        <x:v>121</x:v>
      </x:c>
      <x:c r="R1089" s="29">
        <x:f>WORKDAY(기본입력!$H$2,Q1089-1,공휴일)</x:f>
        <x:v>46105</x:v>
      </x:c>
    </x:row>
    <x:row r="1090" spans="1:18">
      <x:c r="A1090" s="144" t="str">
        <x:f t="shared" si="100"/>
        <x:v>20260324</x:v>
      </x:c>
      <x:c r="B1090" s="17" t="s">
        <x:v>5</x:v>
      </x:c>
      <x:c r="C1090" s="17">
        <x:v>1740</x:v>
      </x:c>
      <x:c r="D1090" s="18" t="s">
        <x:v>1</x:v>
      </x:c>
      <x:c r="E1090" s="17">
        <x:v>1540</x:v>
      </x:c>
      <x:c r="F1090" s="17" t="s">
        <x:v>40</x:v>
      </x:c>
      <x:c r="G1090" s="19" t="str">
        <x:f>IF(OR(N1090="",N1090&gt;기본입력!$C$34),"",VLOOKUP(O1090,기본입력!$A$9:$F$33,5))</x:f>
        <x:v>양현수_53778</x:v>
      </x:c>
      <x:c r="H1090" s="19" t="str">
        <x:f>IF(OR(N1090="",N1090&gt;기본입력!$C$34),"",기본입력!$C$6)</x:f>
        <x:v>1교육실(실습겸용강의실)_243089</x:v>
      </x:c>
      <x:c r="I1090" s="19" t="str">
        <x:f>IF(OR(O1090="",N1090&gt;기본입력!$C$34),"",VLOOKUP(O1090,기본입력!$A$9:$F$33,6,FALSE))</x:f>
        <x:v>취업특강 및 모의면접__11</x:v>
      </x:c>
      <x:c r="J1090" s="38" t="str">
        <x:f t="shared" si="102"/>
        <x:v>취업특강 및 모의면접</x:v>
      </x:c>
      <x:c r="K1090" s="38" t="str">
        <x:f t="shared" si="103"/>
        <x:v>1교육실(실습겸용강의실)</x:v>
      </x:c>
      <x:c r="L1090" s="38" t="str">
        <x:f t="shared" si="104"/>
        <x:v>양현수</x:v>
      </x:c>
      <x:c r="M1090" s="63"/>
      <x:c r="N1090" s="30">
        <x:f>IF(F1090="2","",COUNTIF($F$3:$F1090,"=1"))</x:f>
        <x:v>967</x:v>
      </x:c>
      <x:c r="O1090" s="30">
        <x:f t="shared" si="99"/>
        <x:v>12</x:v>
      </x:c>
      <x:c r="P1090" s="30">
        <x:f t="shared" si="101"/>
        <x:v>1</x:v>
      </x:c>
      <x:c r="Q1090" s="30">
        <x:f>COUNTIF($P$3:P1090,"=3")</x:f>
        <x:v>121</x:v>
      </x:c>
      <x:c r="R1090" s="29">
        <x:f>WORKDAY(기본입력!$H$2,Q1090-1,공휴일)</x:f>
        <x:v>46105</x:v>
      </x:c>
    </x:row>
    <x:row r="1091" spans="1:18">
      <x:c r="A1091" s="144" t="str">
        <x:f t="shared" si="100"/>
        <x:v>20260324</x:v>
      </x:c>
      <x:c r="B1091" s="17" t="s">
        <x:v>5</x:v>
      </x:c>
      <x:c r="C1091" s="17">
        <x:v>1740</x:v>
      </x:c>
      <x:c r="D1091" s="18"/>
      <x:c r="E1091" s="17">
        <x:v>1640</x:v>
      </x:c>
      <x:c r="F1091" s="17" t="s">
        <x:v>40</x:v>
      </x:c>
      <x:c r="G1091" s="19" t="str">
        <x:f>IF(OR(N1091="",N1091&gt;기본입력!$C$34),"",VLOOKUP(O1091,기본입력!$A$9:$F$33,5))</x:f>
        <x:v>양현수_53778</x:v>
      </x:c>
      <x:c r="H1091" s="19" t="str">
        <x:f>IF(OR(N1091="",N1091&gt;기본입력!$C$34),"",기본입력!$C$6)</x:f>
        <x:v>1교육실(실습겸용강의실)_243089</x:v>
      </x:c>
      <x:c r="I1091" s="19" t="str">
        <x:f>IF(OR(O1091="",N1091&gt;기본입력!$C$34),"",VLOOKUP(O1091,기본입력!$A$9:$F$33,6,FALSE))</x:f>
        <x:v>취업특강 및 모의면접__11</x:v>
      </x:c>
      <x:c r="J1091" s="38" t="str">
        <x:f>IF(F1091="2","",LEFT(I1091,FIND("_",I1091,2)-1))</x:f>
        <x:v>취업특강 및 모의면접</x:v>
      </x:c>
      <x:c r="K1091" s="38" t="str">
        <x:f>IF(F1091="2","",LEFT(H1091,FIND("_",H1091,2)-1))</x:f>
        <x:v>1교육실(실습겸용강의실)</x:v>
      </x:c>
      <x:c r="L1091" s="38" t="str">
        <x:f>IF(F1091="2","",LEFT(G1091,FIND("_",G1091,2)-1))</x:f>
        <x:v>양현수</x:v>
      </x:c>
      <x:c r="M1091" s="63"/>
      <x:c r="N1091" s="30">
        <x:f>IF(F1091="2","",COUNTIF($F$3:$F1091,"=1"))</x:f>
        <x:v>968</x:v>
      </x:c>
      <x:c r="O1091" s="30">
        <x:f>IF(F1091="2","",IF(N1091&lt;=누적시수1,1,IF(N1091&lt;=누적시수2,2,IF(N1091&lt;=누적시수3,3,IF(N1091&lt;=누적시수4,4,IF(N1091&lt;=누적시수5,5,IF(N1091&lt;=누적시수6,6,IF(N1091&lt;=누적시수7,7,IF(N1091&lt;=누적시수8,8,IF(N1091&lt;=누적시수9,9,IF(N1091&lt;=누적시수10,10,IF(N1091&lt;=누적시수11,11,IF(N1091&lt;=누적시수12,12,IF(N1091&lt;=누적시수13,13,IF(N1091&lt;=누적시수14,14,IF(N1091&lt;=누적시수15,15,IF(N1091&lt;=누적시수16,16,IF(N1091&lt;=누적시수17,17,IF(N1091&lt;=누적시수18,18,IF(N1091&lt;=누적시수19,19,IF(N1091&lt;=누적시수20,20,IF(N1091&lt;=누적시수21,21,IF(N1091&lt;=누적시수22,22,IF(N1091&lt;=누적시수23,23,IF(N1091&lt;=누적시수24,24,IF(N1091&lt;=누적시수25,25,0))))))))))))))))))))))))))</x:f>
        <x:v>12</x:v>
      </x:c>
      <x:c r="P1091" s="30">
        <x:f t="shared" si="101"/>
        <x:v>2</x:v>
      </x:c>
      <x:c r="Q1091" s="30">
        <x:f>COUNTIF($P$3:P1091,"=3")</x:f>
        <x:v>121</x:v>
      </x:c>
      <x:c r="R1091" s="29">
        <x:f>WORKDAY(기본입력!$H$2,Q1091-1,공휴일)</x:f>
        <x:v>46105</x:v>
      </x:c>
    </x:row>
    <x:row r="1092" spans="1:18">
      <x:c r="A1092" s="145" t="str">
        <x:f t="shared" si="100"/>
        <x:v>20260325</x:v>
      </x:c>
      <x:c r="B1092" s="20" t="s">
        <x:v>5</x:v>
      </x:c>
      <x:c r="C1092" s="20">
        <x:v>1740</x:v>
      </x:c>
      <x:c r="D1092" s="21" t="s">
        <x:v>1</x:v>
      </x:c>
      <x:c r="E1092" s="20" t="s">
        <x:v>5</x:v>
      </x:c>
      <x:c r="F1092" s="20" t="s">
        <x:v>40</x:v>
      </x:c>
      <x:c r="G1092" s="22" t="str">
        <x:f>IF(OR(N1092="",N1092&gt;기본입력!$C$34),"",VLOOKUP(O1092,기본입력!$A$9:$F$33,5))</x:f>
        <x:v>양현수_53778</x:v>
      </x:c>
      <x:c r="H1092" s="22" t="str">
        <x:f>IF(OR(N1092="",N1092&gt;기본입력!$C$34),"",기본입력!$C$6)</x:f>
        <x:v>1교육실(실습겸용강의실)_243089</x:v>
      </x:c>
      <x:c r="I1092" s="22" t="str">
        <x:f>IF(OR(O1092="",N1092&gt;기본입력!$C$34),"",VLOOKUP(O1092,기본입력!$A$9:$F$33,6,FALSE))</x:f>
        <x:v>취업특강 및 모의면접__11</x:v>
      </x:c>
      <x:c r="J1092" s="38" t="str">
        <x:f t="shared" si="102"/>
        <x:v>취업특강 및 모의면접</x:v>
      </x:c>
      <x:c r="K1092" s="38" t="str">
        <x:f t="shared" si="103"/>
        <x:v>1교육실(실습겸용강의실)</x:v>
      </x:c>
      <x:c r="L1092" s="38" t="str">
        <x:f t="shared" si="104"/>
        <x:v>양현수</x:v>
      </x:c>
      <x:c r="M1092" s="63"/>
      <x:c r="N1092" s="30">
        <x:f>IF(F1092="2","",COUNTIF($F$3:$F1092,"=1"))</x:f>
        <x:v>969</x:v>
      </x:c>
      <x:c r="O1092" s="30">
        <x:f t="shared" si="99"/>
        <x:v>12</x:v>
      </x:c>
      <x:c r="P1092" s="30">
        <x:f t="shared" si="101"/>
        <x:v>3</x:v>
      </x:c>
      <x:c r="Q1092" s="30">
        <x:f>COUNTIF($P$3:P1092,"=3")</x:f>
        <x:v>122</x:v>
      </x:c>
      <x:c r="R1092" s="29">
        <x:f>WORKDAY(기본입력!$H$2,Q1092-1,공휴일)</x:f>
        <x:v>46106</x:v>
      </x:c>
    </x:row>
    <x:row r="1093" spans="1:18">
      <x:c r="A1093" s="145" t="str">
        <x:f t="shared" si="100"/>
        <x:v>20260325</x:v>
      </x:c>
      <x:c r="B1093" s="20" t="s">
        <x:v>5</x:v>
      </x:c>
      <x:c r="C1093" s="20">
        <x:v>1740</x:v>
      </x:c>
      <x:c r="D1093" s="21" t="s">
        <x:v>1</x:v>
      </x:c>
      <x:c r="E1093" s="20" t="s">
        <x:v>117</x:v>
      </x:c>
      <x:c r="F1093" s="20" t="s">
        <x:v>40</x:v>
      </x:c>
      <x:c r="G1093" s="22" t="str">
        <x:f>IF(OR(N1093="",N1093&gt;기본입력!$C$34),"",VLOOKUP(O1093,기본입력!$A$9:$F$33,5))</x:f>
        <x:v>양현수_53778</x:v>
      </x:c>
      <x:c r="H1093" s="22" t="str">
        <x:f>IF(OR(N1093="",N1093&gt;기본입력!$C$34),"",기본입력!$C$6)</x:f>
        <x:v>1교육실(실습겸용강의실)_243089</x:v>
      </x:c>
      <x:c r="I1093" s="22" t="str">
        <x:f>IF(OR(O1093="",N1093&gt;기본입력!$C$34),"",VLOOKUP(O1093,기본입력!$A$9:$F$33,6,FALSE))</x:f>
        <x:v>취업특강 및 모의면접__11</x:v>
      </x:c>
      <x:c r="J1093" s="38" t="str">
        <x:f t="shared" si="102"/>
        <x:v>취업특강 및 모의면접</x:v>
      </x:c>
      <x:c r="K1093" s="38" t="str">
        <x:f t="shared" si="103"/>
        <x:v>1교육실(실습겸용강의실)</x:v>
      </x:c>
      <x:c r="L1093" s="38" t="str">
        <x:f t="shared" si="104"/>
        <x:v>양현수</x:v>
      </x:c>
      <x:c r="M1093" s="63"/>
      <x:c r="N1093" s="30">
        <x:f>IF(F1093="2","",COUNTIF($F$3:$F1093,"=1"))</x:f>
        <x:v>970</x:v>
      </x:c>
      <x:c r="O1093" s="30">
        <x:f t="shared" si="99"/>
        <x:v>12</x:v>
      </x:c>
      <x:c r="P1093" s="30">
        <x:f t="shared" si="101"/>
        <x:v>4</x:v>
      </x:c>
      <x:c r="Q1093" s="30">
        <x:f>COUNTIF($P$3:P1093,"=3")</x:f>
        <x:v>122</x:v>
      </x:c>
      <x:c r="R1093" s="29">
        <x:f>WORKDAY(기본입력!$H$2,Q1093-1,공휴일)</x:f>
        <x:v>46106</x:v>
      </x:c>
    </x:row>
    <x:row r="1094" spans="1:18">
      <x:c r="A1094" s="145" t="str">
        <x:f t="shared" si="100"/>
        <x:v>20260325</x:v>
      </x:c>
      <x:c r="B1094" s="20" t="s">
        <x:v>5</x:v>
      </x:c>
      <x:c r="C1094" s="20">
        <x:v>1740</x:v>
      </x:c>
      <x:c r="D1094" s="21" t="s">
        <x:v>1</x:v>
      </x:c>
      <x:c r="E1094" s="20" t="s">
        <x:v>87</x:v>
      </x:c>
      <x:c r="F1094" s="20" t="s">
        <x:v>40</x:v>
      </x:c>
      <x:c r="G1094" s="22" t="str">
        <x:f>IF(OR(N1094="",N1094&gt;기본입력!$C$34),"",VLOOKUP(O1094,기본입력!$A$9:$F$33,5))</x:f>
        <x:v>양현수_53778</x:v>
      </x:c>
      <x:c r="H1094" s="22" t="str">
        <x:f>IF(OR(N1094="",N1094&gt;기본입력!$C$34),"",기본입력!$C$6)</x:f>
        <x:v>1교육실(실습겸용강의실)_243089</x:v>
      </x:c>
      <x:c r="I1094" s="22" t="str">
        <x:f>IF(OR(O1094="",N1094&gt;기본입력!$C$34),"",VLOOKUP(O1094,기본입력!$A$9:$F$33,6,FALSE))</x:f>
        <x:v>취업특강 및 모의면접__11</x:v>
      </x:c>
      <x:c r="J1094" s="38" t="str">
        <x:f t="shared" si="102"/>
        <x:v>취업특강 및 모의면접</x:v>
      </x:c>
      <x:c r="K1094" s="38" t="str">
        <x:f t="shared" si="103"/>
        <x:v>1교육실(실습겸용강의실)</x:v>
      </x:c>
      <x:c r="L1094" s="38" t="str">
        <x:f t="shared" si="104"/>
        <x:v>양현수</x:v>
      </x:c>
      <x:c r="M1094" s="63"/>
      <x:c r="N1094" s="30">
        <x:f>IF(F1094="2","",COUNTIF($F$3:$F1094,"=1"))</x:f>
        <x:v>971</x:v>
      </x:c>
      <x:c r="O1094" s="30">
        <x:f t="shared" si="99"/>
        <x:v>12</x:v>
      </x:c>
      <x:c r="P1094" s="30">
        <x:f t="shared" si="101"/>
        <x:v>5</x:v>
      </x:c>
      <x:c r="Q1094" s="30">
        <x:f>COUNTIF($P$3:P1094,"=3")</x:f>
        <x:v>122</x:v>
      </x:c>
      <x:c r="R1094" s="29">
        <x:f>WORKDAY(기본입력!$H$2,Q1094-1,공휴일)</x:f>
        <x:v>46106</x:v>
      </x:c>
    </x:row>
    <x:row r="1095" spans="1:18">
      <x:c r="A1095" s="145" t="str">
        <x:f t="shared" si="100"/>
        <x:v>20260325</x:v>
      </x:c>
      <x:c r="B1095" s="20" t="s">
        <x:v>5</x:v>
      </x:c>
      <x:c r="C1095" s="20">
        <x:v>1740</x:v>
      </x:c>
      <x:c r="D1095" s="21" t="s">
        <x:v>1</x:v>
      </x:c>
      <x:c r="E1095" s="20" t="s">
        <x:v>88</x:v>
      </x:c>
      <x:c r="F1095" s="20" t="s">
        <x:v>40</x:v>
      </x:c>
      <x:c r="G1095" s="22" t="str">
        <x:f>IF(OR(N1095="",N1095&gt;기본입력!$C$34),"",VLOOKUP(O1095,기본입력!$A$9:$F$33,5))</x:f>
        <x:v>양현수_53778</x:v>
      </x:c>
      <x:c r="H1095" s="22" t="str">
        <x:f>IF(OR(N1095="",N1095&gt;기본입력!$C$34),"",기본입력!$C$6)</x:f>
        <x:v>1교육실(실습겸용강의실)_243089</x:v>
      </x:c>
      <x:c r="I1095" s="22" t="str">
        <x:f>IF(OR(O1095="",N1095&gt;기본입력!$C$34),"",VLOOKUP(O1095,기본입력!$A$9:$F$33,6,FALSE))</x:f>
        <x:v>취업특강 및 모의면접__11</x:v>
      </x:c>
      <x:c r="J1095" s="38" t="str">
        <x:f t="shared" si="102"/>
        <x:v>취업특강 및 모의면접</x:v>
      </x:c>
      <x:c r="K1095" s="38" t="str">
        <x:f t="shared" si="103"/>
        <x:v>1교육실(실습겸용강의실)</x:v>
      </x:c>
      <x:c r="L1095" s="38" t="str">
        <x:f t="shared" si="104"/>
        <x:v>양현수</x:v>
      </x:c>
      <x:c r="M1095" s="63"/>
      <x:c r="N1095" s="30">
        <x:f>IF(F1095="2","",COUNTIF($F$3:$F1095,"=1"))</x:f>
        <x:v>972</x:v>
      </x:c>
      <x:c r="O1095" s="30">
        <x:f t="shared" si="99"/>
        <x:v>12</x:v>
      </x:c>
      <x:c r="P1095" s="30">
        <x:f t="shared" si="101"/>
        <x:v>6</x:v>
      </x:c>
      <x:c r="Q1095" s="30">
        <x:f>COUNTIF($P$3:P1095,"=3")</x:f>
        <x:v>122</x:v>
      </x:c>
      <x:c r="R1095" s="29">
        <x:f>WORKDAY(기본입력!$H$2,Q1095-1,공휴일)</x:f>
        <x:v>46106</x:v>
      </x:c>
    </x:row>
    <x:row r="1096" spans="1:18">
      <x:c r="A1096" s="145" t="str">
        <x:f t="shared" si="100"/>
        <x:v>20260325</x:v>
      </x:c>
      <x:c r="B1096" s="20" t="s">
        <x:v>5</x:v>
      </x:c>
      <x:c r="C1096" s="20">
        <x:v>1740</x:v>
      </x:c>
      <x:c r="D1096" s="21" t="s">
        <x:v>1</x:v>
      </x:c>
      <x:c r="E1096" s="20" t="s">
        <x:v>0</x:v>
      </x:c>
      <x:c r="F1096" s="20" t="s">
        <x:v>41</x:v>
      </x:c>
      <x:c r="G1096" s="22" t="str">
        <x:f>IF(OR(N1096="",N1096&gt;기본입력!$C$34),"",VLOOKUP(O1096,기본입력!$A$9:$F$33,5))</x:f>
        <x:v/>
      </x:c>
      <x:c r="H1096" s="22" t="str">
        <x:f>IF(OR(N1096="",N1096&gt;기본입력!$C$34),"",기본입력!$C$6)</x:f>
        <x:v/>
      </x:c>
      <x:c r="I1096" s="22" t="str">
        <x:f>IF(OR(O1096="",N1096&gt;기본입력!$C$34),"",VLOOKUP(O1096,기본입력!$A$9:$F$33,6,FALSE))</x:f>
        <x:v/>
      </x:c>
      <x:c r="J1096" s="38" t="str">
        <x:f t="shared" si="102"/>
        <x:v/>
      </x:c>
      <x:c r="K1096" s="38" t="str">
        <x:f t="shared" si="103"/>
        <x:v/>
      </x:c>
      <x:c r="L1096" s="38" t="str">
        <x:f t="shared" si="104"/>
        <x:v/>
      </x:c>
      <x:c r="M1096" s="63"/>
      <x:c r="N1096" s="30" t="str">
        <x:f>IF(F1096="2","",COUNTIF($F$3:$F1096,"=1"))</x:f>
        <x:v/>
      </x:c>
      <x:c r="O1096" s="30" t="str">
        <x:f t="shared" si="99"/>
        <x:v/>
      </x:c>
      <x:c r="P1096" s="30">
        <x:f t="shared" si="101"/>
        <x:v>7</x:v>
      </x:c>
      <x:c r="Q1096" s="30">
        <x:f>COUNTIF($P$3:P1096,"=3")</x:f>
        <x:v>122</x:v>
      </x:c>
      <x:c r="R1096" s="29">
        <x:f>WORKDAY(기본입력!$H$2,Q1096-1,공휴일)</x:f>
        <x:v>46106</x:v>
      </x:c>
    </x:row>
    <x:row r="1097" spans="1:18">
      <x:c r="A1097" s="145" t="str">
        <x:f t="shared" si="100"/>
        <x:v>20260325</x:v>
      </x:c>
      <x:c r="B1097" s="20" t="s">
        <x:v>5</x:v>
      </x:c>
      <x:c r="C1097" s="20">
        <x:v>1740</x:v>
      </x:c>
      <x:c r="D1097" s="21" t="s">
        <x:v>1</x:v>
      </x:c>
      <x:c r="E1097" s="20">
        <x:v>1340</x:v>
      </x:c>
      <x:c r="F1097" s="20" t="s">
        <x:v>40</x:v>
      </x:c>
      <x:c r="G1097" s="22" t="str">
        <x:f>IF(OR(N1097="",N1097&gt;기본입력!$C$34),"",VLOOKUP(O1097,기본입력!$A$9:$F$33,5))</x:f>
        <x:v>양현수_53778</x:v>
      </x:c>
      <x:c r="H1097" s="22" t="str">
        <x:f>IF(OR(N1097="",N1097&gt;기본입력!$C$34),"",기본입력!$C$6)</x:f>
        <x:v>1교육실(실습겸용강의실)_243089</x:v>
      </x:c>
      <x:c r="I1097" s="22" t="str">
        <x:f>IF(OR(O1097="",N1097&gt;기본입력!$C$34),"",VLOOKUP(O1097,기본입력!$A$9:$F$33,6,FALSE))</x:f>
        <x:v>산업체특강 , 프로젝트 발표(시연), 수료식__12</x:v>
      </x:c>
      <x:c r="J1097" s="38" t="str">
        <x:f t="shared" si="102"/>
        <x:v>산업체특강 , 프로젝트 발표(시연), 수료식</x:v>
      </x:c>
      <x:c r="K1097" s="38" t="str">
        <x:f t="shared" si="103"/>
        <x:v>1교육실(실습겸용강의실)</x:v>
      </x:c>
      <x:c r="L1097" s="38" t="str">
        <x:f t="shared" si="104"/>
        <x:v>양현수</x:v>
      </x:c>
      <x:c r="M1097" s="63"/>
      <x:c r="N1097" s="30">
        <x:f>IF(F1097="2","",COUNTIF($F$3:$F1097,"=1"))</x:f>
        <x:v>973</x:v>
      </x:c>
      <x:c r="O1097" s="30">
        <x:f t="shared" si="99"/>
        <x:v>13</x:v>
      </x:c>
      <x:c r="P1097" s="30">
        <x:f t="shared" si="101"/>
        <x:v>8</x:v>
      </x:c>
      <x:c r="Q1097" s="30">
        <x:f>COUNTIF($P$3:P1097,"=3")</x:f>
        <x:v>122</x:v>
      </x:c>
      <x:c r="R1097" s="29">
        <x:f>WORKDAY(기본입력!$H$2,Q1097-1,공휴일)</x:f>
        <x:v>46106</x:v>
      </x:c>
    </x:row>
    <x:row r="1098" spans="1:18">
      <x:c r="A1098" s="145" t="str">
        <x:f t="shared" si="100"/>
        <x:v>20260325</x:v>
      </x:c>
      <x:c r="B1098" s="20" t="s">
        <x:v>5</x:v>
      </x:c>
      <x:c r="C1098" s="20">
        <x:v>1740</x:v>
      </x:c>
      <x:c r="D1098" s="21" t="s">
        <x:v>1</x:v>
      </x:c>
      <x:c r="E1098" s="20">
        <x:v>1440</x:v>
      </x:c>
      <x:c r="F1098" s="20" t="s">
        <x:v>40</x:v>
      </x:c>
      <x:c r="G1098" s="22" t="str">
        <x:f>IF(OR(N1098="",N1098&gt;기본입력!$C$34),"",VLOOKUP(O1098,기본입력!$A$9:$F$33,5))</x:f>
        <x:v>양현수_53778</x:v>
      </x:c>
      <x:c r="H1098" s="22" t="str">
        <x:f>IF(OR(N1098="",N1098&gt;기본입력!$C$34),"",기본입력!$C$6)</x:f>
        <x:v>1교육실(실습겸용강의실)_243089</x:v>
      </x:c>
      <x:c r="I1098" s="22" t="str">
        <x:f>IF(OR(O1098="",N1098&gt;기본입력!$C$34),"",VLOOKUP(O1098,기본입력!$A$9:$F$33,6,FALSE))</x:f>
        <x:v>산업체특강 , 프로젝트 발표(시연), 수료식__12</x:v>
      </x:c>
      <x:c r="J1098" s="38" t="str">
        <x:f t="shared" si="102"/>
        <x:v>산업체특강 , 프로젝트 발표(시연), 수료식</x:v>
      </x:c>
      <x:c r="K1098" s="38" t="str">
        <x:f t="shared" si="103"/>
        <x:v>1교육실(실습겸용강의실)</x:v>
      </x:c>
      <x:c r="L1098" s="38" t="str">
        <x:f t="shared" si="104"/>
        <x:v>양현수</x:v>
      </x:c>
      <x:c r="M1098" s="63"/>
      <x:c r="N1098" s="30">
        <x:f>IF(F1098="2","",COUNTIF($F$3:$F1098,"=1"))</x:f>
        <x:v>974</x:v>
      </x:c>
      <x:c r="O1098" s="30">
        <x:f t="shared" ref="O1098:O1165" si="105">IF(F1098="2","",IF(N1098&lt;=누적시수1,1,IF(N1098&lt;=누적시수2,2,IF(N1098&lt;=누적시수3,3,IF(N1098&lt;=누적시수4,4,IF(N1098&lt;=누적시수5,5,IF(N1098&lt;=누적시수6,6,IF(N1098&lt;=누적시수7,7,IF(N1098&lt;=누적시수8,8,IF(N1098&lt;=누적시수9,9,IF(N1098&lt;=누적시수10,10,IF(N1098&lt;=누적시수11,11,IF(N1098&lt;=누적시수12,12,IF(N1098&lt;=누적시수13,13,IF(N1098&lt;=누적시수14,14,IF(N1098&lt;=누적시수15,15,IF(N1098&lt;=누적시수16,16,IF(N1098&lt;=누적시수17,17,IF(N1098&lt;=누적시수18,18,IF(N1098&lt;=누적시수19,19,IF(N1098&lt;=누적시수20,20,IF(N1098&lt;=누적시수21,21,IF(N1098&lt;=누적시수22,22,IF(N1098&lt;=누적시수23,23,IF(N1098&lt;=누적시수24,24,IF(N1098&lt;=누적시수25,25,0))))))))))))))))))))))))))</x:f>
        <x:v>13</x:v>
      </x:c>
      <x:c r="P1098" s="30">
        <x:f t="shared" si="101"/>
        <x:v>0</x:v>
      </x:c>
      <x:c r="Q1098" s="30">
        <x:f>COUNTIF($P$3:P1098,"=3")</x:f>
        <x:v>122</x:v>
      </x:c>
      <x:c r="R1098" s="29">
        <x:f>WORKDAY(기본입력!$H$2,Q1098-1,공휴일)</x:f>
        <x:v>46106</x:v>
      </x:c>
    </x:row>
    <x:row r="1099" spans="1:18">
      <x:c r="A1099" s="145" t="str">
        <x:f t="shared" ref="A1099:A1166" si="106">TEXT(R1099,"yyyymmdd")</x:f>
        <x:v>20260325</x:v>
      </x:c>
      <x:c r="B1099" s="20" t="s">
        <x:v>5</x:v>
      </x:c>
      <x:c r="C1099" s="20">
        <x:v>1740</x:v>
      </x:c>
      <x:c r="D1099" s="21" t="s">
        <x:v>1</x:v>
      </x:c>
      <x:c r="E1099" s="20">
        <x:v>1540</x:v>
      </x:c>
      <x:c r="F1099" s="20" t="s">
        <x:v>40</x:v>
      </x:c>
      <x:c r="G1099" s="22" t="str">
        <x:f>IF(OR(N1099="",N1099&gt;기본입력!$C$34),"",VLOOKUP(O1099,기본입력!$A$9:$F$33,5))</x:f>
        <x:v>양현수_53778</x:v>
      </x:c>
      <x:c r="H1099" s="22" t="str">
        <x:f>IF(OR(N1099="",N1099&gt;기본입력!$C$34),"",기본입력!$C$6)</x:f>
        <x:v>1교육실(실습겸용강의실)_243089</x:v>
      </x:c>
      <x:c r="I1099" s="22" t="str">
        <x:f>IF(OR(O1099="",N1099&gt;기본입력!$C$34),"",VLOOKUP(O1099,기본입력!$A$9:$F$33,6,FALSE))</x:f>
        <x:v>산업체특강 , 프로젝트 발표(시연), 수료식__12</x:v>
      </x:c>
      <x:c r="J1099" s="38" t="str">
        <x:f t="shared" si="102"/>
        <x:v>산업체특강 , 프로젝트 발표(시연), 수료식</x:v>
      </x:c>
      <x:c r="K1099" s="38" t="str">
        <x:f t="shared" si="103"/>
        <x:v>1교육실(실습겸용강의실)</x:v>
      </x:c>
      <x:c r="L1099" s="38" t="str">
        <x:f t="shared" si="104"/>
        <x:v>양현수</x:v>
      </x:c>
      <x:c r="M1099" s="63"/>
      <x:c r="N1099" s="30">
        <x:f>IF(F1099="2","",COUNTIF($F$3:$F1099,"=1"))</x:f>
        <x:v>975</x:v>
      </x:c>
      <x:c r="O1099" s="30">
        <x:f t="shared" si="105"/>
        <x:v>13</x:v>
      </x:c>
      <x:c r="P1099" s="30">
        <x:f t="shared" ref="P1099:P1166" si="107">MOD(ROW(),9)</x:f>
        <x:v>1</x:v>
      </x:c>
      <x:c r="Q1099" s="30">
        <x:f>COUNTIF($P$3:P1099,"=3")</x:f>
        <x:v>122</x:v>
      </x:c>
      <x:c r="R1099" s="29">
        <x:f>WORKDAY(기본입력!$H$2,Q1099-1,공휴일)</x:f>
        <x:v>46106</x:v>
      </x:c>
    </x:row>
    <x:row r="1100" spans="1:18">
      <x:c r="A1100" s="145" t="str">
        <x:f t="shared" si="106"/>
        <x:v>20260325</x:v>
      </x:c>
      <x:c r="B1100" s="20" t="s">
        <x:v>5</x:v>
      </x:c>
      <x:c r="C1100" s="20">
        <x:v>1740</x:v>
      </x:c>
      <x:c r="D1100" s="21" t="s">
        <x:v>1</x:v>
      </x:c>
      <x:c r="E1100" s="20">
        <x:v>1640</x:v>
      </x:c>
      <x:c r="F1100" s="20" t="s">
        <x:v>40</x:v>
      </x:c>
      <x:c r="G1100" s="22" t="str">
        <x:f>IF(OR(N1100="",N1100&gt;기본입력!$C$34),"",VLOOKUP(O1100,기본입력!$A$9:$F$33,5))</x:f>
        <x:v>양현수_53778</x:v>
      </x:c>
      <x:c r="H1100" s="22" t="str">
        <x:f>IF(OR(N1100="",N1100&gt;기본입력!$C$34),"",기본입력!$C$6)</x:f>
        <x:v>1교육실(실습겸용강의실)_243089</x:v>
      </x:c>
      <x:c r="I1100" s="22" t="str">
        <x:f>IF(OR(O1100="",N1100&gt;기본입력!$C$34),"",VLOOKUP(O1100,기본입력!$A$9:$F$33,6,FALSE))</x:f>
        <x:v>산업체특강 , 프로젝트 발표(시연), 수료식__12</x:v>
      </x:c>
      <x:c r="J1100" s="38" t="str">
        <x:f t="shared" si="102"/>
        <x:v>산업체특강 , 프로젝트 발표(시연), 수료식</x:v>
      </x:c>
      <x:c r="K1100" s="38" t="str">
        <x:f t="shared" si="103"/>
        <x:v>1교육실(실습겸용강의실)</x:v>
      </x:c>
      <x:c r="L1100" s="38" t="str">
        <x:f t="shared" si="104"/>
        <x:v>양현수</x:v>
      </x:c>
      <x:c r="M1100" s="63"/>
      <x:c r="N1100" s="30">
        <x:f>IF(F1100="2","",COUNTIF($F$3:$F1100,"=1"))</x:f>
        <x:v>976</x:v>
      </x:c>
      <x:c r="O1100" s="30">
        <x:f t="shared" si="105"/>
        <x:v>13</x:v>
      </x:c>
      <x:c r="P1100" s="30">
        <x:f t="shared" si="107"/>
        <x:v>2</x:v>
      </x:c>
      <x:c r="Q1100" s="30">
        <x:f>COUNTIF($P$3:P1100,"=3")</x:f>
        <x:v>122</x:v>
      </x:c>
      <x:c r="R1100" s="29">
        <x:f>WORKDAY(기본입력!$H$2,Q1100-1,공휴일)</x:f>
        <x:v>46106</x:v>
      </x:c>
    </x:row>
    <x:row r="1101" spans="1:18">
      <x:c r="A1101" s="144" t="str">
        <x:f t="shared" si="106"/>
        <x:v>20260326</x:v>
      </x:c>
      <x:c r="B1101" s="17" t="s">
        <x:v>5</x:v>
      </x:c>
      <x:c r="C1101" s="17">
        <x:v>1740</x:v>
      </x:c>
      <x:c r="D1101" s="18" t="s">
        <x:v>1</x:v>
      </x:c>
      <x:c r="E1101" s="17" t="s">
        <x:v>5</x:v>
      </x:c>
      <x:c r="F1101" s="17" t="s">
        <x:v>40</x:v>
      </x:c>
      <x:c r="G1101" s="19" t="str">
        <x:f>IF(OR(N1101="",N1101&gt;기본입력!$C$34),"",VLOOKUP(O1101,기본입력!$A$9:$F$33,5))</x:f>
        <x:v/>
      </x:c>
      <x:c r="H1101" s="19" t="str">
        <x:f>IF(OR(N1101="",N1101&gt;기본입력!$C$34),"",기본입력!$C$6)</x:f>
        <x:v/>
      </x:c>
      <x:c r="I1101" s="19" t="str">
        <x:f>IF(OR(O1101="",N1101&gt;기본입력!$C$34),"",VLOOKUP(O1101,기본입력!$A$9:$F$33,6,FALSE))</x:f>
        <x:v/>
      </x:c>
      <x:c r="J1101" s="38" t="e">
        <x:f t="shared" si="102"/>
        <x:v>#VALUE!</x:v>
      </x:c>
      <x:c r="K1101" s="38" t="e">
        <x:f t="shared" si="103"/>
        <x:v>#VALUE!</x:v>
      </x:c>
      <x:c r="L1101" s="38" t="e">
        <x:f t="shared" si="104"/>
        <x:v>#VALUE!</x:v>
      </x:c>
      <x:c r="M1101" s="63"/>
      <x:c r="N1101" s="30">
        <x:f>IF(F1101="2","",COUNTIF($F$3:$F1101,"=1"))</x:f>
        <x:v>977</x:v>
      </x:c>
      <x:c r="O1101" s="30">
        <x:f t="shared" si="105"/>
        <x:v>14</x:v>
      </x:c>
      <x:c r="P1101" s="30">
        <x:f t="shared" si="107"/>
        <x:v>3</x:v>
      </x:c>
      <x:c r="Q1101" s="30">
        <x:f>COUNTIF($P$3:P1101,"=3")</x:f>
        <x:v>123</x:v>
      </x:c>
      <x:c r="R1101" s="29">
        <x:f>WORKDAY(기본입력!$H$2,Q1101-1,공휴일)</x:f>
        <x:v>46107</x:v>
      </x:c>
    </x:row>
    <x:row r="1102" spans="1:18">
      <x:c r="A1102" s="144" t="str">
        <x:f t="shared" si="106"/>
        <x:v>20260326</x:v>
      </x:c>
      <x:c r="B1102" s="17" t="s">
        <x:v>5</x:v>
      </x:c>
      <x:c r="C1102" s="17">
        <x:v>1740</x:v>
      </x:c>
      <x:c r="D1102" s="18" t="s">
        <x:v>1</x:v>
      </x:c>
      <x:c r="E1102" s="17" t="s">
        <x:v>117</x:v>
      </x:c>
      <x:c r="F1102" s="17" t="s">
        <x:v>40</x:v>
      </x:c>
      <x:c r="G1102" s="19" t="str">
        <x:f>IF(OR(N1102="",N1102&gt;기본입력!$C$34),"",VLOOKUP(O1102,기본입력!$A$9:$F$33,5))</x:f>
        <x:v/>
      </x:c>
      <x:c r="H1102" s="19" t="str">
        <x:f>IF(OR(N1102="",N1102&gt;기본입력!$C$34),"",기본입력!$C$6)</x:f>
        <x:v/>
      </x:c>
      <x:c r="I1102" s="19" t="str">
        <x:f>IF(OR(O1102="",N1102&gt;기본입력!$C$34),"",VLOOKUP(O1102,기본입력!$A$9:$F$33,6,FALSE))</x:f>
        <x:v/>
      </x:c>
      <x:c r="J1102" s="38" t="e">
        <x:f t="shared" si="102"/>
        <x:v>#VALUE!</x:v>
      </x:c>
      <x:c r="K1102" s="38" t="e">
        <x:f t="shared" si="103"/>
        <x:v>#VALUE!</x:v>
      </x:c>
      <x:c r="L1102" s="38" t="e">
        <x:f t="shared" si="104"/>
        <x:v>#VALUE!</x:v>
      </x:c>
      <x:c r="M1102" s="63"/>
      <x:c r="N1102" s="30">
        <x:f>IF(F1102="2","",COUNTIF($F$3:$F1102,"=1"))</x:f>
        <x:v>978</x:v>
      </x:c>
      <x:c r="O1102" s="30">
        <x:f t="shared" si="105"/>
        <x:v>14</x:v>
      </x:c>
      <x:c r="P1102" s="30">
        <x:f t="shared" si="107"/>
        <x:v>4</x:v>
      </x:c>
      <x:c r="Q1102" s="30">
        <x:f>COUNTIF($P$3:P1102,"=3")</x:f>
        <x:v>123</x:v>
      </x:c>
      <x:c r="R1102" s="29">
        <x:f>WORKDAY(기본입력!$H$2,Q1102-1,공휴일)</x:f>
        <x:v>46107</x:v>
      </x:c>
    </x:row>
    <x:row r="1103" spans="1:18">
      <x:c r="A1103" s="144" t="str">
        <x:f t="shared" si="106"/>
        <x:v>20260326</x:v>
      </x:c>
      <x:c r="B1103" s="17" t="s">
        <x:v>5</x:v>
      </x:c>
      <x:c r="C1103" s="17">
        <x:v>1740</x:v>
      </x:c>
      <x:c r="D1103" s="18" t="s">
        <x:v>1</x:v>
      </x:c>
      <x:c r="E1103" s="17" t="s">
        <x:v>87</x:v>
      </x:c>
      <x:c r="F1103" s="17" t="s">
        <x:v>40</x:v>
      </x:c>
      <x:c r="G1103" s="19" t="str">
        <x:f>IF(OR(N1103="",N1103&gt;기본입력!$C$34),"",VLOOKUP(O1103,기본입력!$A$9:$F$33,5))</x:f>
        <x:v/>
      </x:c>
      <x:c r="H1103" s="19" t="str">
        <x:f>IF(OR(N1103="",N1103&gt;기본입력!$C$34),"",기본입력!$C$6)</x:f>
        <x:v/>
      </x:c>
      <x:c r="I1103" s="19" t="str">
        <x:f>IF(OR(O1103="",N1103&gt;기본입력!$C$34),"",VLOOKUP(O1103,기본입력!$A$9:$F$33,6,FALSE))</x:f>
        <x:v/>
      </x:c>
      <x:c r="J1103" s="38" t="e">
        <x:f t="shared" si="102"/>
        <x:v>#VALUE!</x:v>
      </x:c>
      <x:c r="K1103" s="38" t="e">
        <x:f t="shared" si="103"/>
        <x:v>#VALUE!</x:v>
      </x:c>
      <x:c r="L1103" s="38" t="e">
        <x:f t="shared" si="104"/>
        <x:v>#VALUE!</x:v>
      </x:c>
      <x:c r="M1103" s="63"/>
      <x:c r="N1103" s="30">
        <x:f>IF(F1103="2","",COUNTIF($F$3:$F1103,"=1"))</x:f>
        <x:v>979</x:v>
      </x:c>
      <x:c r="O1103" s="30">
        <x:f t="shared" si="105"/>
        <x:v>14</x:v>
      </x:c>
      <x:c r="P1103" s="30">
        <x:f t="shared" si="107"/>
        <x:v>5</x:v>
      </x:c>
      <x:c r="Q1103" s="30">
        <x:f>COUNTIF($P$3:P1103,"=3")</x:f>
        <x:v>123</x:v>
      </x:c>
      <x:c r="R1103" s="29">
        <x:f>WORKDAY(기본입력!$H$2,Q1103-1,공휴일)</x:f>
        <x:v>46107</x:v>
      </x:c>
    </x:row>
    <x:row r="1104" spans="1:18">
      <x:c r="A1104" s="144" t="str">
        <x:f t="shared" si="106"/>
        <x:v>20260326</x:v>
      </x:c>
      <x:c r="B1104" s="17" t="s">
        <x:v>5</x:v>
      </x:c>
      <x:c r="C1104" s="17">
        <x:v>1740</x:v>
      </x:c>
      <x:c r="D1104" s="18" t="s">
        <x:v>1</x:v>
      </x:c>
      <x:c r="E1104" s="17" t="s">
        <x:v>88</x:v>
      </x:c>
      <x:c r="F1104" s="17" t="s">
        <x:v>40</x:v>
      </x:c>
      <x:c r="G1104" s="19" t="str">
        <x:f>IF(OR(N1104="",N1104&gt;기본입력!$C$34),"",VLOOKUP(O1104,기본입력!$A$9:$F$33,5))</x:f>
        <x:v/>
      </x:c>
      <x:c r="H1104" s="19" t="str">
        <x:f>IF(OR(N1104="",N1104&gt;기본입력!$C$34),"",기본입력!$C$6)</x:f>
        <x:v/>
      </x:c>
      <x:c r="I1104" s="19" t="str">
        <x:f>IF(OR(O1104="",N1104&gt;기본입력!$C$34),"",VLOOKUP(O1104,기본입력!$A$9:$F$33,6,FALSE))</x:f>
        <x:v/>
      </x:c>
      <x:c r="J1104" s="38" t="e">
        <x:f t="shared" si="102"/>
        <x:v>#VALUE!</x:v>
      </x:c>
      <x:c r="K1104" s="38" t="e">
        <x:f t="shared" si="103"/>
        <x:v>#VALUE!</x:v>
      </x:c>
      <x:c r="L1104" s="38" t="e">
        <x:f t="shared" si="104"/>
        <x:v>#VALUE!</x:v>
      </x:c>
      <x:c r="M1104" s="63"/>
      <x:c r="N1104" s="30">
        <x:f>IF(F1104="2","",COUNTIF($F$3:$F1104,"=1"))</x:f>
        <x:v>980</x:v>
      </x:c>
      <x:c r="O1104" s="30">
        <x:f t="shared" si="105"/>
        <x:v>14</x:v>
      </x:c>
      <x:c r="P1104" s="30">
        <x:f t="shared" si="107"/>
        <x:v>6</x:v>
      </x:c>
      <x:c r="Q1104" s="30">
        <x:f>COUNTIF($P$3:P1104,"=3")</x:f>
        <x:v>123</x:v>
      </x:c>
      <x:c r="R1104" s="29">
        <x:f>WORKDAY(기본입력!$H$2,Q1104-1,공휴일)</x:f>
        <x:v>46107</x:v>
      </x:c>
    </x:row>
    <x:row r="1105" spans="1:18">
      <x:c r="A1105" s="144" t="str">
        <x:f t="shared" si="106"/>
        <x:v>20260326</x:v>
      </x:c>
      <x:c r="B1105" s="17" t="s">
        <x:v>5</x:v>
      </x:c>
      <x:c r="C1105" s="17">
        <x:v>1740</x:v>
      </x:c>
      <x:c r="D1105" s="18" t="s">
        <x:v>1</x:v>
      </x:c>
      <x:c r="E1105" s="17" t="s">
        <x:v>0</x:v>
      </x:c>
      <x:c r="F1105" s="17" t="s">
        <x:v>41</x:v>
      </x:c>
      <x:c r="G1105" s="19" t="str">
        <x:f>IF(OR(N1105="",N1105&gt;기본입력!$C$34),"",VLOOKUP(O1105,기본입력!$A$9:$F$33,5))</x:f>
        <x:v/>
      </x:c>
      <x:c r="H1105" s="19" t="str">
        <x:f>IF(OR(N1105="",N1105&gt;기본입력!$C$34),"",기본입력!$C$6)</x:f>
        <x:v/>
      </x:c>
      <x:c r="I1105" s="19" t="str">
        <x:f>IF(OR(O1105="",N1105&gt;기본입력!$C$34),"",VLOOKUP(O1105,기본입력!$A$9:$F$33,6,FALSE))</x:f>
        <x:v/>
      </x:c>
      <x:c r="J1105" s="38" t="str">
        <x:f t="shared" si="102"/>
        <x:v/>
      </x:c>
      <x:c r="K1105" s="38" t="str">
        <x:f t="shared" si="103"/>
        <x:v/>
      </x:c>
      <x:c r="L1105" s="38" t="str">
        <x:f t="shared" si="104"/>
        <x:v/>
      </x:c>
      <x:c r="M1105" s="63"/>
      <x:c r="N1105" s="30" t="str">
        <x:f>IF(F1105="2","",COUNTIF($F$3:$F1105,"=1"))</x:f>
        <x:v/>
      </x:c>
      <x:c r="O1105" s="30" t="str">
        <x:f t="shared" si="105"/>
        <x:v/>
      </x:c>
      <x:c r="P1105" s="30">
        <x:f t="shared" si="107"/>
        <x:v>7</x:v>
      </x:c>
      <x:c r="Q1105" s="30">
        <x:f>COUNTIF($P$3:P1105,"=3")</x:f>
        <x:v>123</x:v>
      </x:c>
      <x:c r="R1105" s="29">
        <x:f>WORKDAY(기본입력!$H$2,Q1105-1,공휴일)</x:f>
        <x:v>46107</x:v>
      </x:c>
    </x:row>
    <x:row r="1106" spans="1:18">
      <x:c r="A1106" s="144" t="str">
        <x:f t="shared" si="106"/>
        <x:v>20260326</x:v>
      </x:c>
      <x:c r="B1106" s="17" t="s">
        <x:v>5</x:v>
      </x:c>
      <x:c r="C1106" s="17">
        <x:v>1740</x:v>
      </x:c>
      <x:c r="D1106" s="18" t="s">
        <x:v>1</x:v>
      </x:c>
      <x:c r="E1106" s="17">
        <x:v>1340</x:v>
      </x:c>
      <x:c r="F1106" s="17" t="s">
        <x:v>40</x:v>
      </x:c>
      <x:c r="G1106" s="19" t="str">
        <x:f>IF(OR(N1106="",N1106&gt;기본입력!$C$34),"",VLOOKUP(O1106,기본입력!$A$9:$F$33,5))</x:f>
        <x:v/>
      </x:c>
      <x:c r="H1106" s="19" t="str">
        <x:f>IF(OR(N1106="",N1106&gt;기본입력!$C$34),"",기본입력!$C$6)</x:f>
        <x:v/>
      </x:c>
      <x:c r="I1106" s="19" t="str">
        <x:f>IF(OR(O1106="",N1106&gt;기본입력!$C$34),"",VLOOKUP(O1106,기본입력!$A$9:$F$33,6,FALSE))</x:f>
        <x:v/>
      </x:c>
      <x:c r="J1106" s="38" t="e">
        <x:f t="shared" si="102"/>
        <x:v>#VALUE!</x:v>
      </x:c>
      <x:c r="K1106" s="38" t="e">
        <x:f t="shared" si="103"/>
        <x:v>#VALUE!</x:v>
      </x:c>
      <x:c r="L1106" s="38" t="e">
        <x:f t="shared" si="104"/>
        <x:v>#VALUE!</x:v>
      </x:c>
      <x:c r="M1106" s="63"/>
      <x:c r="N1106" s="30">
        <x:f>IF(F1106="2","",COUNTIF($F$3:$F1106,"=1"))</x:f>
        <x:v>981</x:v>
      </x:c>
      <x:c r="O1106" s="30">
        <x:f t="shared" si="105"/>
        <x:v>14</x:v>
      </x:c>
      <x:c r="P1106" s="30">
        <x:f t="shared" si="107"/>
        <x:v>8</x:v>
      </x:c>
      <x:c r="Q1106" s="30">
        <x:f>COUNTIF($P$3:P1106,"=3")</x:f>
        <x:v>123</x:v>
      </x:c>
      <x:c r="R1106" s="29">
        <x:f>WORKDAY(기본입력!$H$2,Q1106-1,공휴일)</x:f>
        <x:v>46107</x:v>
      </x:c>
    </x:row>
    <x:row r="1107" spans="1:18">
      <x:c r="A1107" s="144" t="str">
        <x:f t="shared" si="106"/>
        <x:v>20260326</x:v>
      </x:c>
      <x:c r="B1107" s="17" t="s">
        <x:v>5</x:v>
      </x:c>
      <x:c r="C1107" s="17">
        <x:v>1740</x:v>
      </x:c>
      <x:c r="D1107" s="18" t="s">
        <x:v>1</x:v>
      </x:c>
      <x:c r="E1107" s="17">
        <x:v>1440</x:v>
      </x:c>
      <x:c r="F1107" s="17" t="s">
        <x:v>40</x:v>
      </x:c>
      <x:c r="G1107" s="19" t="str">
        <x:f>IF(OR(N1107="",N1107&gt;기본입력!$C$34),"",VLOOKUP(O1107,기본입력!$A$9:$F$33,5))</x:f>
        <x:v/>
      </x:c>
      <x:c r="H1107" s="19" t="str">
        <x:f>IF(OR(N1107="",N1107&gt;기본입력!$C$34),"",기본입력!$C$6)</x:f>
        <x:v/>
      </x:c>
      <x:c r="I1107" s="19" t="str">
        <x:f>IF(OR(O1107="",N1107&gt;기본입력!$C$34),"",VLOOKUP(O1107,기본입력!$A$9:$F$33,6,FALSE))</x:f>
        <x:v/>
      </x:c>
      <x:c r="J1107" s="38" t="e">
        <x:f t="shared" si="102"/>
        <x:v>#VALUE!</x:v>
      </x:c>
      <x:c r="K1107" s="38" t="e">
        <x:f t="shared" si="103"/>
        <x:v>#VALUE!</x:v>
      </x:c>
      <x:c r="L1107" s="38" t="e">
        <x:f t="shared" si="104"/>
        <x:v>#VALUE!</x:v>
      </x:c>
      <x:c r="M1107" s="63"/>
      <x:c r="N1107" s="30">
        <x:f>IF(F1107="2","",COUNTIF($F$3:$F1107,"=1"))</x:f>
        <x:v>982</x:v>
      </x:c>
      <x:c r="O1107" s="30">
        <x:f t="shared" si="105"/>
        <x:v>14</x:v>
      </x:c>
      <x:c r="P1107" s="30">
        <x:f t="shared" si="107"/>
        <x:v>0</x:v>
      </x:c>
      <x:c r="Q1107" s="30">
        <x:f>COUNTIF($P$3:P1107,"=3")</x:f>
        <x:v>123</x:v>
      </x:c>
      <x:c r="R1107" s="29">
        <x:f>WORKDAY(기본입력!$H$2,Q1107-1,공휴일)</x:f>
        <x:v>46107</x:v>
      </x:c>
    </x:row>
    <x:row r="1108" spans="1:18">
      <x:c r="A1108" s="144" t="str">
        <x:f t="shared" si="106"/>
        <x:v>20260326</x:v>
      </x:c>
      <x:c r="B1108" s="17" t="s">
        <x:v>5</x:v>
      </x:c>
      <x:c r="C1108" s="17">
        <x:v>1740</x:v>
      </x:c>
      <x:c r="D1108" s="18" t="s">
        <x:v>1</x:v>
      </x:c>
      <x:c r="E1108" s="17">
        <x:v>1540</x:v>
      </x:c>
      <x:c r="F1108" s="17" t="s">
        <x:v>40</x:v>
      </x:c>
      <x:c r="G1108" s="19" t="str">
        <x:f>IF(OR(N1108="",N1108&gt;기본입력!$C$34),"",VLOOKUP(O1108,기본입력!$A$9:$F$33,5))</x:f>
        <x:v/>
      </x:c>
      <x:c r="H1108" s="19" t="str">
        <x:f>IF(OR(N1108="",N1108&gt;기본입력!$C$34),"",기본입력!$C$6)</x:f>
        <x:v/>
      </x:c>
      <x:c r="I1108" s="19" t="str">
        <x:f>IF(OR(O1108="",N1108&gt;기본입력!$C$34),"",VLOOKUP(O1108,기본입력!$A$9:$F$33,6,FALSE))</x:f>
        <x:v/>
      </x:c>
      <x:c r="J1108" s="38" t="e">
        <x:f t="shared" si="102"/>
        <x:v>#VALUE!</x:v>
      </x:c>
      <x:c r="K1108" s="38" t="e">
        <x:f t="shared" si="103"/>
        <x:v>#VALUE!</x:v>
      </x:c>
      <x:c r="L1108" s="38" t="e">
        <x:f t="shared" si="104"/>
        <x:v>#VALUE!</x:v>
      </x:c>
      <x:c r="M1108" s="63"/>
      <x:c r="N1108" s="30">
        <x:f>IF(F1108="2","",COUNTIF($F$3:$F1108,"=1"))</x:f>
        <x:v>983</x:v>
      </x:c>
      <x:c r="O1108" s="30">
        <x:f t="shared" si="105"/>
        <x:v>14</x:v>
      </x:c>
      <x:c r="P1108" s="30">
        <x:f t="shared" si="107"/>
        <x:v>1</x:v>
      </x:c>
      <x:c r="Q1108" s="30">
        <x:f>COUNTIF($P$3:P1108,"=3")</x:f>
        <x:v>123</x:v>
      </x:c>
      <x:c r="R1108" s="29">
        <x:f>WORKDAY(기본입력!$H$2,Q1108-1,공휴일)</x:f>
        <x:v>46107</x:v>
      </x:c>
    </x:row>
    <x:row r="1109" spans="1:18">
      <x:c r="A1109" s="144" t="str">
        <x:f t="shared" si="106"/>
        <x:v>20260326</x:v>
      </x:c>
      <x:c r="B1109" s="17" t="s">
        <x:v>5</x:v>
      </x:c>
      <x:c r="C1109" s="17">
        <x:v>1740</x:v>
      </x:c>
      <x:c r="D1109" s="18"/>
      <x:c r="E1109" s="17">
        <x:v>1640</x:v>
      </x:c>
      <x:c r="F1109" s="17" t="s">
        <x:v>40</x:v>
      </x:c>
      <x:c r="G1109" s="19" t="str">
        <x:f>IF(OR(N1109="",N1109&gt;기본입력!$C$34),"",VLOOKUP(O1109,기본입력!$A$9:$F$33,5))</x:f>
        <x:v/>
      </x:c>
      <x:c r="H1109" s="19" t="str">
        <x:f>IF(OR(N1109="",N1109&gt;기본입력!$C$34),"",기본입력!$C$6)</x:f>
        <x:v/>
      </x:c>
      <x:c r="I1109" s="19" t="str">
        <x:f>IF(OR(O1109="",N1109&gt;기본입력!$C$34),"",VLOOKUP(O1109,기본입력!$A$9:$F$33,6,FALSE))</x:f>
        <x:v/>
      </x:c>
      <x:c r="J1109" s="38" t="e">
        <x:f>IF(F1109="2","",LEFT(I1109,FIND("_",I1109,2)-1))</x:f>
        <x:v>#VALUE!</x:v>
      </x:c>
      <x:c r="K1109" s="38" t="e">
        <x:f>IF(F1109="2","",LEFT(H1109,FIND("_",H1109,2)-1))</x:f>
        <x:v>#VALUE!</x:v>
      </x:c>
      <x:c r="L1109" s="38" t="e">
        <x:f>IF(F1109="2","",LEFT(G1109,FIND("_",G1109,2)-1))</x:f>
        <x:v>#VALUE!</x:v>
      </x:c>
      <x:c r="M1109" s="63"/>
      <x:c r="N1109" s="30">
        <x:f>IF(F1109="2","",COUNTIF($F$3:$F1109,"=1"))</x:f>
        <x:v>984</x:v>
      </x:c>
      <x:c r="O1109" s="30">
        <x:f>IF(F1109="2","",IF(N1109&lt;=누적시수1,1,IF(N1109&lt;=누적시수2,2,IF(N1109&lt;=누적시수3,3,IF(N1109&lt;=누적시수4,4,IF(N1109&lt;=누적시수5,5,IF(N1109&lt;=누적시수6,6,IF(N1109&lt;=누적시수7,7,IF(N1109&lt;=누적시수8,8,IF(N1109&lt;=누적시수9,9,IF(N1109&lt;=누적시수10,10,IF(N1109&lt;=누적시수11,11,IF(N1109&lt;=누적시수12,12,IF(N1109&lt;=누적시수13,13,IF(N1109&lt;=누적시수14,14,IF(N1109&lt;=누적시수15,15,IF(N1109&lt;=누적시수16,16,IF(N1109&lt;=누적시수17,17,IF(N1109&lt;=누적시수18,18,IF(N1109&lt;=누적시수19,19,IF(N1109&lt;=누적시수20,20,IF(N1109&lt;=누적시수21,21,IF(N1109&lt;=누적시수22,22,IF(N1109&lt;=누적시수23,23,IF(N1109&lt;=누적시수24,24,IF(N1109&lt;=누적시수25,25,0))))))))))))))))))))))))))</x:f>
        <x:v>14</x:v>
      </x:c>
      <x:c r="P1109" s="30">
        <x:f t="shared" si="107"/>
        <x:v>2</x:v>
      </x:c>
      <x:c r="Q1109" s="30">
        <x:f>COUNTIF($P$3:P1109,"=3")</x:f>
        <x:v>123</x:v>
      </x:c>
      <x:c r="R1109" s="29">
        <x:f>WORKDAY(기본입력!$H$2,Q1109-1,공휴일)</x:f>
        <x:v>46107</x:v>
      </x:c>
    </x:row>
    <x:row r="1110" spans="1:18">
      <x:c r="A1110" s="145" t="str">
        <x:f t="shared" si="106"/>
        <x:v>20260327</x:v>
      </x:c>
      <x:c r="B1110" s="20" t="s">
        <x:v>5</x:v>
      </x:c>
      <x:c r="C1110" s="20">
        <x:v>1740</x:v>
      </x:c>
      <x:c r="D1110" s="21" t="s">
        <x:v>1</x:v>
      </x:c>
      <x:c r="E1110" s="20" t="s">
        <x:v>5</x:v>
      </x:c>
      <x:c r="F1110" s="20" t="s">
        <x:v>40</x:v>
      </x:c>
      <x:c r="G1110" s="24" t="str">
        <x:f>IF(OR(N1110="",N1110&gt;기본입력!$C$34),"",VLOOKUP(O1110,기본입력!$A$9:$F$33,5))</x:f>
        <x:v/>
      </x:c>
      <x:c r="H1110" s="24" t="str">
        <x:f>IF(OR(N1110="",N1110&gt;기본입력!$C$34),"",기본입력!$C$6)</x:f>
        <x:v/>
      </x:c>
      <x:c r="I1110" s="24" t="str">
        <x:f>IF(OR(O1110="",N1110&gt;기본입력!$C$34),"",VLOOKUP(O1110,기본입력!$A$9:$F$33,6,FALSE))</x:f>
        <x:v/>
      </x:c>
      <x:c r="J1110" s="38" t="e">
        <x:f t="shared" si="102"/>
        <x:v>#VALUE!</x:v>
      </x:c>
      <x:c r="K1110" s="38" t="e">
        <x:f t="shared" si="103"/>
        <x:v>#VALUE!</x:v>
      </x:c>
      <x:c r="L1110" s="38" t="e">
        <x:f t="shared" si="104"/>
        <x:v>#VALUE!</x:v>
      </x:c>
      <x:c r="M1110" s="63"/>
      <x:c r="N1110" s="30">
        <x:f>IF(F1110="2","",COUNTIF($F$3:$F1110,"=1"))</x:f>
        <x:v>985</x:v>
      </x:c>
      <x:c r="O1110" s="30">
        <x:f t="shared" si="105"/>
        <x:v>14</x:v>
      </x:c>
      <x:c r="P1110" s="30">
        <x:f t="shared" si="107"/>
        <x:v>3</x:v>
      </x:c>
      <x:c r="Q1110" s="30">
        <x:f>COUNTIF($P$3:P1110,"=3")</x:f>
        <x:v>124</x:v>
      </x:c>
      <x:c r="R1110" s="29">
        <x:f>WORKDAY(기본입력!$H$2,Q1110-1,공휴일)</x:f>
        <x:v>46108</x:v>
      </x:c>
    </x:row>
    <x:row r="1111" spans="1:18">
      <x:c r="A1111" s="145" t="str">
        <x:f t="shared" si="106"/>
        <x:v>20260327</x:v>
      </x:c>
      <x:c r="B1111" s="20" t="s">
        <x:v>5</x:v>
      </x:c>
      <x:c r="C1111" s="20">
        <x:v>1740</x:v>
      </x:c>
      <x:c r="D1111" s="21" t="s">
        <x:v>1</x:v>
      </x:c>
      <x:c r="E1111" s="20" t="s">
        <x:v>117</x:v>
      </x:c>
      <x:c r="F1111" s="20" t="s">
        <x:v>40</x:v>
      </x:c>
      <x:c r="G1111" s="24" t="str">
        <x:f>IF(OR(N1111="",N1111&gt;기본입력!$C$34),"",VLOOKUP(O1111,기본입력!$A$9:$F$33,5))</x:f>
        <x:v/>
      </x:c>
      <x:c r="H1111" s="24" t="str">
        <x:f>IF(OR(N1111="",N1111&gt;기본입력!$C$34),"",기본입력!$C$6)</x:f>
        <x:v/>
      </x:c>
      <x:c r="I1111" s="24" t="str">
        <x:f>IF(OR(O1111="",N1111&gt;기본입력!$C$34),"",VLOOKUP(O1111,기본입력!$A$9:$F$33,6,FALSE))</x:f>
        <x:v/>
      </x:c>
      <x:c r="J1111" s="38" t="e">
        <x:f t="shared" si="102"/>
        <x:v>#VALUE!</x:v>
      </x:c>
      <x:c r="K1111" s="38" t="e">
        <x:f t="shared" si="103"/>
        <x:v>#VALUE!</x:v>
      </x:c>
      <x:c r="L1111" s="38" t="e">
        <x:f t="shared" si="104"/>
        <x:v>#VALUE!</x:v>
      </x:c>
      <x:c r="M1111" s="63"/>
      <x:c r="N1111" s="30">
        <x:f>IF(F1111="2","",COUNTIF($F$3:$F1111,"=1"))</x:f>
        <x:v>986</x:v>
      </x:c>
      <x:c r="O1111" s="30">
        <x:f t="shared" si="105"/>
        <x:v>14</x:v>
      </x:c>
      <x:c r="P1111" s="30">
        <x:f t="shared" si="107"/>
        <x:v>4</x:v>
      </x:c>
      <x:c r="Q1111" s="30">
        <x:f>COUNTIF($P$3:P1111,"=3")</x:f>
        <x:v>124</x:v>
      </x:c>
      <x:c r="R1111" s="29">
        <x:f>WORKDAY(기본입력!$H$2,Q1111-1,공휴일)</x:f>
        <x:v>46108</x:v>
      </x:c>
    </x:row>
    <x:row r="1112" spans="1:18">
      <x:c r="A1112" s="145" t="str">
        <x:f t="shared" si="106"/>
        <x:v>20260327</x:v>
      </x:c>
      <x:c r="B1112" s="20" t="s">
        <x:v>5</x:v>
      </x:c>
      <x:c r="C1112" s="20">
        <x:v>1740</x:v>
      </x:c>
      <x:c r="D1112" s="21" t="s">
        <x:v>1</x:v>
      </x:c>
      <x:c r="E1112" s="20" t="s">
        <x:v>87</x:v>
      </x:c>
      <x:c r="F1112" s="20" t="s">
        <x:v>40</x:v>
      </x:c>
      <x:c r="G1112" s="24" t="str">
        <x:f>IF(OR(N1112="",N1112&gt;기본입력!$C$34),"",VLOOKUP(O1112,기본입력!$A$9:$F$33,5))</x:f>
        <x:v/>
      </x:c>
      <x:c r="H1112" s="24" t="str">
        <x:f>IF(OR(N1112="",N1112&gt;기본입력!$C$34),"",기본입력!$C$6)</x:f>
        <x:v/>
      </x:c>
      <x:c r="I1112" s="24" t="str">
        <x:f>IF(OR(O1112="",N1112&gt;기본입력!$C$34),"",VLOOKUP(O1112,기본입력!$A$9:$F$33,6,FALSE))</x:f>
        <x:v/>
      </x:c>
      <x:c r="J1112" s="38" t="e">
        <x:f t="shared" si="102"/>
        <x:v>#VALUE!</x:v>
      </x:c>
      <x:c r="K1112" s="38" t="e">
        <x:f t="shared" si="103"/>
        <x:v>#VALUE!</x:v>
      </x:c>
      <x:c r="L1112" s="38" t="e">
        <x:f t="shared" si="104"/>
        <x:v>#VALUE!</x:v>
      </x:c>
      <x:c r="M1112" s="63"/>
      <x:c r="N1112" s="30">
        <x:f>IF(F1112="2","",COUNTIF($F$3:$F1112,"=1"))</x:f>
        <x:v>987</x:v>
      </x:c>
      <x:c r="O1112" s="30">
        <x:f t="shared" si="105"/>
        <x:v>14</x:v>
      </x:c>
      <x:c r="P1112" s="30">
        <x:f t="shared" si="107"/>
        <x:v>5</x:v>
      </x:c>
      <x:c r="Q1112" s="30">
        <x:f>COUNTIF($P$3:P1112,"=3")</x:f>
        <x:v>124</x:v>
      </x:c>
      <x:c r="R1112" s="29">
        <x:f>WORKDAY(기본입력!$H$2,Q1112-1,공휴일)</x:f>
        <x:v>46108</x:v>
      </x:c>
    </x:row>
    <x:row r="1113" spans="1:18">
      <x:c r="A1113" s="145" t="str">
        <x:f t="shared" si="106"/>
        <x:v>20260327</x:v>
      </x:c>
      <x:c r="B1113" s="20" t="s">
        <x:v>5</x:v>
      </x:c>
      <x:c r="C1113" s="20">
        <x:v>1740</x:v>
      </x:c>
      <x:c r="D1113" s="21" t="s">
        <x:v>1</x:v>
      </x:c>
      <x:c r="E1113" s="20" t="s">
        <x:v>88</x:v>
      </x:c>
      <x:c r="F1113" s="20" t="s">
        <x:v>40</x:v>
      </x:c>
      <x:c r="G1113" s="24" t="str">
        <x:f>IF(OR(N1113="",N1113&gt;기본입력!$C$34),"",VLOOKUP(O1113,기본입력!$A$9:$F$33,5))</x:f>
        <x:v/>
      </x:c>
      <x:c r="H1113" s="24" t="str">
        <x:f>IF(OR(N1113="",N1113&gt;기본입력!$C$34),"",기본입력!$C$6)</x:f>
        <x:v/>
      </x:c>
      <x:c r="I1113" s="24" t="str">
        <x:f>IF(OR(O1113="",N1113&gt;기본입력!$C$34),"",VLOOKUP(O1113,기본입력!$A$9:$F$33,6,FALSE))</x:f>
        <x:v/>
      </x:c>
      <x:c r="J1113" s="38" t="e">
        <x:f t="shared" si="102"/>
        <x:v>#VALUE!</x:v>
      </x:c>
      <x:c r="K1113" s="38" t="e">
        <x:f t="shared" si="103"/>
        <x:v>#VALUE!</x:v>
      </x:c>
      <x:c r="L1113" s="38" t="e">
        <x:f t="shared" si="104"/>
        <x:v>#VALUE!</x:v>
      </x:c>
      <x:c r="M1113" s="63"/>
      <x:c r="N1113" s="30">
        <x:f>IF(F1113="2","",COUNTIF($F$3:$F1113,"=1"))</x:f>
        <x:v>988</x:v>
      </x:c>
      <x:c r="O1113" s="30">
        <x:f t="shared" si="105"/>
        <x:v>14</x:v>
      </x:c>
      <x:c r="P1113" s="30">
        <x:f t="shared" si="107"/>
        <x:v>6</x:v>
      </x:c>
      <x:c r="Q1113" s="30">
        <x:f>COUNTIF($P$3:P1113,"=3")</x:f>
        <x:v>124</x:v>
      </x:c>
      <x:c r="R1113" s="29">
        <x:f>WORKDAY(기본입력!$H$2,Q1113-1,공휴일)</x:f>
        <x:v>46108</x:v>
      </x:c>
    </x:row>
    <x:row r="1114" spans="1:18">
      <x:c r="A1114" s="145" t="str">
        <x:f t="shared" si="106"/>
        <x:v>20260327</x:v>
      </x:c>
      <x:c r="B1114" s="20" t="s">
        <x:v>5</x:v>
      </x:c>
      <x:c r="C1114" s="20">
        <x:v>1740</x:v>
      </x:c>
      <x:c r="D1114" s="21" t="s">
        <x:v>1</x:v>
      </x:c>
      <x:c r="E1114" s="20" t="s">
        <x:v>0</x:v>
      </x:c>
      <x:c r="F1114" s="20" t="s">
        <x:v>41</x:v>
      </x:c>
      <x:c r="G1114" s="24" t="str">
        <x:f>IF(OR(N1114="",N1114&gt;기본입력!$C$34),"",VLOOKUP(O1114,기본입력!$A$9:$F$33,5))</x:f>
        <x:v/>
      </x:c>
      <x:c r="H1114" s="24" t="str">
        <x:f>IF(OR(N1114="",N1114&gt;기본입력!$C$34),"",기본입력!$C$6)</x:f>
        <x:v/>
      </x:c>
      <x:c r="I1114" s="24" t="str">
        <x:f>IF(OR(O1114="",N1114&gt;기본입력!$C$34),"",VLOOKUP(O1114,기본입력!$A$9:$F$33,6,FALSE))</x:f>
        <x:v/>
      </x:c>
      <x:c r="J1114" s="38" t="str">
        <x:f t="shared" si="102"/>
        <x:v/>
      </x:c>
      <x:c r="K1114" s="38" t="str">
        <x:f t="shared" si="103"/>
        <x:v/>
      </x:c>
      <x:c r="L1114" s="38" t="str">
        <x:f t="shared" si="104"/>
        <x:v/>
      </x:c>
      <x:c r="M1114" s="63"/>
      <x:c r="N1114" s="30" t="str">
        <x:f>IF(F1114="2","",COUNTIF($F$3:$F1114,"=1"))</x:f>
        <x:v/>
      </x:c>
      <x:c r="O1114" s="30" t="str">
        <x:f t="shared" si="105"/>
        <x:v/>
      </x:c>
      <x:c r="P1114" s="30">
        <x:f t="shared" si="107"/>
        <x:v>7</x:v>
      </x:c>
      <x:c r="Q1114" s="30">
        <x:f>COUNTIF($P$3:P1114,"=3")</x:f>
        <x:v>124</x:v>
      </x:c>
      <x:c r="R1114" s="29">
        <x:f>WORKDAY(기본입력!$H$2,Q1114-1,공휴일)</x:f>
        <x:v>46108</x:v>
      </x:c>
    </x:row>
    <x:row r="1115" spans="1:18">
      <x:c r="A1115" s="145" t="str">
        <x:f t="shared" si="106"/>
        <x:v>20260327</x:v>
      </x:c>
      <x:c r="B1115" s="20" t="s">
        <x:v>5</x:v>
      </x:c>
      <x:c r="C1115" s="20">
        <x:v>1740</x:v>
      </x:c>
      <x:c r="D1115" s="21" t="s">
        <x:v>1</x:v>
      </x:c>
      <x:c r="E1115" s="20">
        <x:v>1340</x:v>
      </x:c>
      <x:c r="F1115" s="20" t="s">
        <x:v>40</x:v>
      </x:c>
      <x:c r="G1115" s="24" t="str">
        <x:f>IF(OR(N1115="",N1115&gt;기본입력!$C$34),"",VLOOKUP(O1115,기본입력!$A$9:$F$33,5))</x:f>
        <x:v/>
      </x:c>
      <x:c r="H1115" s="24" t="str">
        <x:f>IF(OR(N1115="",N1115&gt;기본입력!$C$34),"",기본입력!$C$6)</x:f>
        <x:v/>
      </x:c>
      <x:c r="I1115" s="24" t="str">
        <x:f>IF(OR(O1115="",N1115&gt;기본입력!$C$34),"",VLOOKUP(O1115,기본입력!$A$9:$F$33,6,FALSE))</x:f>
        <x:v/>
      </x:c>
      <x:c r="J1115" s="38" t="e">
        <x:f t="shared" si="102"/>
        <x:v>#VALUE!</x:v>
      </x:c>
      <x:c r="K1115" s="38" t="e">
        <x:f t="shared" si="103"/>
        <x:v>#VALUE!</x:v>
      </x:c>
      <x:c r="L1115" s="38" t="e">
        <x:f t="shared" si="104"/>
        <x:v>#VALUE!</x:v>
      </x:c>
      <x:c r="M1115" s="63"/>
      <x:c r="N1115" s="30">
        <x:f>IF(F1115="2","",COUNTIF($F$3:$F1115,"=1"))</x:f>
        <x:v>989</x:v>
      </x:c>
      <x:c r="O1115" s="30">
        <x:f t="shared" si="105"/>
        <x:v>14</x:v>
      </x:c>
      <x:c r="P1115" s="30">
        <x:f t="shared" si="107"/>
        <x:v>8</x:v>
      </x:c>
      <x:c r="Q1115" s="30">
        <x:f>COUNTIF($P$3:P1115,"=3")</x:f>
        <x:v>124</x:v>
      </x:c>
      <x:c r="R1115" s="29">
        <x:f>WORKDAY(기본입력!$H$2,Q1115-1,공휴일)</x:f>
        <x:v>46108</x:v>
      </x:c>
    </x:row>
    <x:row r="1116" spans="1:18">
      <x:c r="A1116" s="145" t="str">
        <x:f t="shared" si="106"/>
        <x:v>20260327</x:v>
      </x:c>
      <x:c r="B1116" s="20" t="s">
        <x:v>5</x:v>
      </x:c>
      <x:c r="C1116" s="20">
        <x:v>1740</x:v>
      </x:c>
      <x:c r="D1116" s="21" t="s">
        <x:v>1</x:v>
      </x:c>
      <x:c r="E1116" s="20">
        <x:v>1440</x:v>
      </x:c>
      <x:c r="F1116" s="20" t="s">
        <x:v>40</x:v>
      </x:c>
      <x:c r="G1116" s="24" t="str">
        <x:f>IF(OR(N1116="",N1116&gt;기본입력!$C$34),"",VLOOKUP(O1116,기본입력!$A$9:$F$33,5))</x:f>
        <x:v/>
      </x:c>
      <x:c r="H1116" s="24" t="str">
        <x:f>IF(OR(N1116="",N1116&gt;기본입력!$C$34),"",기본입력!$C$6)</x:f>
        <x:v/>
      </x:c>
      <x:c r="I1116" s="24" t="str">
        <x:f>IF(OR(O1116="",N1116&gt;기본입력!$C$34),"",VLOOKUP(O1116,기본입력!$A$9:$F$33,6,FALSE))</x:f>
        <x:v/>
      </x:c>
      <x:c r="J1116" s="38" t="e">
        <x:f t="shared" si="102"/>
        <x:v>#VALUE!</x:v>
      </x:c>
      <x:c r="K1116" s="38" t="e">
        <x:f t="shared" si="103"/>
        <x:v>#VALUE!</x:v>
      </x:c>
      <x:c r="L1116" s="38" t="e">
        <x:f t="shared" si="104"/>
        <x:v>#VALUE!</x:v>
      </x:c>
      <x:c r="M1116" s="63"/>
      <x:c r="N1116" s="30">
        <x:f>IF(F1116="2","",COUNTIF($F$3:$F1116,"=1"))</x:f>
        <x:v>990</x:v>
      </x:c>
      <x:c r="O1116" s="30">
        <x:f t="shared" si="105"/>
        <x:v>14</x:v>
      </x:c>
      <x:c r="P1116" s="30">
        <x:f t="shared" si="107"/>
        <x:v>0</x:v>
      </x:c>
      <x:c r="Q1116" s="30">
        <x:f>COUNTIF($P$3:P1116,"=3")</x:f>
        <x:v>124</x:v>
      </x:c>
      <x:c r="R1116" s="29">
        <x:f>WORKDAY(기본입력!$H$2,Q1116-1,공휴일)</x:f>
        <x:v>46108</x:v>
      </x:c>
    </x:row>
    <x:row r="1117" spans="1:18">
      <x:c r="A1117" s="145" t="str">
        <x:f t="shared" si="106"/>
        <x:v>20260327</x:v>
      </x:c>
      <x:c r="B1117" s="20" t="s">
        <x:v>5</x:v>
      </x:c>
      <x:c r="C1117" s="20">
        <x:v>1740</x:v>
      </x:c>
      <x:c r="D1117" s="21" t="s">
        <x:v>1</x:v>
      </x:c>
      <x:c r="E1117" s="20">
        <x:v>1540</x:v>
      </x:c>
      <x:c r="F1117" s="20" t="s">
        <x:v>40</x:v>
      </x:c>
      <x:c r="G1117" s="24" t="str">
        <x:f>IF(OR(N1117="",N1117&gt;기본입력!$C$34),"",VLOOKUP(O1117,기본입력!$A$9:$F$33,5))</x:f>
        <x:v/>
      </x:c>
      <x:c r="H1117" s="24" t="str">
        <x:f>IF(OR(N1117="",N1117&gt;기본입력!$C$34),"",기본입력!$C$6)</x:f>
        <x:v/>
      </x:c>
      <x:c r="I1117" s="24" t="str">
        <x:f>IF(OR(O1117="",N1117&gt;기본입력!$C$34),"",VLOOKUP(O1117,기본입력!$A$9:$F$33,6,FALSE))</x:f>
        <x:v/>
      </x:c>
      <x:c r="J1117" s="38" t="e">
        <x:f t="shared" si="102"/>
        <x:v>#VALUE!</x:v>
      </x:c>
      <x:c r="K1117" s="38" t="e">
        <x:f t="shared" si="103"/>
        <x:v>#VALUE!</x:v>
      </x:c>
      <x:c r="L1117" s="38" t="e">
        <x:f t="shared" si="104"/>
        <x:v>#VALUE!</x:v>
      </x:c>
      <x:c r="M1117" s="63"/>
      <x:c r="N1117" s="30">
        <x:f>IF(F1117="2","",COUNTIF($F$3:$F1117,"=1"))</x:f>
        <x:v>991</x:v>
      </x:c>
      <x:c r="O1117" s="30">
        <x:f t="shared" si="105"/>
        <x:v>14</x:v>
      </x:c>
      <x:c r="P1117" s="30">
        <x:f t="shared" si="107"/>
        <x:v>1</x:v>
      </x:c>
      <x:c r="Q1117" s="30">
        <x:f>COUNTIF($P$3:P1117,"=3")</x:f>
        <x:v>124</x:v>
      </x:c>
      <x:c r="R1117" s="29">
        <x:f>WORKDAY(기본입력!$H$2,Q1117-1,공휴일)</x:f>
        <x:v>46108</x:v>
      </x:c>
    </x:row>
    <x:row r="1118" spans="1:18">
      <x:c r="A1118" s="145" t="str">
        <x:f t="shared" si="106"/>
        <x:v>20260327</x:v>
      </x:c>
      <x:c r="B1118" s="20" t="s">
        <x:v>5</x:v>
      </x:c>
      <x:c r="C1118" s="20">
        <x:v>1740</x:v>
      </x:c>
      <x:c r="D1118" s="21" t="s">
        <x:v>1</x:v>
      </x:c>
      <x:c r="E1118" s="20">
        <x:v>1640</x:v>
      </x:c>
      <x:c r="F1118" s="20" t="s">
        <x:v>40</x:v>
      </x:c>
      <x:c r="G1118" s="24" t="str">
        <x:f>IF(OR(N1118="",N1118&gt;기본입력!$C$34),"",VLOOKUP(O1118,기본입력!$A$9:$F$33,5))</x:f>
        <x:v/>
      </x:c>
      <x:c r="H1118" s="24" t="str">
        <x:f>IF(OR(N1118="",N1118&gt;기본입력!$C$34),"",기본입력!$C$6)</x:f>
        <x:v/>
      </x:c>
      <x:c r="I1118" s="24" t="str">
        <x:f>IF(OR(O1118="",N1118&gt;기본입력!$C$34),"",VLOOKUP(O1118,기본입력!$A$9:$F$33,6,FALSE))</x:f>
        <x:v/>
      </x:c>
      <x:c r="J1118" s="38" t="e">
        <x:f t="shared" si="102"/>
        <x:v>#VALUE!</x:v>
      </x:c>
      <x:c r="K1118" s="38" t="e">
        <x:f t="shared" si="103"/>
        <x:v>#VALUE!</x:v>
      </x:c>
      <x:c r="L1118" s="38" t="e">
        <x:f t="shared" si="104"/>
        <x:v>#VALUE!</x:v>
      </x:c>
      <x:c r="M1118" s="63"/>
      <x:c r="N1118" s="30">
        <x:f>IF(F1118="2","",COUNTIF($F$3:$F1118,"=1"))</x:f>
        <x:v>992</x:v>
      </x:c>
      <x:c r="O1118" s="30">
        <x:f t="shared" si="105"/>
        <x:v>14</x:v>
      </x:c>
      <x:c r="P1118" s="30">
        <x:f t="shared" si="107"/>
        <x:v>2</x:v>
      </x:c>
      <x:c r="Q1118" s="30">
        <x:f>COUNTIF($P$3:P1118,"=3")</x:f>
        <x:v>124</x:v>
      </x:c>
      <x:c r="R1118" s="29">
        <x:f>WORKDAY(기본입력!$H$2,Q1118-1,공휴일)</x:f>
        <x:v>46108</x:v>
      </x:c>
    </x:row>
    <x:row r="1119" spans="1:18">
      <x:c r="A1119" s="144" t="str">
        <x:f t="shared" si="106"/>
        <x:v>20260330</x:v>
      </x:c>
      <x:c r="B1119" s="17" t="s">
        <x:v>5</x:v>
      </x:c>
      <x:c r="C1119" s="17">
        <x:v>1740</x:v>
      </x:c>
      <x:c r="D1119" s="18" t="s">
        <x:v>1</x:v>
      </x:c>
      <x:c r="E1119" s="17" t="s">
        <x:v>5</x:v>
      </x:c>
      <x:c r="F1119" s="17" t="s">
        <x:v>40</x:v>
      </x:c>
      <x:c r="G1119" s="25" t="str">
        <x:f>IF(OR(N1119="",N1119&gt;기본입력!$C$34),"",VLOOKUP(O1119,기본입력!$A$9:$F$33,5))</x:f>
        <x:v/>
      </x:c>
      <x:c r="H1119" s="25" t="str">
        <x:f>IF(OR(N1119="",N1119&gt;기본입력!$C$34),"",기본입력!$C$6)</x:f>
        <x:v/>
      </x:c>
      <x:c r="I1119" s="25" t="str">
        <x:f>IF(OR(O1119="",N1119&gt;기본입력!$C$34),"",VLOOKUP(O1119,기본입력!$A$9:$F$33,6,FALSE))</x:f>
        <x:v/>
      </x:c>
      <x:c r="J1119" s="38" t="e">
        <x:f t="shared" si="102"/>
        <x:v>#VALUE!</x:v>
      </x:c>
      <x:c r="K1119" s="38" t="e">
        <x:f t="shared" si="103"/>
        <x:v>#VALUE!</x:v>
      </x:c>
      <x:c r="L1119" s="38" t="e">
        <x:f t="shared" si="104"/>
        <x:v>#VALUE!</x:v>
      </x:c>
      <x:c r="M1119" s="63"/>
      <x:c r="N1119" s="30">
        <x:f>IF(F1119="2","",COUNTIF($F$3:$F1119,"=1"))</x:f>
        <x:v>993</x:v>
      </x:c>
      <x:c r="O1119" s="30">
        <x:f t="shared" si="105"/>
        <x:v>14</x:v>
      </x:c>
      <x:c r="P1119" s="30">
        <x:f t="shared" si="107"/>
        <x:v>3</x:v>
      </x:c>
      <x:c r="Q1119" s="30">
        <x:f>COUNTIF($P$3:P1119,"=3")</x:f>
        <x:v>125</x:v>
      </x:c>
      <x:c r="R1119" s="29">
        <x:f>WORKDAY(기본입력!$H$2,Q1119-1,공휴일)</x:f>
        <x:v>46111</x:v>
      </x:c>
    </x:row>
    <x:row r="1120" spans="1:18">
      <x:c r="A1120" s="144" t="str">
        <x:f t="shared" si="106"/>
        <x:v>20260330</x:v>
      </x:c>
      <x:c r="B1120" s="17" t="s">
        <x:v>5</x:v>
      </x:c>
      <x:c r="C1120" s="17">
        <x:v>1740</x:v>
      </x:c>
      <x:c r="D1120" s="18" t="s">
        <x:v>1</x:v>
      </x:c>
      <x:c r="E1120" s="17" t="s">
        <x:v>117</x:v>
      </x:c>
      <x:c r="F1120" s="17" t="s">
        <x:v>40</x:v>
      </x:c>
      <x:c r="G1120" s="25" t="str">
        <x:f>IF(OR(N1120="",N1120&gt;기본입력!$C$34),"",VLOOKUP(O1120,기본입력!$A$9:$F$33,5))</x:f>
        <x:v/>
      </x:c>
      <x:c r="H1120" s="25" t="str">
        <x:f>IF(OR(N1120="",N1120&gt;기본입력!$C$34),"",기본입력!$C$6)</x:f>
        <x:v/>
      </x:c>
      <x:c r="I1120" s="25" t="str">
        <x:f>IF(OR(O1120="",N1120&gt;기본입력!$C$34),"",VLOOKUP(O1120,기본입력!$A$9:$F$33,6,FALSE))</x:f>
        <x:v/>
      </x:c>
      <x:c r="J1120" s="38" t="e">
        <x:f t="shared" si="102"/>
        <x:v>#VALUE!</x:v>
      </x:c>
      <x:c r="K1120" s="38" t="e">
        <x:f t="shared" si="103"/>
        <x:v>#VALUE!</x:v>
      </x:c>
      <x:c r="L1120" s="38" t="e">
        <x:f t="shared" si="104"/>
        <x:v>#VALUE!</x:v>
      </x:c>
      <x:c r="M1120" s="63"/>
      <x:c r="N1120" s="30">
        <x:f>IF(F1120="2","",COUNTIF($F$3:$F1120,"=1"))</x:f>
        <x:v>994</x:v>
      </x:c>
      <x:c r="O1120" s="30">
        <x:f t="shared" si="105"/>
        <x:v>14</x:v>
      </x:c>
      <x:c r="P1120" s="30">
        <x:f t="shared" si="107"/>
        <x:v>4</x:v>
      </x:c>
      <x:c r="Q1120" s="30">
        <x:f>COUNTIF($P$3:P1120,"=3")</x:f>
        <x:v>125</x:v>
      </x:c>
      <x:c r="R1120" s="29">
        <x:f>WORKDAY(기본입력!$H$2,Q1120-1,공휴일)</x:f>
        <x:v>46111</x:v>
      </x:c>
    </x:row>
    <x:row r="1121" spans="1:18">
      <x:c r="A1121" s="144" t="str">
        <x:f t="shared" si="106"/>
        <x:v>20260330</x:v>
      </x:c>
      <x:c r="B1121" s="17" t="s">
        <x:v>5</x:v>
      </x:c>
      <x:c r="C1121" s="17">
        <x:v>1740</x:v>
      </x:c>
      <x:c r="D1121" s="18" t="s">
        <x:v>1</x:v>
      </x:c>
      <x:c r="E1121" s="17" t="s">
        <x:v>87</x:v>
      </x:c>
      <x:c r="F1121" s="17" t="s">
        <x:v>40</x:v>
      </x:c>
      <x:c r="G1121" s="25" t="str">
        <x:f>IF(OR(N1121="",N1121&gt;기본입력!$C$34),"",VLOOKUP(O1121,기본입력!$A$9:$F$33,5))</x:f>
        <x:v/>
      </x:c>
      <x:c r="H1121" s="25" t="str">
        <x:f>IF(OR(N1121="",N1121&gt;기본입력!$C$34),"",기본입력!$C$6)</x:f>
        <x:v/>
      </x:c>
      <x:c r="I1121" s="25" t="str">
        <x:f>IF(OR(O1121="",N1121&gt;기본입력!$C$34),"",VLOOKUP(O1121,기본입력!$A$9:$F$33,6,FALSE))</x:f>
        <x:v/>
      </x:c>
      <x:c r="J1121" s="38" t="e">
        <x:f t="shared" si="102"/>
        <x:v>#VALUE!</x:v>
      </x:c>
      <x:c r="K1121" s="38" t="e">
        <x:f t="shared" si="103"/>
        <x:v>#VALUE!</x:v>
      </x:c>
      <x:c r="L1121" s="38" t="e">
        <x:f t="shared" si="104"/>
        <x:v>#VALUE!</x:v>
      </x:c>
      <x:c r="M1121" s="63"/>
      <x:c r="N1121" s="30">
        <x:f>IF(F1121="2","",COUNTIF($F$3:$F1121,"=1"))</x:f>
        <x:v>995</x:v>
      </x:c>
      <x:c r="O1121" s="30">
        <x:f t="shared" si="105"/>
        <x:v>14</x:v>
      </x:c>
      <x:c r="P1121" s="30">
        <x:f t="shared" si="107"/>
        <x:v>5</x:v>
      </x:c>
      <x:c r="Q1121" s="30">
        <x:f>COUNTIF($P$3:P1121,"=3")</x:f>
        <x:v>125</x:v>
      </x:c>
      <x:c r="R1121" s="29">
        <x:f>WORKDAY(기본입력!$H$2,Q1121-1,공휴일)</x:f>
        <x:v>46111</x:v>
      </x:c>
    </x:row>
    <x:row r="1122" spans="1:18">
      <x:c r="A1122" s="144" t="str">
        <x:f t="shared" si="106"/>
        <x:v>20260330</x:v>
      </x:c>
      <x:c r="B1122" s="17" t="s">
        <x:v>5</x:v>
      </x:c>
      <x:c r="C1122" s="17">
        <x:v>1740</x:v>
      </x:c>
      <x:c r="D1122" s="18" t="s">
        <x:v>1</x:v>
      </x:c>
      <x:c r="E1122" s="17" t="s">
        <x:v>88</x:v>
      </x:c>
      <x:c r="F1122" s="17" t="s">
        <x:v>40</x:v>
      </x:c>
      <x:c r="G1122" s="25" t="str">
        <x:f>IF(OR(N1122="",N1122&gt;기본입력!$C$34),"",VLOOKUP(O1122,기본입력!$A$9:$F$33,5))</x:f>
        <x:v/>
      </x:c>
      <x:c r="H1122" s="25" t="str">
        <x:f>IF(OR(N1122="",N1122&gt;기본입력!$C$34),"",기본입력!$C$6)</x:f>
        <x:v/>
      </x:c>
      <x:c r="I1122" s="25" t="str">
        <x:f>IF(OR(O1122="",N1122&gt;기본입력!$C$34),"",VLOOKUP(O1122,기본입력!$A$9:$F$33,6,FALSE))</x:f>
        <x:v/>
      </x:c>
      <x:c r="J1122" s="38" t="e">
        <x:f t="shared" si="102"/>
        <x:v>#VALUE!</x:v>
      </x:c>
      <x:c r="K1122" s="38" t="e">
        <x:f t="shared" si="103"/>
        <x:v>#VALUE!</x:v>
      </x:c>
      <x:c r="L1122" s="38" t="e">
        <x:f t="shared" si="104"/>
        <x:v>#VALUE!</x:v>
      </x:c>
      <x:c r="M1122" s="63"/>
      <x:c r="N1122" s="30">
        <x:f>IF(F1122="2","",COUNTIF($F$3:$F1122,"=1"))</x:f>
        <x:v>996</x:v>
      </x:c>
      <x:c r="O1122" s="30">
        <x:f t="shared" si="105"/>
        <x:v>14</x:v>
      </x:c>
      <x:c r="P1122" s="30">
        <x:f t="shared" si="107"/>
        <x:v>6</x:v>
      </x:c>
      <x:c r="Q1122" s="30">
        <x:f>COUNTIF($P$3:P1122,"=3")</x:f>
        <x:v>125</x:v>
      </x:c>
      <x:c r="R1122" s="29">
        <x:f>WORKDAY(기본입력!$H$2,Q1122-1,공휴일)</x:f>
        <x:v>46111</x:v>
      </x:c>
    </x:row>
    <x:row r="1123" spans="1:18">
      <x:c r="A1123" s="144" t="str">
        <x:f t="shared" si="106"/>
        <x:v>20260330</x:v>
      </x:c>
      <x:c r="B1123" s="17" t="s">
        <x:v>5</x:v>
      </x:c>
      <x:c r="C1123" s="17">
        <x:v>1740</x:v>
      </x:c>
      <x:c r="D1123" s="18" t="s">
        <x:v>1</x:v>
      </x:c>
      <x:c r="E1123" s="17" t="s">
        <x:v>0</x:v>
      </x:c>
      <x:c r="F1123" s="17" t="s">
        <x:v>41</x:v>
      </x:c>
      <x:c r="G1123" s="25" t="str">
        <x:f>IF(OR(N1123="",N1123&gt;기본입력!$C$34),"",VLOOKUP(O1123,기본입력!$A$9:$F$33,5))</x:f>
        <x:v/>
      </x:c>
      <x:c r="H1123" s="25" t="str">
        <x:f>IF(OR(N1123="",N1123&gt;기본입력!$C$34),"",기본입력!$C$6)</x:f>
        <x:v/>
      </x:c>
      <x:c r="I1123" s="25" t="str">
        <x:f>IF(OR(O1123="",N1123&gt;기본입력!$C$34),"",VLOOKUP(O1123,기본입력!$A$9:$F$33,6,FALSE))</x:f>
        <x:v/>
      </x:c>
      <x:c r="J1123" s="38" t="str">
        <x:f t="shared" si="102"/>
        <x:v/>
      </x:c>
      <x:c r="K1123" s="38" t="str">
        <x:f t="shared" si="103"/>
        <x:v/>
      </x:c>
      <x:c r="L1123" s="38" t="str">
        <x:f t="shared" si="104"/>
        <x:v/>
      </x:c>
      <x:c r="M1123" s="63"/>
      <x:c r="N1123" s="30" t="str">
        <x:f>IF(F1123="2","",COUNTIF($F$3:$F1123,"=1"))</x:f>
        <x:v/>
      </x:c>
      <x:c r="O1123" s="30" t="str">
        <x:f t="shared" si="105"/>
        <x:v/>
      </x:c>
      <x:c r="P1123" s="30">
        <x:f t="shared" si="107"/>
        <x:v>7</x:v>
      </x:c>
      <x:c r="Q1123" s="30">
        <x:f>COUNTIF($P$3:P1123,"=3")</x:f>
        <x:v>125</x:v>
      </x:c>
      <x:c r="R1123" s="29">
        <x:f>WORKDAY(기본입력!$H$2,Q1123-1,공휴일)</x:f>
        <x:v>46111</x:v>
      </x:c>
    </x:row>
    <x:row r="1124" spans="1:18">
      <x:c r="A1124" s="144" t="str">
        <x:f t="shared" si="106"/>
        <x:v>20260330</x:v>
      </x:c>
      <x:c r="B1124" s="17" t="s">
        <x:v>5</x:v>
      </x:c>
      <x:c r="C1124" s="17">
        <x:v>1740</x:v>
      </x:c>
      <x:c r="D1124" s="18" t="s">
        <x:v>1</x:v>
      </x:c>
      <x:c r="E1124" s="17">
        <x:v>1340</x:v>
      </x:c>
      <x:c r="F1124" s="17" t="s">
        <x:v>40</x:v>
      </x:c>
      <x:c r="G1124" s="25" t="str">
        <x:f>IF(OR(N1124="",N1124&gt;기본입력!$C$34),"",VLOOKUP(O1124,기본입력!$A$9:$F$33,5))</x:f>
        <x:v/>
      </x:c>
      <x:c r="H1124" s="25" t="str">
        <x:f>IF(OR(N1124="",N1124&gt;기본입력!$C$34),"",기본입력!$C$6)</x:f>
        <x:v/>
      </x:c>
      <x:c r="I1124" s="25" t="str">
        <x:f>IF(OR(O1124="",N1124&gt;기본입력!$C$34),"",VLOOKUP(O1124,기본입력!$A$9:$F$33,6,FALSE))</x:f>
        <x:v/>
      </x:c>
      <x:c r="J1124" s="38" t="e">
        <x:f t="shared" si="102"/>
        <x:v>#VALUE!</x:v>
      </x:c>
      <x:c r="K1124" s="38" t="e">
        <x:f t="shared" si="103"/>
        <x:v>#VALUE!</x:v>
      </x:c>
      <x:c r="L1124" s="38" t="e">
        <x:f t="shared" si="104"/>
        <x:v>#VALUE!</x:v>
      </x:c>
      <x:c r="M1124" s="63"/>
      <x:c r="N1124" s="30">
        <x:f>IF(F1124="2","",COUNTIF($F$3:$F1124,"=1"))</x:f>
        <x:v>997</x:v>
      </x:c>
      <x:c r="O1124" s="30">
        <x:f t="shared" si="105"/>
        <x:v>14</x:v>
      </x:c>
      <x:c r="P1124" s="30">
        <x:f t="shared" si="107"/>
        <x:v>8</x:v>
      </x:c>
      <x:c r="Q1124" s="30">
        <x:f>COUNTIF($P$3:P1124,"=3")</x:f>
        <x:v>125</x:v>
      </x:c>
      <x:c r="R1124" s="29">
        <x:f>WORKDAY(기본입력!$H$2,Q1124-1,공휴일)</x:f>
        <x:v>46111</x:v>
      </x:c>
    </x:row>
    <x:row r="1125" spans="1:18">
      <x:c r="A1125" s="144" t="str">
        <x:f t="shared" si="106"/>
        <x:v>20260330</x:v>
      </x:c>
      <x:c r="B1125" s="17" t="s">
        <x:v>5</x:v>
      </x:c>
      <x:c r="C1125" s="17">
        <x:v>1740</x:v>
      </x:c>
      <x:c r="D1125" s="18" t="s">
        <x:v>1</x:v>
      </x:c>
      <x:c r="E1125" s="17">
        <x:v>1440</x:v>
      </x:c>
      <x:c r="F1125" s="17" t="s">
        <x:v>40</x:v>
      </x:c>
      <x:c r="G1125" s="25" t="str">
        <x:f>IF(OR(N1125="",N1125&gt;기본입력!$C$34),"",VLOOKUP(O1125,기본입력!$A$9:$F$33,5))</x:f>
        <x:v/>
      </x:c>
      <x:c r="H1125" s="25" t="str">
        <x:f>IF(OR(N1125="",N1125&gt;기본입력!$C$34),"",기본입력!$C$6)</x:f>
        <x:v/>
      </x:c>
      <x:c r="I1125" s="25" t="str">
        <x:f>IF(OR(O1125="",N1125&gt;기본입력!$C$34),"",VLOOKUP(O1125,기본입력!$A$9:$F$33,6,FALSE))</x:f>
        <x:v/>
      </x:c>
      <x:c r="J1125" s="38" t="e">
        <x:f t="shared" si="102"/>
        <x:v>#VALUE!</x:v>
      </x:c>
      <x:c r="K1125" s="38" t="e">
        <x:f t="shared" si="103"/>
        <x:v>#VALUE!</x:v>
      </x:c>
      <x:c r="L1125" s="38" t="e">
        <x:f t="shared" si="104"/>
        <x:v>#VALUE!</x:v>
      </x:c>
      <x:c r="M1125" s="63"/>
      <x:c r="N1125" s="30">
        <x:f>IF(F1125="2","",COUNTIF($F$3:$F1125,"=1"))</x:f>
        <x:v>998</x:v>
      </x:c>
      <x:c r="O1125" s="30">
        <x:f t="shared" si="105"/>
        <x:v>14</x:v>
      </x:c>
      <x:c r="P1125" s="30">
        <x:f t="shared" si="107"/>
        <x:v>0</x:v>
      </x:c>
      <x:c r="Q1125" s="30">
        <x:f>COUNTIF($P$3:P1125,"=3")</x:f>
        <x:v>125</x:v>
      </x:c>
      <x:c r="R1125" s="29">
        <x:f>WORKDAY(기본입력!$H$2,Q1125-1,공휴일)</x:f>
        <x:v>46111</x:v>
      </x:c>
    </x:row>
    <x:row r="1126" spans="1:18">
      <x:c r="A1126" s="144" t="str">
        <x:f t="shared" si="106"/>
        <x:v>20260330</x:v>
      </x:c>
      <x:c r="B1126" s="17" t="s">
        <x:v>5</x:v>
      </x:c>
      <x:c r="C1126" s="17">
        <x:v>1740</x:v>
      </x:c>
      <x:c r="D1126" s="18" t="s">
        <x:v>1</x:v>
      </x:c>
      <x:c r="E1126" s="17">
        <x:v>1540</x:v>
      </x:c>
      <x:c r="F1126" s="17" t="s">
        <x:v>40</x:v>
      </x:c>
      <x:c r="G1126" s="25" t="str">
        <x:f>IF(OR(N1126="",N1126&gt;기본입력!$C$34),"",VLOOKUP(O1126,기본입력!$A$9:$F$33,5))</x:f>
        <x:v/>
      </x:c>
      <x:c r="H1126" s="25" t="str">
        <x:f>IF(OR(N1126="",N1126&gt;기본입력!$C$34),"",기본입력!$C$6)</x:f>
        <x:v/>
      </x:c>
      <x:c r="I1126" s="25" t="str">
        <x:f>IF(OR(O1126="",N1126&gt;기본입력!$C$34),"",VLOOKUP(O1126,기본입력!$A$9:$F$33,6,FALSE))</x:f>
        <x:v/>
      </x:c>
      <x:c r="J1126" s="38" t="e">
        <x:f t="shared" si="102"/>
        <x:v>#VALUE!</x:v>
      </x:c>
      <x:c r="K1126" s="38" t="e">
        <x:f t="shared" si="103"/>
        <x:v>#VALUE!</x:v>
      </x:c>
      <x:c r="L1126" s="38" t="e">
        <x:f t="shared" si="104"/>
        <x:v>#VALUE!</x:v>
      </x:c>
      <x:c r="M1126" s="63"/>
      <x:c r="N1126" s="30">
        <x:f>IF(F1126="2","",COUNTIF($F$3:$F1126,"=1"))</x:f>
        <x:v>999</x:v>
      </x:c>
      <x:c r="O1126" s="30">
        <x:f t="shared" si="105"/>
        <x:v>14</x:v>
      </x:c>
      <x:c r="P1126" s="30">
        <x:f t="shared" si="107"/>
        <x:v>1</x:v>
      </x:c>
      <x:c r="Q1126" s="30">
        <x:f>COUNTIF($P$3:P1126,"=3")</x:f>
        <x:v>125</x:v>
      </x:c>
      <x:c r="R1126" s="29">
        <x:f>WORKDAY(기본입력!$H$2,Q1126-1,공휴일)</x:f>
        <x:v>46111</x:v>
      </x:c>
    </x:row>
    <x:row r="1127" spans="1:18">
      <x:c r="A1127" s="144" t="str">
        <x:f t="shared" si="106"/>
        <x:v>20260330</x:v>
      </x:c>
      <x:c r="B1127" s="17" t="s">
        <x:v>5</x:v>
      </x:c>
      <x:c r="C1127" s="17">
        <x:v>1740</x:v>
      </x:c>
      <x:c r="D1127" s="18"/>
      <x:c r="E1127" s="17">
        <x:v>1640</x:v>
      </x:c>
      <x:c r="F1127" s="17" t="s">
        <x:v>40</x:v>
      </x:c>
      <x:c r="G1127" s="25" t="str">
        <x:f>IF(OR(N1127="",N1127&gt;기본입력!$C$34),"",VLOOKUP(O1127,기본입력!$A$9:$F$33,5))</x:f>
        <x:v/>
      </x:c>
      <x:c r="H1127" s="25" t="str">
        <x:f>IF(OR(N1127="",N1127&gt;기본입력!$C$34),"",기본입력!$C$6)</x:f>
        <x:v/>
      </x:c>
      <x:c r="I1127" s="25" t="str">
        <x:f>IF(OR(O1127="",N1127&gt;기본입력!$C$34),"",VLOOKUP(O1127,기본입력!$A$9:$F$33,6,FALSE))</x:f>
        <x:v/>
      </x:c>
      <x:c r="J1127" s="38" t="e">
        <x:f>IF(F1127="2","",LEFT(I1127,FIND("_",I1127,2)-1))</x:f>
        <x:v>#VALUE!</x:v>
      </x:c>
      <x:c r="K1127" s="38" t="e">
        <x:f>IF(F1127="2","",LEFT(H1127,FIND("_",H1127,2)-1))</x:f>
        <x:v>#VALUE!</x:v>
      </x:c>
      <x:c r="L1127" s="38" t="e">
        <x:f>IF(F1127="2","",LEFT(G1127,FIND("_",G1127,2)-1))</x:f>
        <x:v>#VALUE!</x:v>
      </x:c>
      <x:c r="M1127" s="63"/>
      <x:c r="N1127" s="30">
        <x:f>IF(F1127="2","",COUNTIF($F$3:$F1127,"=1"))</x:f>
        <x:v>1000</x:v>
      </x:c>
      <x:c r="O1127" s="30">
        <x:f>IF(F1127="2","",IF(N1127&lt;=누적시수1,1,IF(N1127&lt;=누적시수2,2,IF(N1127&lt;=누적시수3,3,IF(N1127&lt;=누적시수4,4,IF(N1127&lt;=누적시수5,5,IF(N1127&lt;=누적시수6,6,IF(N1127&lt;=누적시수7,7,IF(N1127&lt;=누적시수8,8,IF(N1127&lt;=누적시수9,9,IF(N1127&lt;=누적시수10,10,IF(N1127&lt;=누적시수11,11,IF(N1127&lt;=누적시수12,12,IF(N1127&lt;=누적시수13,13,IF(N1127&lt;=누적시수14,14,IF(N1127&lt;=누적시수15,15,IF(N1127&lt;=누적시수16,16,IF(N1127&lt;=누적시수17,17,IF(N1127&lt;=누적시수18,18,IF(N1127&lt;=누적시수19,19,IF(N1127&lt;=누적시수20,20,IF(N1127&lt;=누적시수21,21,IF(N1127&lt;=누적시수22,22,IF(N1127&lt;=누적시수23,23,IF(N1127&lt;=누적시수24,24,IF(N1127&lt;=누적시수25,25,0))))))))))))))))))))))))))</x:f>
        <x:v>14</x:v>
      </x:c>
      <x:c r="P1127" s="30">
        <x:f t="shared" si="107"/>
        <x:v>2</x:v>
      </x:c>
      <x:c r="Q1127" s="30">
        <x:f>COUNTIF($P$3:P1127,"=3")</x:f>
        <x:v>125</x:v>
      </x:c>
      <x:c r="R1127" s="29">
        <x:f>WORKDAY(기본입력!$H$2,Q1127-1,공휴일)</x:f>
        <x:v>46111</x:v>
      </x:c>
    </x:row>
    <x:row r="1128" spans="1:18">
      <x:c r="A1128" s="145" t="str">
        <x:f t="shared" si="106"/>
        <x:v>20260331</x:v>
      </x:c>
      <x:c r="B1128" s="20" t="s">
        <x:v>5</x:v>
      </x:c>
      <x:c r="C1128" s="20">
        <x:v>1740</x:v>
      </x:c>
      <x:c r="D1128" s="21" t="s">
        <x:v>1</x:v>
      </x:c>
      <x:c r="E1128" s="20" t="s">
        <x:v>5</x:v>
      </x:c>
      <x:c r="F1128" s="20" t="s">
        <x:v>40</x:v>
      </x:c>
      <x:c r="G1128" s="24" t="str">
        <x:f>IF(OR(N1128="",N1128&gt;기본입력!$C$34),"",VLOOKUP(O1128,기본입력!$A$9:$F$33,5))</x:f>
        <x:v/>
      </x:c>
      <x:c r="H1128" s="24" t="str">
        <x:f>IF(OR(N1128="",N1128&gt;기본입력!$C$34),"",기본입력!$C$6)</x:f>
        <x:v/>
      </x:c>
      <x:c r="I1128" s="24" t="str">
        <x:f>IF(OR(O1128="",N1128&gt;기본입력!$C$34),"",VLOOKUP(O1128,기본입력!$A$9:$F$33,6,FALSE))</x:f>
        <x:v/>
      </x:c>
      <x:c r="J1128" s="38" t="e">
        <x:f t="shared" si="102"/>
        <x:v>#VALUE!</x:v>
      </x:c>
      <x:c r="K1128" s="38" t="e">
        <x:f t="shared" si="103"/>
        <x:v>#VALUE!</x:v>
      </x:c>
      <x:c r="L1128" s="38" t="e">
        <x:f t="shared" si="104"/>
        <x:v>#VALUE!</x:v>
      </x:c>
      <x:c r="M1128" s="63"/>
      <x:c r="N1128" s="30">
        <x:f>IF(F1128="2","",COUNTIF($F$3:$F1128,"=1"))</x:f>
        <x:v>1001</x:v>
      </x:c>
      <x:c r="O1128" s="30">
        <x:f t="shared" si="105"/>
        <x:v>14</x:v>
      </x:c>
      <x:c r="P1128" s="30">
        <x:f t="shared" si="107"/>
        <x:v>3</x:v>
      </x:c>
      <x:c r="Q1128" s="30">
        <x:f>COUNTIF($P$3:P1128,"=3")</x:f>
        <x:v>126</x:v>
      </x:c>
      <x:c r="R1128" s="29">
        <x:f>WORKDAY(기본입력!$H$2,Q1128-1,공휴일)</x:f>
        <x:v>46112</x:v>
      </x:c>
    </x:row>
    <x:row r="1129" spans="1:18">
      <x:c r="A1129" s="145" t="str">
        <x:f t="shared" si="106"/>
        <x:v>20260331</x:v>
      </x:c>
      <x:c r="B1129" s="20" t="s">
        <x:v>5</x:v>
      </x:c>
      <x:c r="C1129" s="20">
        <x:v>1740</x:v>
      </x:c>
      <x:c r="D1129" s="21" t="s">
        <x:v>1</x:v>
      </x:c>
      <x:c r="E1129" s="20" t="s">
        <x:v>117</x:v>
      </x:c>
      <x:c r="F1129" s="20" t="s">
        <x:v>40</x:v>
      </x:c>
      <x:c r="G1129" s="24" t="str">
        <x:f>IF(OR(N1129="",N1129&gt;기본입력!$C$34),"",VLOOKUP(O1129,기본입력!$A$9:$F$33,5))</x:f>
        <x:v/>
      </x:c>
      <x:c r="H1129" s="24" t="str">
        <x:f>IF(OR(N1129="",N1129&gt;기본입력!$C$34),"",기본입력!$C$6)</x:f>
        <x:v/>
      </x:c>
      <x:c r="I1129" s="24" t="str">
        <x:f>IF(OR(O1129="",N1129&gt;기본입력!$C$34),"",VLOOKUP(O1129,기본입력!$A$9:$F$33,6,FALSE))</x:f>
        <x:v/>
      </x:c>
      <x:c r="J1129" s="38" t="e">
        <x:f t="shared" si="102"/>
        <x:v>#VALUE!</x:v>
      </x:c>
      <x:c r="K1129" s="38" t="e">
        <x:f t="shared" si="103"/>
        <x:v>#VALUE!</x:v>
      </x:c>
      <x:c r="L1129" s="38" t="e">
        <x:f t="shared" si="104"/>
        <x:v>#VALUE!</x:v>
      </x:c>
      <x:c r="M1129" s="63"/>
      <x:c r="N1129" s="30">
        <x:f>IF(F1129="2","",COUNTIF($F$3:$F1129,"=1"))</x:f>
        <x:v>1002</x:v>
      </x:c>
      <x:c r="O1129" s="30">
        <x:f t="shared" si="105"/>
        <x:v>14</x:v>
      </x:c>
      <x:c r="P1129" s="30">
        <x:f t="shared" si="107"/>
        <x:v>4</x:v>
      </x:c>
      <x:c r="Q1129" s="30">
        <x:f>COUNTIF($P$3:P1129,"=3")</x:f>
        <x:v>126</x:v>
      </x:c>
      <x:c r="R1129" s="29">
        <x:f>WORKDAY(기본입력!$H$2,Q1129-1,공휴일)</x:f>
        <x:v>46112</x:v>
      </x:c>
    </x:row>
    <x:row r="1130" spans="1:18">
      <x:c r="A1130" s="145" t="str">
        <x:f t="shared" si="106"/>
        <x:v>20260331</x:v>
      </x:c>
      <x:c r="B1130" s="20" t="s">
        <x:v>5</x:v>
      </x:c>
      <x:c r="C1130" s="20">
        <x:v>1740</x:v>
      </x:c>
      <x:c r="D1130" s="21" t="s">
        <x:v>1</x:v>
      </x:c>
      <x:c r="E1130" s="20" t="s">
        <x:v>87</x:v>
      </x:c>
      <x:c r="F1130" s="20" t="s">
        <x:v>40</x:v>
      </x:c>
      <x:c r="G1130" s="24" t="str">
        <x:f>IF(OR(N1130="",N1130&gt;기본입력!$C$34),"",VLOOKUP(O1130,기본입력!$A$9:$F$33,5))</x:f>
        <x:v/>
      </x:c>
      <x:c r="H1130" s="24" t="str">
        <x:f>IF(OR(N1130="",N1130&gt;기본입력!$C$34),"",기본입력!$C$6)</x:f>
        <x:v/>
      </x:c>
      <x:c r="I1130" s="24" t="str">
        <x:f>IF(OR(O1130="",N1130&gt;기본입력!$C$34),"",VLOOKUP(O1130,기본입력!$A$9:$F$33,6,FALSE))</x:f>
        <x:v/>
      </x:c>
      <x:c r="J1130" s="38" t="e">
        <x:f t="shared" si="102"/>
        <x:v>#VALUE!</x:v>
      </x:c>
      <x:c r="K1130" s="38" t="e">
        <x:f t="shared" si="103"/>
        <x:v>#VALUE!</x:v>
      </x:c>
      <x:c r="L1130" s="38" t="e">
        <x:f t="shared" si="104"/>
        <x:v>#VALUE!</x:v>
      </x:c>
      <x:c r="M1130" s="63"/>
      <x:c r="N1130" s="30">
        <x:f>IF(F1130="2","",COUNTIF($F$3:$F1130,"=1"))</x:f>
        <x:v>1003</x:v>
      </x:c>
      <x:c r="O1130" s="30">
        <x:f t="shared" si="105"/>
        <x:v>14</x:v>
      </x:c>
      <x:c r="P1130" s="30">
        <x:f t="shared" si="107"/>
        <x:v>5</x:v>
      </x:c>
      <x:c r="Q1130" s="30">
        <x:f>COUNTIF($P$3:P1130,"=3")</x:f>
        <x:v>126</x:v>
      </x:c>
      <x:c r="R1130" s="29">
        <x:f>WORKDAY(기본입력!$H$2,Q1130-1,공휴일)</x:f>
        <x:v>46112</x:v>
      </x:c>
    </x:row>
    <x:row r="1131" spans="1:18">
      <x:c r="A1131" s="145" t="str">
        <x:f t="shared" si="106"/>
        <x:v>20260331</x:v>
      </x:c>
      <x:c r="B1131" s="20" t="s">
        <x:v>5</x:v>
      </x:c>
      <x:c r="C1131" s="20">
        <x:v>1740</x:v>
      </x:c>
      <x:c r="D1131" s="21" t="s">
        <x:v>1</x:v>
      </x:c>
      <x:c r="E1131" s="20" t="s">
        <x:v>88</x:v>
      </x:c>
      <x:c r="F1131" s="20" t="s">
        <x:v>40</x:v>
      </x:c>
      <x:c r="G1131" s="24" t="str">
        <x:f>IF(OR(N1131="",N1131&gt;기본입력!$C$34),"",VLOOKUP(O1131,기본입력!$A$9:$F$33,5))</x:f>
        <x:v/>
      </x:c>
      <x:c r="H1131" s="24" t="str">
        <x:f>IF(OR(N1131="",N1131&gt;기본입력!$C$34),"",기본입력!$C$6)</x:f>
        <x:v/>
      </x:c>
      <x:c r="I1131" s="24" t="str">
        <x:f>IF(OR(O1131="",N1131&gt;기본입력!$C$34),"",VLOOKUP(O1131,기본입력!$A$9:$F$33,6,FALSE))</x:f>
        <x:v/>
      </x:c>
      <x:c r="J1131" s="38" t="e">
        <x:f t="shared" si="102"/>
        <x:v>#VALUE!</x:v>
      </x:c>
      <x:c r="K1131" s="38" t="e">
        <x:f t="shared" si="103"/>
        <x:v>#VALUE!</x:v>
      </x:c>
      <x:c r="L1131" s="38" t="e">
        <x:f t="shared" si="104"/>
        <x:v>#VALUE!</x:v>
      </x:c>
      <x:c r="M1131" s="63"/>
      <x:c r="N1131" s="30">
        <x:f>IF(F1131="2","",COUNTIF($F$3:$F1131,"=1"))</x:f>
        <x:v>1004</x:v>
      </x:c>
      <x:c r="O1131" s="30">
        <x:f t="shared" si="105"/>
        <x:v>14</x:v>
      </x:c>
      <x:c r="P1131" s="30">
        <x:f t="shared" si="107"/>
        <x:v>6</x:v>
      </x:c>
      <x:c r="Q1131" s="30">
        <x:f>COUNTIF($P$3:P1131,"=3")</x:f>
        <x:v>126</x:v>
      </x:c>
      <x:c r="R1131" s="29">
        <x:f>WORKDAY(기본입력!$H$2,Q1131-1,공휴일)</x:f>
        <x:v>46112</x:v>
      </x:c>
    </x:row>
    <x:row r="1132" spans="1:18">
      <x:c r="A1132" s="145" t="str">
        <x:f t="shared" si="106"/>
        <x:v>20260331</x:v>
      </x:c>
      <x:c r="B1132" s="20" t="s">
        <x:v>5</x:v>
      </x:c>
      <x:c r="C1132" s="20">
        <x:v>1740</x:v>
      </x:c>
      <x:c r="D1132" s="21" t="s">
        <x:v>1</x:v>
      </x:c>
      <x:c r="E1132" s="20" t="s">
        <x:v>0</x:v>
      </x:c>
      <x:c r="F1132" s="20" t="s">
        <x:v>41</x:v>
      </x:c>
      <x:c r="G1132" s="24" t="str">
        <x:f>IF(OR(N1132="",N1132&gt;기본입력!$C$34),"",VLOOKUP(O1132,기본입력!$A$9:$F$33,5))</x:f>
        <x:v/>
      </x:c>
      <x:c r="H1132" s="24" t="str">
        <x:f>IF(OR(N1132="",N1132&gt;기본입력!$C$34),"",기본입력!$C$6)</x:f>
        <x:v/>
      </x:c>
      <x:c r="I1132" s="24" t="str">
        <x:f>IF(OR(O1132="",N1132&gt;기본입력!$C$34),"",VLOOKUP(O1132,기본입력!$A$9:$F$33,6,FALSE))</x:f>
        <x:v/>
      </x:c>
      <x:c r="J1132" s="38" t="str">
        <x:f t="shared" si="102"/>
        <x:v/>
      </x:c>
      <x:c r="K1132" s="38" t="str">
        <x:f t="shared" si="103"/>
        <x:v/>
      </x:c>
      <x:c r="L1132" s="38" t="str">
        <x:f t="shared" si="104"/>
        <x:v/>
      </x:c>
      <x:c r="M1132" s="63"/>
      <x:c r="N1132" s="30" t="str">
        <x:f>IF(F1132="2","",COUNTIF($F$3:$F1132,"=1"))</x:f>
        <x:v/>
      </x:c>
      <x:c r="O1132" s="30" t="str">
        <x:f t="shared" si="105"/>
        <x:v/>
      </x:c>
      <x:c r="P1132" s="30">
        <x:f t="shared" si="107"/>
        <x:v>7</x:v>
      </x:c>
      <x:c r="Q1132" s="30">
        <x:f>COUNTIF($P$3:P1132,"=3")</x:f>
        <x:v>126</x:v>
      </x:c>
      <x:c r="R1132" s="29">
        <x:f>WORKDAY(기본입력!$H$2,Q1132-1,공휴일)</x:f>
        <x:v>46112</x:v>
      </x:c>
    </x:row>
    <x:row r="1133" spans="1:18">
      <x:c r="A1133" s="145" t="str">
        <x:f t="shared" si="106"/>
        <x:v>20260331</x:v>
      </x:c>
      <x:c r="B1133" s="20" t="s">
        <x:v>5</x:v>
      </x:c>
      <x:c r="C1133" s="20">
        <x:v>1740</x:v>
      </x:c>
      <x:c r="D1133" s="21" t="s">
        <x:v>1</x:v>
      </x:c>
      <x:c r="E1133" s="20">
        <x:v>1340</x:v>
      </x:c>
      <x:c r="F1133" s="20" t="s">
        <x:v>40</x:v>
      </x:c>
      <x:c r="G1133" s="24" t="str">
        <x:f>IF(OR(N1133="",N1133&gt;기본입력!$C$34),"",VLOOKUP(O1133,기본입력!$A$9:$F$33,5))</x:f>
        <x:v/>
      </x:c>
      <x:c r="H1133" s="24" t="str">
        <x:f>IF(OR(N1133="",N1133&gt;기본입력!$C$34),"",기본입력!$C$6)</x:f>
        <x:v/>
      </x:c>
      <x:c r="I1133" s="24" t="str">
        <x:f>IF(OR(O1133="",N1133&gt;기본입력!$C$34),"",VLOOKUP(O1133,기본입력!$A$9:$F$33,6,FALSE))</x:f>
        <x:v/>
      </x:c>
      <x:c r="J1133" s="38" t="e">
        <x:f t="shared" si="102"/>
        <x:v>#VALUE!</x:v>
      </x:c>
      <x:c r="K1133" s="38" t="e">
        <x:f t="shared" si="103"/>
        <x:v>#VALUE!</x:v>
      </x:c>
      <x:c r="L1133" s="38" t="e">
        <x:f t="shared" si="104"/>
        <x:v>#VALUE!</x:v>
      </x:c>
      <x:c r="M1133" s="63"/>
      <x:c r="N1133" s="30">
        <x:f>IF(F1133="2","",COUNTIF($F$3:$F1133,"=1"))</x:f>
        <x:v>1005</x:v>
      </x:c>
      <x:c r="O1133" s="30">
        <x:f t="shared" si="105"/>
        <x:v>14</x:v>
      </x:c>
      <x:c r="P1133" s="30">
        <x:f t="shared" si="107"/>
        <x:v>8</x:v>
      </x:c>
      <x:c r="Q1133" s="30">
        <x:f>COUNTIF($P$3:P1133,"=3")</x:f>
        <x:v>126</x:v>
      </x:c>
      <x:c r="R1133" s="29">
        <x:f>WORKDAY(기본입력!$H$2,Q1133-1,공휴일)</x:f>
        <x:v>46112</x:v>
      </x:c>
    </x:row>
    <x:row r="1134" spans="1:18">
      <x:c r="A1134" s="145" t="str">
        <x:f t="shared" si="106"/>
        <x:v>20260331</x:v>
      </x:c>
      <x:c r="B1134" s="20" t="s">
        <x:v>5</x:v>
      </x:c>
      <x:c r="C1134" s="20">
        <x:v>1740</x:v>
      </x:c>
      <x:c r="D1134" s="21" t="s">
        <x:v>1</x:v>
      </x:c>
      <x:c r="E1134" s="20">
        <x:v>1440</x:v>
      </x:c>
      <x:c r="F1134" s="20" t="s">
        <x:v>40</x:v>
      </x:c>
      <x:c r="G1134" s="24" t="str">
        <x:f>IF(OR(N1134="",N1134&gt;기본입력!$C$34),"",VLOOKUP(O1134,기본입력!$A$9:$F$33,5))</x:f>
        <x:v/>
      </x:c>
      <x:c r="H1134" s="24" t="str">
        <x:f>IF(OR(N1134="",N1134&gt;기본입력!$C$34),"",기본입력!$C$6)</x:f>
        <x:v/>
      </x:c>
      <x:c r="I1134" s="24" t="str">
        <x:f>IF(OR(O1134="",N1134&gt;기본입력!$C$34),"",VLOOKUP(O1134,기본입력!$A$9:$F$33,6,FALSE))</x:f>
        <x:v/>
      </x:c>
      <x:c r="J1134" s="38" t="e">
        <x:f t="shared" si="102"/>
        <x:v>#VALUE!</x:v>
      </x:c>
      <x:c r="K1134" s="38" t="e">
        <x:f t="shared" si="103"/>
        <x:v>#VALUE!</x:v>
      </x:c>
      <x:c r="L1134" s="38" t="e">
        <x:f t="shared" si="104"/>
        <x:v>#VALUE!</x:v>
      </x:c>
      <x:c r="M1134" s="63"/>
      <x:c r="N1134" s="30">
        <x:f>IF(F1134="2","",COUNTIF($F$3:$F1134,"=1"))</x:f>
        <x:v>1006</x:v>
      </x:c>
      <x:c r="O1134" s="30">
        <x:f t="shared" si="105"/>
        <x:v>14</x:v>
      </x:c>
      <x:c r="P1134" s="30">
        <x:f t="shared" si="107"/>
        <x:v>0</x:v>
      </x:c>
      <x:c r="Q1134" s="30">
        <x:f>COUNTIF($P$3:P1134,"=3")</x:f>
        <x:v>126</x:v>
      </x:c>
      <x:c r="R1134" s="29">
        <x:f>WORKDAY(기본입력!$H$2,Q1134-1,공휴일)</x:f>
        <x:v>46112</x:v>
      </x:c>
    </x:row>
    <x:row r="1135" spans="1:18">
      <x:c r="A1135" s="145" t="str">
        <x:f t="shared" si="106"/>
        <x:v>20260331</x:v>
      </x:c>
      <x:c r="B1135" s="20" t="s">
        <x:v>5</x:v>
      </x:c>
      <x:c r="C1135" s="20">
        <x:v>1740</x:v>
      </x:c>
      <x:c r="D1135" s="21" t="s">
        <x:v>1</x:v>
      </x:c>
      <x:c r="E1135" s="20">
        <x:v>1540</x:v>
      </x:c>
      <x:c r="F1135" s="20" t="s">
        <x:v>40</x:v>
      </x:c>
      <x:c r="G1135" s="24" t="str">
        <x:f>IF(OR(N1135="",N1135&gt;기본입력!$C$34),"",VLOOKUP(O1135,기본입력!$A$9:$F$33,5))</x:f>
        <x:v/>
      </x:c>
      <x:c r="H1135" s="24" t="str">
        <x:f>IF(OR(N1135="",N1135&gt;기본입력!$C$34),"",기본입력!$C$6)</x:f>
        <x:v/>
      </x:c>
      <x:c r="I1135" s="24" t="str">
        <x:f>IF(OR(O1135="",N1135&gt;기본입력!$C$34),"",VLOOKUP(O1135,기본입력!$A$9:$F$33,6,FALSE))</x:f>
        <x:v/>
      </x:c>
      <x:c r="J1135" s="38" t="e">
        <x:f t="shared" si="102"/>
        <x:v>#VALUE!</x:v>
      </x:c>
      <x:c r="K1135" s="38" t="e">
        <x:f t="shared" si="103"/>
        <x:v>#VALUE!</x:v>
      </x:c>
      <x:c r="L1135" s="38" t="e">
        <x:f t="shared" si="104"/>
        <x:v>#VALUE!</x:v>
      </x:c>
      <x:c r="M1135" s="63"/>
      <x:c r="N1135" s="30">
        <x:f>IF(F1135="2","",COUNTIF($F$3:$F1135,"=1"))</x:f>
        <x:v>1007</x:v>
      </x:c>
      <x:c r="O1135" s="30">
        <x:f t="shared" si="105"/>
        <x:v>14</x:v>
      </x:c>
      <x:c r="P1135" s="30">
        <x:f t="shared" si="107"/>
        <x:v>1</x:v>
      </x:c>
      <x:c r="Q1135" s="30">
        <x:f>COUNTIF($P$3:P1135,"=3")</x:f>
        <x:v>126</x:v>
      </x:c>
      <x:c r="R1135" s="29">
        <x:f>WORKDAY(기본입력!$H$2,Q1135-1,공휴일)</x:f>
        <x:v>46112</x:v>
      </x:c>
    </x:row>
    <x:row r="1136" spans="1:18">
      <x:c r="A1136" s="145" t="str">
        <x:f t="shared" si="106"/>
        <x:v>20260331</x:v>
      </x:c>
      <x:c r="B1136" s="20" t="s">
        <x:v>5</x:v>
      </x:c>
      <x:c r="C1136" s="20">
        <x:v>1740</x:v>
      </x:c>
      <x:c r="D1136" s="21" t="s">
        <x:v>1</x:v>
      </x:c>
      <x:c r="E1136" s="20">
        <x:v>1640</x:v>
      </x:c>
      <x:c r="F1136" s="20" t="s">
        <x:v>40</x:v>
      </x:c>
      <x:c r="G1136" s="24" t="str">
        <x:f>IF(OR(N1136="",N1136&gt;기본입력!$C$34),"",VLOOKUP(O1136,기본입력!$A$9:$F$33,5))</x:f>
        <x:v/>
      </x:c>
      <x:c r="H1136" s="24" t="str">
        <x:f>IF(OR(N1136="",N1136&gt;기본입력!$C$34),"",기본입력!$C$6)</x:f>
        <x:v/>
      </x:c>
      <x:c r="I1136" s="24" t="str">
        <x:f>IF(OR(O1136="",N1136&gt;기본입력!$C$34),"",VLOOKUP(O1136,기본입력!$A$9:$F$33,6,FALSE))</x:f>
        <x:v/>
      </x:c>
      <x:c r="J1136" s="38" t="e">
        <x:f t="shared" si="102"/>
        <x:v>#VALUE!</x:v>
      </x:c>
      <x:c r="K1136" s="38" t="e">
        <x:f t="shared" si="103"/>
        <x:v>#VALUE!</x:v>
      </x:c>
      <x:c r="L1136" s="38" t="e">
        <x:f t="shared" si="104"/>
        <x:v>#VALUE!</x:v>
      </x:c>
      <x:c r="M1136" s="63"/>
      <x:c r="N1136" s="30">
        <x:f>IF(F1136="2","",COUNTIF($F$3:$F1136,"=1"))</x:f>
        <x:v>1008</x:v>
      </x:c>
      <x:c r="O1136" s="30">
        <x:f t="shared" si="105"/>
        <x:v>14</x:v>
      </x:c>
      <x:c r="P1136" s="30">
        <x:f t="shared" si="107"/>
        <x:v>2</x:v>
      </x:c>
      <x:c r="Q1136" s="30">
        <x:f>COUNTIF($P$3:P1136,"=3")</x:f>
        <x:v>126</x:v>
      </x:c>
      <x:c r="R1136" s="29">
        <x:f>WORKDAY(기본입력!$H$2,Q1136-1,공휴일)</x:f>
        <x:v>46112</x:v>
      </x:c>
    </x:row>
    <x:row r="1137" spans="1:18">
      <x:c r="A1137" s="144" t="str">
        <x:f t="shared" si="106"/>
        <x:v>20260401</x:v>
      </x:c>
      <x:c r="B1137" s="17" t="s">
        <x:v>5</x:v>
      </x:c>
      <x:c r="C1137" s="17">
        <x:v>1740</x:v>
      </x:c>
      <x:c r="D1137" s="18" t="s">
        <x:v>1</x:v>
      </x:c>
      <x:c r="E1137" s="17" t="s">
        <x:v>5</x:v>
      </x:c>
      <x:c r="F1137" s="17" t="s">
        <x:v>40</x:v>
      </x:c>
      <x:c r="G1137" s="25" t="str">
        <x:f>IF(OR(N1137="",N1137&gt;기본입력!$C$34),"",VLOOKUP(O1137,기본입력!$A$9:$F$33,5))</x:f>
        <x:v/>
      </x:c>
      <x:c r="H1137" s="25" t="str">
        <x:f>IF(OR(N1137="",N1137&gt;기본입력!$C$34),"",기본입력!$C$6)</x:f>
        <x:v/>
      </x:c>
      <x:c r="I1137" s="25" t="str">
        <x:f>IF(OR(O1137="",N1137&gt;기본입력!$C$34),"",VLOOKUP(O1137,기본입력!$A$9:$F$33,6,FALSE))</x:f>
        <x:v/>
      </x:c>
      <x:c r="J1137" s="38" t="e">
        <x:f t="shared" si="102"/>
        <x:v>#VALUE!</x:v>
      </x:c>
      <x:c r="K1137" s="38" t="e">
        <x:f t="shared" si="103"/>
        <x:v>#VALUE!</x:v>
      </x:c>
      <x:c r="L1137" s="38" t="e">
        <x:f t="shared" si="104"/>
        <x:v>#VALUE!</x:v>
      </x:c>
      <x:c r="M1137" s="63"/>
      <x:c r="N1137" s="30">
        <x:f>IF(F1137="2","",COUNTIF($F$3:$F1137,"=1"))</x:f>
        <x:v>1009</x:v>
      </x:c>
      <x:c r="O1137" s="30">
        <x:f t="shared" si="105"/>
        <x:v>14</x:v>
      </x:c>
      <x:c r="P1137" s="30">
        <x:f t="shared" si="107"/>
        <x:v>3</x:v>
      </x:c>
      <x:c r="Q1137" s="30">
        <x:f>COUNTIF($P$3:P1137,"=3")</x:f>
        <x:v>127</x:v>
      </x:c>
      <x:c r="R1137" s="29">
        <x:f>WORKDAY(기본입력!$H$2,Q1137-1,공휴일)</x:f>
        <x:v>46113</x:v>
      </x:c>
    </x:row>
    <x:row r="1138" spans="1:18">
      <x:c r="A1138" s="144" t="str">
        <x:f t="shared" si="106"/>
        <x:v>20260401</x:v>
      </x:c>
      <x:c r="B1138" s="17" t="s">
        <x:v>5</x:v>
      </x:c>
      <x:c r="C1138" s="17">
        <x:v>1740</x:v>
      </x:c>
      <x:c r="D1138" s="18" t="s">
        <x:v>1</x:v>
      </x:c>
      <x:c r="E1138" s="17" t="s">
        <x:v>117</x:v>
      </x:c>
      <x:c r="F1138" s="17" t="s">
        <x:v>40</x:v>
      </x:c>
      <x:c r="G1138" s="25" t="str">
        <x:f>IF(OR(N1138="",N1138&gt;기본입력!$C$34),"",VLOOKUP(O1138,기본입력!$A$9:$F$33,5))</x:f>
        <x:v/>
      </x:c>
      <x:c r="H1138" s="25" t="str">
        <x:f>IF(OR(N1138="",N1138&gt;기본입력!$C$34),"",기본입력!$C$6)</x:f>
        <x:v/>
      </x:c>
      <x:c r="I1138" s="25" t="str">
        <x:f>IF(OR(O1138="",N1138&gt;기본입력!$C$34),"",VLOOKUP(O1138,기본입력!$A$9:$F$33,6,FALSE))</x:f>
        <x:v/>
      </x:c>
      <x:c r="J1138" s="38" t="e">
        <x:f t="shared" si="102"/>
        <x:v>#VALUE!</x:v>
      </x:c>
      <x:c r="K1138" s="38" t="e">
        <x:f t="shared" si="103"/>
        <x:v>#VALUE!</x:v>
      </x:c>
      <x:c r="L1138" s="38" t="e">
        <x:f t="shared" si="104"/>
        <x:v>#VALUE!</x:v>
      </x:c>
      <x:c r="M1138" s="63"/>
      <x:c r="N1138" s="30">
        <x:f>IF(F1138="2","",COUNTIF($F$3:$F1138,"=1"))</x:f>
        <x:v>1010</x:v>
      </x:c>
      <x:c r="O1138" s="30">
        <x:f t="shared" si="105"/>
        <x:v>14</x:v>
      </x:c>
      <x:c r="P1138" s="30">
        <x:f t="shared" si="107"/>
        <x:v>4</x:v>
      </x:c>
      <x:c r="Q1138" s="30">
        <x:f>COUNTIF($P$3:P1138,"=3")</x:f>
        <x:v>127</x:v>
      </x:c>
      <x:c r="R1138" s="29">
        <x:f>WORKDAY(기본입력!$H$2,Q1138-1,공휴일)</x:f>
        <x:v>46113</x:v>
      </x:c>
    </x:row>
    <x:row r="1139" spans="1:18">
      <x:c r="A1139" s="144" t="str">
        <x:f t="shared" si="106"/>
        <x:v>20260401</x:v>
      </x:c>
      <x:c r="B1139" s="17" t="s">
        <x:v>5</x:v>
      </x:c>
      <x:c r="C1139" s="17">
        <x:v>1740</x:v>
      </x:c>
      <x:c r="D1139" s="18" t="s">
        <x:v>1</x:v>
      </x:c>
      <x:c r="E1139" s="17" t="s">
        <x:v>87</x:v>
      </x:c>
      <x:c r="F1139" s="17" t="s">
        <x:v>40</x:v>
      </x:c>
      <x:c r="G1139" s="25" t="str">
        <x:f>IF(OR(N1139="",N1139&gt;기본입력!$C$34),"",VLOOKUP(O1139,기본입력!$A$9:$F$33,5))</x:f>
        <x:v/>
      </x:c>
      <x:c r="H1139" s="25" t="str">
        <x:f>IF(OR(N1139="",N1139&gt;기본입력!$C$34),"",기본입력!$C$6)</x:f>
        <x:v/>
      </x:c>
      <x:c r="I1139" s="25" t="str">
        <x:f>IF(OR(O1139="",N1139&gt;기본입력!$C$34),"",VLOOKUP(O1139,기본입력!$A$9:$F$33,6,FALSE))</x:f>
        <x:v/>
      </x:c>
      <x:c r="J1139" s="38" t="e">
        <x:f t="shared" si="102"/>
        <x:v>#VALUE!</x:v>
      </x:c>
      <x:c r="K1139" s="38" t="e">
        <x:f t="shared" si="103"/>
        <x:v>#VALUE!</x:v>
      </x:c>
      <x:c r="L1139" s="38" t="e">
        <x:f t="shared" si="104"/>
        <x:v>#VALUE!</x:v>
      </x:c>
      <x:c r="M1139" s="63"/>
      <x:c r="N1139" s="30">
        <x:f>IF(F1139="2","",COUNTIF($F$3:$F1139,"=1"))</x:f>
        <x:v>1011</x:v>
      </x:c>
      <x:c r="O1139" s="30">
        <x:f t="shared" si="105"/>
        <x:v>14</x:v>
      </x:c>
      <x:c r="P1139" s="30">
        <x:f t="shared" si="107"/>
        <x:v>5</x:v>
      </x:c>
      <x:c r="Q1139" s="30">
        <x:f>COUNTIF($P$3:P1139,"=3")</x:f>
        <x:v>127</x:v>
      </x:c>
      <x:c r="R1139" s="29">
        <x:f>WORKDAY(기본입력!$H$2,Q1139-1,공휴일)</x:f>
        <x:v>46113</x:v>
      </x:c>
    </x:row>
    <x:row r="1140" spans="1:18">
      <x:c r="A1140" s="144" t="str">
        <x:f t="shared" si="106"/>
        <x:v>20260401</x:v>
      </x:c>
      <x:c r="B1140" s="17" t="s">
        <x:v>5</x:v>
      </x:c>
      <x:c r="C1140" s="17">
        <x:v>1740</x:v>
      </x:c>
      <x:c r="D1140" s="18" t="s">
        <x:v>1</x:v>
      </x:c>
      <x:c r="E1140" s="17" t="s">
        <x:v>88</x:v>
      </x:c>
      <x:c r="F1140" s="17" t="s">
        <x:v>40</x:v>
      </x:c>
      <x:c r="G1140" s="25" t="str">
        <x:f>IF(OR(N1140="",N1140&gt;기본입력!$C$34),"",VLOOKUP(O1140,기본입력!$A$9:$F$33,5))</x:f>
        <x:v/>
      </x:c>
      <x:c r="H1140" s="25" t="str">
        <x:f>IF(OR(N1140="",N1140&gt;기본입력!$C$34),"",기본입력!$C$6)</x:f>
        <x:v/>
      </x:c>
      <x:c r="I1140" s="25" t="str">
        <x:f>IF(OR(O1140="",N1140&gt;기본입력!$C$34),"",VLOOKUP(O1140,기본입력!$A$9:$F$33,6,FALSE))</x:f>
        <x:v/>
      </x:c>
      <x:c r="J1140" s="38" t="e">
        <x:f t="shared" si="102"/>
        <x:v>#VALUE!</x:v>
      </x:c>
      <x:c r="K1140" s="38" t="e">
        <x:f t="shared" si="103"/>
        <x:v>#VALUE!</x:v>
      </x:c>
      <x:c r="L1140" s="38" t="e">
        <x:f t="shared" si="104"/>
        <x:v>#VALUE!</x:v>
      </x:c>
      <x:c r="M1140" s="63"/>
      <x:c r="N1140" s="30">
        <x:f>IF(F1140="2","",COUNTIF($F$3:$F1140,"=1"))</x:f>
        <x:v>1012</x:v>
      </x:c>
      <x:c r="O1140" s="30">
        <x:f t="shared" si="105"/>
        <x:v>14</x:v>
      </x:c>
      <x:c r="P1140" s="30">
        <x:f t="shared" si="107"/>
        <x:v>6</x:v>
      </x:c>
      <x:c r="Q1140" s="30">
        <x:f>COUNTIF($P$3:P1140,"=3")</x:f>
        <x:v>127</x:v>
      </x:c>
      <x:c r="R1140" s="29">
        <x:f>WORKDAY(기본입력!$H$2,Q1140-1,공휴일)</x:f>
        <x:v>46113</x:v>
      </x:c>
    </x:row>
    <x:row r="1141" spans="1:18">
      <x:c r="A1141" s="144" t="str">
        <x:f t="shared" si="106"/>
        <x:v>20260401</x:v>
      </x:c>
      <x:c r="B1141" s="17" t="s">
        <x:v>5</x:v>
      </x:c>
      <x:c r="C1141" s="17">
        <x:v>1740</x:v>
      </x:c>
      <x:c r="D1141" s="18" t="s">
        <x:v>1</x:v>
      </x:c>
      <x:c r="E1141" s="17" t="s">
        <x:v>0</x:v>
      </x:c>
      <x:c r="F1141" s="17" t="s">
        <x:v>41</x:v>
      </x:c>
      <x:c r="G1141" s="25" t="str">
        <x:f>IF(OR(N1141="",N1141&gt;기본입력!$C$34),"",VLOOKUP(O1141,기본입력!$A$9:$F$33,5))</x:f>
        <x:v/>
      </x:c>
      <x:c r="H1141" s="25" t="str">
        <x:f>IF(OR(N1141="",N1141&gt;기본입력!$C$34),"",기본입력!$C$6)</x:f>
        <x:v/>
      </x:c>
      <x:c r="I1141" s="25" t="str">
        <x:f>IF(OR(O1141="",N1141&gt;기본입력!$C$34),"",VLOOKUP(O1141,기본입력!$A$9:$F$33,6,FALSE))</x:f>
        <x:v/>
      </x:c>
      <x:c r="J1141" s="38" t="str">
        <x:f t="shared" si="102"/>
        <x:v/>
      </x:c>
      <x:c r="K1141" s="38" t="str">
        <x:f t="shared" si="103"/>
        <x:v/>
      </x:c>
      <x:c r="L1141" s="38" t="str">
        <x:f t="shared" si="104"/>
        <x:v/>
      </x:c>
      <x:c r="M1141" s="63"/>
      <x:c r="N1141" s="30" t="str">
        <x:f>IF(F1141="2","",COUNTIF($F$3:$F1141,"=1"))</x:f>
        <x:v/>
      </x:c>
      <x:c r="O1141" s="30" t="str">
        <x:f t="shared" si="105"/>
        <x:v/>
      </x:c>
      <x:c r="P1141" s="30">
        <x:f t="shared" si="107"/>
        <x:v>7</x:v>
      </x:c>
      <x:c r="Q1141" s="30">
        <x:f>COUNTIF($P$3:P1141,"=3")</x:f>
        <x:v>127</x:v>
      </x:c>
      <x:c r="R1141" s="29">
        <x:f>WORKDAY(기본입력!$H$2,Q1141-1,공휴일)</x:f>
        <x:v>46113</x:v>
      </x:c>
    </x:row>
    <x:row r="1142" spans="1:18">
      <x:c r="A1142" s="144" t="str">
        <x:f t="shared" si="106"/>
        <x:v>20260401</x:v>
      </x:c>
      <x:c r="B1142" s="17" t="s">
        <x:v>5</x:v>
      </x:c>
      <x:c r="C1142" s="17">
        <x:v>1740</x:v>
      </x:c>
      <x:c r="D1142" s="18" t="s">
        <x:v>1</x:v>
      </x:c>
      <x:c r="E1142" s="17">
        <x:v>1340</x:v>
      </x:c>
      <x:c r="F1142" s="17" t="s">
        <x:v>40</x:v>
      </x:c>
      <x:c r="G1142" s="25" t="str">
        <x:f>IF(OR(N1142="",N1142&gt;기본입력!$C$34),"",VLOOKUP(O1142,기본입력!$A$9:$F$33,5))</x:f>
        <x:v/>
      </x:c>
      <x:c r="H1142" s="25" t="str">
        <x:f>IF(OR(N1142="",N1142&gt;기본입력!$C$34),"",기본입력!$C$6)</x:f>
        <x:v/>
      </x:c>
      <x:c r="I1142" s="25" t="str">
        <x:f>IF(OR(O1142="",N1142&gt;기본입력!$C$34),"",VLOOKUP(O1142,기본입력!$A$9:$F$33,6,FALSE))</x:f>
        <x:v/>
      </x:c>
      <x:c r="J1142" s="38" t="e">
        <x:f t="shared" si="102"/>
        <x:v>#VALUE!</x:v>
      </x:c>
      <x:c r="K1142" s="38" t="e">
        <x:f t="shared" si="103"/>
        <x:v>#VALUE!</x:v>
      </x:c>
      <x:c r="L1142" s="38" t="e">
        <x:f t="shared" si="104"/>
        <x:v>#VALUE!</x:v>
      </x:c>
      <x:c r="M1142" s="63"/>
      <x:c r="N1142" s="30">
        <x:f>IF(F1142="2","",COUNTIF($F$3:$F1142,"=1"))</x:f>
        <x:v>1013</x:v>
      </x:c>
      <x:c r="O1142" s="30">
        <x:f t="shared" si="105"/>
        <x:v>14</x:v>
      </x:c>
      <x:c r="P1142" s="30">
        <x:f t="shared" si="107"/>
        <x:v>8</x:v>
      </x:c>
      <x:c r="Q1142" s="30">
        <x:f>COUNTIF($P$3:P1142,"=3")</x:f>
        <x:v>127</x:v>
      </x:c>
      <x:c r="R1142" s="29">
        <x:f>WORKDAY(기본입력!$H$2,Q1142-1,공휴일)</x:f>
        <x:v>46113</x:v>
      </x:c>
    </x:row>
    <x:row r="1143" spans="1:18">
      <x:c r="A1143" s="144" t="str">
        <x:f t="shared" si="106"/>
        <x:v>20260401</x:v>
      </x:c>
      <x:c r="B1143" s="17" t="s">
        <x:v>5</x:v>
      </x:c>
      <x:c r="C1143" s="17">
        <x:v>1740</x:v>
      </x:c>
      <x:c r="D1143" s="18" t="s">
        <x:v>1</x:v>
      </x:c>
      <x:c r="E1143" s="17">
        <x:v>1440</x:v>
      </x:c>
      <x:c r="F1143" s="17" t="s">
        <x:v>40</x:v>
      </x:c>
      <x:c r="G1143" s="25" t="str">
        <x:f>IF(OR(N1143="",N1143&gt;기본입력!$C$34),"",VLOOKUP(O1143,기본입력!$A$9:$F$33,5))</x:f>
        <x:v/>
      </x:c>
      <x:c r="H1143" s="25" t="str">
        <x:f>IF(OR(N1143="",N1143&gt;기본입력!$C$34),"",기본입력!$C$6)</x:f>
        <x:v/>
      </x:c>
      <x:c r="I1143" s="25" t="str">
        <x:f>IF(OR(O1143="",N1143&gt;기본입력!$C$34),"",VLOOKUP(O1143,기본입력!$A$9:$F$33,6,FALSE))</x:f>
        <x:v/>
      </x:c>
      <x:c r="J1143" s="38" t="e">
        <x:f t="shared" si="102"/>
        <x:v>#VALUE!</x:v>
      </x:c>
      <x:c r="K1143" s="38" t="e">
        <x:f t="shared" si="103"/>
        <x:v>#VALUE!</x:v>
      </x:c>
      <x:c r="L1143" s="38" t="e">
        <x:f t="shared" si="104"/>
        <x:v>#VALUE!</x:v>
      </x:c>
      <x:c r="M1143" s="63"/>
      <x:c r="N1143" s="30">
        <x:f>IF(F1143="2","",COUNTIF($F$3:$F1143,"=1"))</x:f>
        <x:v>1014</x:v>
      </x:c>
      <x:c r="O1143" s="30">
        <x:f t="shared" si="105"/>
        <x:v>14</x:v>
      </x:c>
      <x:c r="P1143" s="30">
        <x:f t="shared" si="107"/>
        <x:v>0</x:v>
      </x:c>
      <x:c r="Q1143" s="30">
        <x:f>COUNTIF($P$3:P1143,"=3")</x:f>
        <x:v>127</x:v>
      </x:c>
      <x:c r="R1143" s="29">
        <x:f>WORKDAY(기본입력!$H$2,Q1143-1,공휴일)</x:f>
        <x:v>46113</x:v>
      </x:c>
    </x:row>
    <x:row r="1144" spans="1:18">
      <x:c r="A1144" s="144" t="str">
        <x:f t="shared" si="106"/>
        <x:v>20260401</x:v>
      </x:c>
      <x:c r="B1144" s="17" t="s">
        <x:v>5</x:v>
      </x:c>
      <x:c r="C1144" s="17">
        <x:v>1740</x:v>
      </x:c>
      <x:c r="D1144" s="18" t="s">
        <x:v>1</x:v>
      </x:c>
      <x:c r="E1144" s="17">
        <x:v>1540</x:v>
      </x:c>
      <x:c r="F1144" s="17" t="s">
        <x:v>40</x:v>
      </x:c>
      <x:c r="G1144" s="25" t="str">
        <x:f>IF(OR(N1144="",N1144&gt;기본입력!$C$34),"",VLOOKUP(O1144,기본입력!$A$9:$F$33,5))</x:f>
        <x:v/>
      </x:c>
      <x:c r="H1144" s="25" t="str">
        <x:f>IF(OR(N1144="",N1144&gt;기본입력!$C$34),"",기본입력!$C$6)</x:f>
        <x:v/>
      </x:c>
      <x:c r="I1144" s="25" t="str">
        <x:f>IF(OR(O1144="",N1144&gt;기본입력!$C$34),"",VLOOKUP(O1144,기본입력!$A$9:$F$33,6,FALSE))</x:f>
        <x:v/>
      </x:c>
      <x:c r="J1144" s="38" t="e">
        <x:f t="shared" si="102"/>
        <x:v>#VALUE!</x:v>
      </x:c>
      <x:c r="K1144" s="38" t="e">
        <x:f t="shared" si="103"/>
        <x:v>#VALUE!</x:v>
      </x:c>
      <x:c r="L1144" s="38" t="e">
        <x:f t="shared" si="104"/>
        <x:v>#VALUE!</x:v>
      </x:c>
      <x:c r="M1144" s="63"/>
      <x:c r="N1144" s="30">
        <x:f>IF(F1144="2","",COUNTIF($F$3:$F1144,"=1"))</x:f>
        <x:v>1015</x:v>
      </x:c>
      <x:c r="O1144" s="30">
        <x:f t="shared" si="105"/>
        <x:v>14</x:v>
      </x:c>
      <x:c r="P1144" s="30">
        <x:f t="shared" si="107"/>
        <x:v>1</x:v>
      </x:c>
      <x:c r="Q1144" s="30">
        <x:f>COUNTIF($P$3:P1144,"=3")</x:f>
        <x:v>127</x:v>
      </x:c>
      <x:c r="R1144" s="29">
        <x:f>WORKDAY(기본입력!$H$2,Q1144-1,공휴일)</x:f>
        <x:v>46113</x:v>
      </x:c>
    </x:row>
    <x:row r="1145" spans="1:18">
      <x:c r="A1145" s="144" t="str">
        <x:f t="shared" si="106"/>
        <x:v>20260401</x:v>
      </x:c>
      <x:c r="B1145" s="17" t="s">
        <x:v>5</x:v>
      </x:c>
      <x:c r="C1145" s="17">
        <x:v>1740</x:v>
      </x:c>
      <x:c r="D1145" s="18"/>
      <x:c r="E1145" s="17">
        <x:v>1640</x:v>
      </x:c>
      <x:c r="F1145" s="17" t="s">
        <x:v>40</x:v>
      </x:c>
      <x:c r="G1145" s="25" t="str">
        <x:f>IF(OR(N1145="",N1145&gt;기본입력!$C$34),"",VLOOKUP(O1145,기본입력!$A$9:$F$33,5))</x:f>
        <x:v/>
      </x:c>
      <x:c r="H1145" s="25" t="str">
        <x:f>IF(OR(N1145="",N1145&gt;기본입력!$C$34),"",기본입력!$C$6)</x:f>
        <x:v/>
      </x:c>
      <x:c r="I1145" s="25" t="str">
        <x:f>IF(OR(O1145="",N1145&gt;기본입력!$C$34),"",VLOOKUP(O1145,기본입력!$A$9:$F$33,6,FALSE))</x:f>
        <x:v/>
      </x:c>
      <x:c r="J1145" s="38" t="e">
        <x:f>IF(F1145="2","",LEFT(I1145,FIND("_",I1145,2)-1))</x:f>
        <x:v>#VALUE!</x:v>
      </x:c>
      <x:c r="K1145" s="38" t="e">
        <x:f>IF(F1145="2","",LEFT(H1145,FIND("_",H1145,2)-1))</x:f>
        <x:v>#VALUE!</x:v>
      </x:c>
      <x:c r="L1145" s="38" t="e">
        <x:f>IF(F1145="2","",LEFT(G1145,FIND("_",G1145,2)-1))</x:f>
        <x:v>#VALUE!</x:v>
      </x:c>
      <x:c r="M1145" s="63"/>
      <x:c r="N1145" s="30">
        <x:f>IF(F1145="2","",COUNTIF($F$3:$F1145,"=1"))</x:f>
        <x:v>1016</x:v>
      </x:c>
      <x:c r="O1145" s="30">
        <x:f>IF(F1145="2","",IF(N1145&lt;=누적시수1,1,IF(N1145&lt;=누적시수2,2,IF(N1145&lt;=누적시수3,3,IF(N1145&lt;=누적시수4,4,IF(N1145&lt;=누적시수5,5,IF(N1145&lt;=누적시수6,6,IF(N1145&lt;=누적시수7,7,IF(N1145&lt;=누적시수8,8,IF(N1145&lt;=누적시수9,9,IF(N1145&lt;=누적시수10,10,IF(N1145&lt;=누적시수11,11,IF(N1145&lt;=누적시수12,12,IF(N1145&lt;=누적시수13,13,IF(N1145&lt;=누적시수14,14,IF(N1145&lt;=누적시수15,15,IF(N1145&lt;=누적시수16,16,IF(N1145&lt;=누적시수17,17,IF(N1145&lt;=누적시수18,18,IF(N1145&lt;=누적시수19,19,IF(N1145&lt;=누적시수20,20,IF(N1145&lt;=누적시수21,21,IF(N1145&lt;=누적시수22,22,IF(N1145&lt;=누적시수23,23,IF(N1145&lt;=누적시수24,24,IF(N1145&lt;=누적시수25,25,0))))))))))))))))))))))))))</x:f>
        <x:v>14</x:v>
      </x:c>
      <x:c r="P1145" s="30">
        <x:f t="shared" si="107"/>
        <x:v>2</x:v>
      </x:c>
      <x:c r="Q1145" s="30">
        <x:f>COUNTIF($P$3:P1145,"=3")</x:f>
        <x:v>127</x:v>
      </x:c>
      <x:c r="R1145" s="29">
        <x:f>WORKDAY(기본입력!$H$2,Q1145-1,공휴일)</x:f>
        <x:v>46113</x:v>
      </x:c>
    </x:row>
    <x:row r="1146" spans="1:18">
      <x:c r="A1146" s="145" t="str">
        <x:f t="shared" si="106"/>
        <x:v>20260402</x:v>
      </x:c>
      <x:c r="B1146" s="20" t="s">
        <x:v>5</x:v>
      </x:c>
      <x:c r="C1146" s="20">
        <x:v>1740</x:v>
      </x:c>
      <x:c r="D1146" s="21" t="s">
        <x:v>1</x:v>
      </x:c>
      <x:c r="E1146" s="20" t="s">
        <x:v>5</x:v>
      </x:c>
      <x:c r="F1146" s="20" t="s">
        <x:v>40</x:v>
      </x:c>
      <x:c r="G1146" s="24" t="str">
        <x:f>IF(OR(N1146="",N1146&gt;기본입력!$C$34),"",VLOOKUP(O1146,기본입력!$A$9:$F$33,5))</x:f>
        <x:v/>
      </x:c>
      <x:c r="H1146" s="24" t="str">
        <x:f>IF(OR(N1146="",N1146&gt;기본입력!$C$34),"",기본입력!$C$6)</x:f>
        <x:v/>
      </x:c>
      <x:c r="I1146" s="24" t="str">
        <x:f>IF(OR(O1146="",N1146&gt;기본입력!$C$34),"",VLOOKUP(O1146,기본입력!$A$9:$F$33,6,FALSE))</x:f>
        <x:v/>
      </x:c>
      <x:c r="J1146" s="38" t="e">
        <x:f t="shared" si="102"/>
        <x:v>#VALUE!</x:v>
      </x:c>
      <x:c r="K1146" s="38" t="e">
        <x:f t="shared" si="103"/>
        <x:v>#VALUE!</x:v>
      </x:c>
      <x:c r="L1146" s="38" t="e">
        <x:f t="shared" si="104"/>
        <x:v>#VALUE!</x:v>
      </x:c>
      <x:c r="M1146" s="63"/>
      <x:c r="N1146" s="30">
        <x:f>IF(F1146="2","",COUNTIF($F$3:$F1146,"=1"))</x:f>
        <x:v>1017</x:v>
      </x:c>
      <x:c r="O1146" s="30">
        <x:f t="shared" si="105"/>
        <x:v>14</x:v>
      </x:c>
      <x:c r="P1146" s="30">
        <x:f t="shared" si="107"/>
        <x:v>3</x:v>
      </x:c>
      <x:c r="Q1146" s="30">
        <x:f>COUNTIF($P$3:P1146,"=3")</x:f>
        <x:v>128</x:v>
      </x:c>
      <x:c r="R1146" s="29">
        <x:f>WORKDAY(기본입력!$H$2,Q1146-1,공휴일)</x:f>
        <x:v>46114</x:v>
      </x:c>
    </x:row>
    <x:row r="1147" spans="1:18">
      <x:c r="A1147" s="145" t="str">
        <x:f t="shared" si="106"/>
        <x:v>20260402</x:v>
      </x:c>
      <x:c r="B1147" s="20" t="s">
        <x:v>5</x:v>
      </x:c>
      <x:c r="C1147" s="20">
        <x:v>1740</x:v>
      </x:c>
      <x:c r="D1147" s="21" t="s">
        <x:v>1</x:v>
      </x:c>
      <x:c r="E1147" s="20" t="s">
        <x:v>117</x:v>
      </x:c>
      <x:c r="F1147" s="20" t="s">
        <x:v>40</x:v>
      </x:c>
      <x:c r="G1147" s="24" t="str">
        <x:f>IF(OR(N1147="",N1147&gt;기본입력!$C$34),"",VLOOKUP(O1147,기본입력!$A$9:$F$33,5))</x:f>
        <x:v/>
      </x:c>
      <x:c r="H1147" s="24" t="str">
        <x:f>IF(OR(N1147="",N1147&gt;기본입력!$C$34),"",기본입력!$C$6)</x:f>
        <x:v/>
      </x:c>
      <x:c r="I1147" s="24" t="str">
        <x:f>IF(OR(O1147="",N1147&gt;기본입력!$C$34),"",VLOOKUP(O1147,기본입력!$A$9:$F$33,6,FALSE))</x:f>
        <x:v/>
      </x:c>
      <x:c r="J1147" s="38" t="e">
        <x:f t="shared" si="102"/>
        <x:v>#VALUE!</x:v>
      </x:c>
      <x:c r="K1147" s="38" t="e">
        <x:f t="shared" si="103"/>
        <x:v>#VALUE!</x:v>
      </x:c>
      <x:c r="L1147" s="38" t="e">
        <x:f t="shared" si="104"/>
        <x:v>#VALUE!</x:v>
      </x:c>
      <x:c r="M1147" s="63"/>
      <x:c r="N1147" s="30">
        <x:f>IF(F1147="2","",COUNTIF($F$3:$F1147,"=1"))</x:f>
        <x:v>1018</x:v>
      </x:c>
      <x:c r="O1147" s="30">
        <x:f t="shared" si="105"/>
        <x:v>14</x:v>
      </x:c>
      <x:c r="P1147" s="30">
        <x:f t="shared" si="107"/>
        <x:v>4</x:v>
      </x:c>
      <x:c r="Q1147" s="30">
        <x:f>COUNTIF($P$3:P1147,"=3")</x:f>
        <x:v>128</x:v>
      </x:c>
      <x:c r="R1147" s="29">
        <x:f>WORKDAY(기본입력!$H$2,Q1147-1,공휴일)</x:f>
        <x:v>46114</x:v>
      </x:c>
    </x:row>
    <x:row r="1148" spans="1:18">
      <x:c r="A1148" s="145" t="str">
        <x:f t="shared" si="106"/>
        <x:v>20260402</x:v>
      </x:c>
      <x:c r="B1148" s="20" t="s">
        <x:v>5</x:v>
      </x:c>
      <x:c r="C1148" s="20">
        <x:v>1740</x:v>
      </x:c>
      <x:c r="D1148" s="21" t="s">
        <x:v>1</x:v>
      </x:c>
      <x:c r="E1148" s="20" t="s">
        <x:v>87</x:v>
      </x:c>
      <x:c r="F1148" s="20" t="s">
        <x:v>40</x:v>
      </x:c>
      <x:c r="G1148" s="24" t="str">
        <x:f>IF(OR(N1148="",N1148&gt;기본입력!$C$34),"",VLOOKUP(O1148,기본입력!$A$9:$F$33,5))</x:f>
        <x:v/>
      </x:c>
      <x:c r="H1148" s="24" t="str">
        <x:f>IF(OR(N1148="",N1148&gt;기본입력!$C$34),"",기본입력!$C$6)</x:f>
        <x:v/>
      </x:c>
      <x:c r="I1148" s="24" t="str">
        <x:f>IF(OR(O1148="",N1148&gt;기본입력!$C$34),"",VLOOKUP(O1148,기본입력!$A$9:$F$33,6,FALSE))</x:f>
        <x:v/>
      </x:c>
      <x:c r="J1148" s="38" t="e">
        <x:f t="shared" ref="J1148:J1183" si="108">IF(F1148="2","",LEFT(I1148,FIND("_",I1148,2)-1))</x:f>
        <x:v>#VALUE!</x:v>
      </x:c>
      <x:c r="K1148" s="38" t="e">
        <x:f t="shared" ref="K1148:K1183" si="109">IF(F1148="2","",LEFT(H1148,FIND("_",H1148,2)-1))</x:f>
        <x:v>#VALUE!</x:v>
      </x:c>
      <x:c r="L1148" s="38" t="e">
        <x:f t="shared" ref="L1148:L1183" si="110">IF(F1148="2","",LEFT(G1148,FIND("_",G1148,2)-1))</x:f>
        <x:v>#VALUE!</x:v>
      </x:c>
      <x:c r="M1148" s="63"/>
      <x:c r="N1148" s="30">
        <x:f>IF(F1148="2","",COUNTIF($F$3:$F1148,"=1"))</x:f>
        <x:v>1019</x:v>
      </x:c>
      <x:c r="O1148" s="30">
        <x:f t="shared" si="105"/>
        <x:v>14</x:v>
      </x:c>
      <x:c r="P1148" s="30">
        <x:f t="shared" si="107"/>
        <x:v>5</x:v>
      </x:c>
      <x:c r="Q1148" s="30">
        <x:f>COUNTIF($P$3:P1148,"=3")</x:f>
        <x:v>128</x:v>
      </x:c>
      <x:c r="R1148" s="29">
        <x:f>WORKDAY(기본입력!$H$2,Q1148-1,공휴일)</x:f>
        <x:v>46114</x:v>
      </x:c>
    </x:row>
    <x:row r="1149" spans="1:18">
      <x:c r="A1149" s="145" t="str">
        <x:f t="shared" si="106"/>
        <x:v>20260402</x:v>
      </x:c>
      <x:c r="B1149" s="20" t="s">
        <x:v>5</x:v>
      </x:c>
      <x:c r="C1149" s="20">
        <x:v>1740</x:v>
      </x:c>
      <x:c r="D1149" s="21" t="s">
        <x:v>1</x:v>
      </x:c>
      <x:c r="E1149" s="20" t="s">
        <x:v>88</x:v>
      </x:c>
      <x:c r="F1149" s="20" t="s">
        <x:v>40</x:v>
      </x:c>
      <x:c r="G1149" s="24" t="str">
        <x:f>IF(OR(N1149="",N1149&gt;기본입력!$C$34),"",VLOOKUP(O1149,기본입력!$A$9:$F$33,5))</x:f>
        <x:v/>
      </x:c>
      <x:c r="H1149" s="24" t="str">
        <x:f>IF(OR(N1149="",N1149&gt;기본입력!$C$34),"",기본입력!$C$6)</x:f>
        <x:v/>
      </x:c>
      <x:c r="I1149" s="24" t="str">
        <x:f>IF(OR(O1149="",N1149&gt;기본입력!$C$34),"",VLOOKUP(O1149,기본입력!$A$9:$F$33,6,FALSE))</x:f>
        <x:v/>
      </x:c>
      <x:c r="J1149" s="38" t="e">
        <x:f t="shared" si="108"/>
        <x:v>#VALUE!</x:v>
      </x:c>
      <x:c r="K1149" s="38" t="e">
        <x:f t="shared" si="109"/>
        <x:v>#VALUE!</x:v>
      </x:c>
      <x:c r="L1149" s="38" t="e">
        <x:f t="shared" si="110"/>
        <x:v>#VALUE!</x:v>
      </x:c>
      <x:c r="M1149" s="63"/>
      <x:c r="N1149" s="30">
        <x:f>IF(F1149="2","",COUNTIF($F$3:$F1149,"=1"))</x:f>
        <x:v>1020</x:v>
      </x:c>
      <x:c r="O1149" s="30">
        <x:f t="shared" si="105"/>
        <x:v>14</x:v>
      </x:c>
      <x:c r="P1149" s="30">
        <x:f t="shared" si="107"/>
        <x:v>6</x:v>
      </x:c>
      <x:c r="Q1149" s="30">
        <x:f>COUNTIF($P$3:P1149,"=3")</x:f>
        <x:v>128</x:v>
      </x:c>
      <x:c r="R1149" s="29">
        <x:f>WORKDAY(기본입력!$H$2,Q1149-1,공휴일)</x:f>
        <x:v>46114</x:v>
      </x:c>
    </x:row>
    <x:row r="1150" spans="1:18">
      <x:c r="A1150" s="145" t="str">
        <x:f t="shared" si="106"/>
        <x:v>20260402</x:v>
      </x:c>
      <x:c r="B1150" s="20" t="s">
        <x:v>5</x:v>
      </x:c>
      <x:c r="C1150" s="20">
        <x:v>1740</x:v>
      </x:c>
      <x:c r="D1150" s="21" t="s">
        <x:v>1</x:v>
      </x:c>
      <x:c r="E1150" s="20" t="s">
        <x:v>0</x:v>
      </x:c>
      <x:c r="F1150" s="20" t="s">
        <x:v>41</x:v>
      </x:c>
      <x:c r="G1150" s="24" t="str">
        <x:f>IF(OR(N1150="",N1150&gt;기본입력!$C$34),"",VLOOKUP(O1150,기본입력!$A$9:$F$33,5))</x:f>
        <x:v/>
      </x:c>
      <x:c r="H1150" s="24" t="str">
        <x:f>IF(OR(N1150="",N1150&gt;기본입력!$C$34),"",기본입력!$C$6)</x:f>
        <x:v/>
      </x:c>
      <x:c r="I1150" s="24" t="str">
        <x:f>IF(OR(O1150="",N1150&gt;기본입력!$C$34),"",VLOOKUP(O1150,기본입력!$A$9:$F$33,6,FALSE))</x:f>
        <x:v/>
      </x:c>
      <x:c r="J1150" s="38" t="str">
        <x:f t="shared" si="108"/>
        <x:v/>
      </x:c>
      <x:c r="K1150" s="38" t="str">
        <x:f t="shared" si="109"/>
        <x:v/>
      </x:c>
      <x:c r="L1150" s="38" t="str">
        <x:f t="shared" si="110"/>
        <x:v/>
      </x:c>
      <x:c r="M1150" s="63"/>
      <x:c r="N1150" s="30" t="str">
        <x:f>IF(F1150="2","",COUNTIF($F$3:$F1150,"=1"))</x:f>
        <x:v/>
      </x:c>
      <x:c r="O1150" s="30" t="str">
        <x:f t="shared" si="105"/>
        <x:v/>
      </x:c>
      <x:c r="P1150" s="30">
        <x:f t="shared" si="107"/>
        <x:v>7</x:v>
      </x:c>
      <x:c r="Q1150" s="30">
        <x:f>COUNTIF($P$3:P1150,"=3")</x:f>
        <x:v>128</x:v>
      </x:c>
      <x:c r="R1150" s="29">
        <x:f>WORKDAY(기본입력!$H$2,Q1150-1,공휴일)</x:f>
        <x:v>46114</x:v>
      </x:c>
    </x:row>
    <x:row r="1151" spans="1:18">
      <x:c r="A1151" s="145" t="str">
        <x:f t="shared" si="106"/>
        <x:v>20260402</x:v>
      </x:c>
      <x:c r="B1151" s="20" t="s">
        <x:v>5</x:v>
      </x:c>
      <x:c r="C1151" s="20">
        <x:v>1740</x:v>
      </x:c>
      <x:c r="D1151" s="21" t="s">
        <x:v>1</x:v>
      </x:c>
      <x:c r="E1151" s="20">
        <x:v>1340</x:v>
      </x:c>
      <x:c r="F1151" s="20" t="s">
        <x:v>40</x:v>
      </x:c>
      <x:c r="G1151" s="24" t="str">
        <x:f>IF(OR(N1151="",N1151&gt;기본입력!$C$34),"",VLOOKUP(O1151,기본입력!$A$9:$F$33,5))</x:f>
        <x:v/>
      </x:c>
      <x:c r="H1151" s="24" t="str">
        <x:f>IF(OR(N1151="",N1151&gt;기본입력!$C$34),"",기본입력!$C$6)</x:f>
        <x:v/>
      </x:c>
      <x:c r="I1151" s="24" t="str">
        <x:f>IF(OR(O1151="",N1151&gt;기본입력!$C$34),"",VLOOKUP(O1151,기본입력!$A$9:$F$33,6,FALSE))</x:f>
        <x:v/>
      </x:c>
      <x:c r="J1151" s="38" t="e">
        <x:f t="shared" si="108"/>
        <x:v>#VALUE!</x:v>
      </x:c>
      <x:c r="K1151" s="38" t="e">
        <x:f t="shared" si="109"/>
        <x:v>#VALUE!</x:v>
      </x:c>
      <x:c r="L1151" s="38" t="e">
        <x:f t="shared" si="110"/>
        <x:v>#VALUE!</x:v>
      </x:c>
      <x:c r="M1151" s="63"/>
      <x:c r="N1151" s="30">
        <x:f>IF(F1151="2","",COUNTIF($F$3:$F1151,"=1"))</x:f>
        <x:v>1021</x:v>
      </x:c>
      <x:c r="O1151" s="30">
        <x:f t="shared" si="105"/>
        <x:v>14</x:v>
      </x:c>
      <x:c r="P1151" s="30">
        <x:f t="shared" si="107"/>
        <x:v>8</x:v>
      </x:c>
      <x:c r="Q1151" s="30">
        <x:f>COUNTIF($P$3:P1151,"=3")</x:f>
        <x:v>128</x:v>
      </x:c>
      <x:c r="R1151" s="29">
        <x:f>WORKDAY(기본입력!$H$2,Q1151-1,공휴일)</x:f>
        <x:v>46114</x:v>
      </x:c>
    </x:row>
    <x:row r="1152" spans="1:18">
      <x:c r="A1152" s="145" t="str">
        <x:f t="shared" si="106"/>
        <x:v>20260402</x:v>
      </x:c>
      <x:c r="B1152" s="20" t="s">
        <x:v>5</x:v>
      </x:c>
      <x:c r="C1152" s="20">
        <x:v>1740</x:v>
      </x:c>
      <x:c r="D1152" s="21" t="s">
        <x:v>1</x:v>
      </x:c>
      <x:c r="E1152" s="20">
        <x:v>1440</x:v>
      </x:c>
      <x:c r="F1152" s="20" t="s">
        <x:v>40</x:v>
      </x:c>
      <x:c r="G1152" s="24" t="str">
        <x:f>IF(OR(N1152="",N1152&gt;기본입력!$C$34),"",VLOOKUP(O1152,기본입력!$A$9:$F$33,5))</x:f>
        <x:v/>
      </x:c>
      <x:c r="H1152" s="24" t="str">
        <x:f>IF(OR(N1152="",N1152&gt;기본입력!$C$34),"",기본입력!$C$6)</x:f>
        <x:v/>
      </x:c>
      <x:c r="I1152" s="24" t="str">
        <x:f>IF(OR(O1152="",N1152&gt;기본입력!$C$34),"",VLOOKUP(O1152,기본입력!$A$9:$F$33,6,FALSE))</x:f>
        <x:v/>
      </x:c>
      <x:c r="J1152" s="38" t="e">
        <x:f t="shared" si="108"/>
        <x:v>#VALUE!</x:v>
      </x:c>
      <x:c r="K1152" s="38" t="e">
        <x:f t="shared" si="109"/>
        <x:v>#VALUE!</x:v>
      </x:c>
      <x:c r="L1152" s="38" t="e">
        <x:f t="shared" si="110"/>
        <x:v>#VALUE!</x:v>
      </x:c>
      <x:c r="M1152" s="63"/>
      <x:c r="N1152" s="30">
        <x:f>IF(F1152="2","",COUNTIF($F$3:$F1152,"=1"))</x:f>
        <x:v>1022</x:v>
      </x:c>
      <x:c r="O1152" s="30">
        <x:f t="shared" si="105"/>
        <x:v>14</x:v>
      </x:c>
      <x:c r="P1152" s="30">
        <x:f t="shared" si="107"/>
        <x:v>0</x:v>
      </x:c>
      <x:c r="Q1152" s="30">
        <x:f>COUNTIF($P$3:P1152,"=3")</x:f>
        <x:v>128</x:v>
      </x:c>
      <x:c r="R1152" s="29">
        <x:f>WORKDAY(기본입력!$H$2,Q1152-1,공휴일)</x:f>
        <x:v>46114</x:v>
      </x:c>
    </x:row>
    <x:row r="1153" spans="1:18">
      <x:c r="A1153" s="145" t="str">
        <x:f t="shared" si="106"/>
        <x:v>20260402</x:v>
      </x:c>
      <x:c r="B1153" s="20" t="s">
        <x:v>5</x:v>
      </x:c>
      <x:c r="C1153" s="20">
        <x:v>1740</x:v>
      </x:c>
      <x:c r="D1153" s="21" t="s">
        <x:v>1</x:v>
      </x:c>
      <x:c r="E1153" s="20">
        <x:v>1540</x:v>
      </x:c>
      <x:c r="F1153" s="20" t="s">
        <x:v>40</x:v>
      </x:c>
      <x:c r="G1153" s="24" t="str">
        <x:f>IF(OR(N1153="",N1153&gt;기본입력!$C$34),"",VLOOKUP(O1153,기본입력!$A$9:$F$33,5))</x:f>
        <x:v/>
      </x:c>
      <x:c r="H1153" s="24" t="str">
        <x:f>IF(OR(N1153="",N1153&gt;기본입력!$C$34),"",기본입력!$C$6)</x:f>
        <x:v/>
      </x:c>
      <x:c r="I1153" s="24" t="str">
        <x:f>IF(OR(O1153="",N1153&gt;기본입력!$C$34),"",VLOOKUP(O1153,기본입력!$A$9:$F$33,6,FALSE))</x:f>
        <x:v/>
      </x:c>
      <x:c r="J1153" s="38" t="e">
        <x:f t="shared" si="108"/>
        <x:v>#VALUE!</x:v>
      </x:c>
      <x:c r="K1153" s="38" t="e">
        <x:f t="shared" si="109"/>
        <x:v>#VALUE!</x:v>
      </x:c>
      <x:c r="L1153" s="38" t="e">
        <x:f t="shared" si="110"/>
        <x:v>#VALUE!</x:v>
      </x:c>
      <x:c r="M1153" s="63"/>
      <x:c r="N1153" s="30">
        <x:f>IF(F1153="2","",COUNTIF($F$3:$F1153,"=1"))</x:f>
        <x:v>1023</x:v>
      </x:c>
      <x:c r="O1153" s="30">
        <x:f t="shared" si="105"/>
        <x:v>14</x:v>
      </x:c>
      <x:c r="P1153" s="30">
        <x:f t="shared" si="107"/>
        <x:v>1</x:v>
      </x:c>
      <x:c r="Q1153" s="30">
        <x:f>COUNTIF($P$3:P1153,"=3")</x:f>
        <x:v>128</x:v>
      </x:c>
      <x:c r="R1153" s="29">
        <x:f>WORKDAY(기본입력!$H$2,Q1153-1,공휴일)</x:f>
        <x:v>46114</x:v>
      </x:c>
    </x:row>
    <x:row r="1154" spans="1:18">
      <x:c r="A1154" s="145" t="str">
        <x:f t="shared" si="106"/>
        <x:v>20260402</x:v>
      </x:c>
      <x:c r="B1154" s="20" t="s">
        <x:v>5</x:v>
      </x:c>
      <x:c r="C1154" s="20">
        <x:v>1740</x:v>
      </x:c>
      <x:c r="D1154" s="21" t="s">
        <x:v>1</x:v>
      </x:c>
      <x:c r="E1154" s="20">
        <x:v>1640</x:v>
      </x:c>
      <x:c r="F1154" s="20" t="s">
        <x:v>40</x:v>
      </x:c>
      <x:c r="G1154" s="24" t="str">
        <x:f>IF(OR(N1154="",N1154&gt;기본입력!$C$34),"",VLOOKUP(O1154,기본입력!$A$9:$F$33,5))</x:f>
        <x:v/>
      </x:c>
      <x:c r="H1154" s="24" t="str">
        <x:f>IF(OR(N1154="",N1154&gt;기본입력!$C$34),"",기본입력!$C$6)</x:f>
        <x:v/>
      </x:c>
      <x:c r="I1154" s="24" t="str">
        <x:f>IF(OR(O1154="",N1154&gt;기본입력!$C$34),"",VLOOKUP(O1154,기본입력!$A$9:$F$33,6,FALSE))</x:f>
        <x:v/>
      </x:c>
      <x:c r="J1154" s="38" t="e">
        <x:f t="shared" si="108"/>
        <x:v>#VALUE!</x:v>
      </x:c>
      <x:c r="K1154" s="38" t="e">
        <x:f t="shared" si="109"/>
        <x:v>#VALUE!</x:v>
      </x:c>
      <x:c r="L1154" s="38" t="e">
        <x:f t="shared" si="110"/>
        <x:v>#VALUE!</x:v>
      </x:c>
      <x:c r="M1154" s="63"/>
      <x:c r="N1154" s="30">
        <x:f>IF(F1154="2","",COUNTIF($F$3:$F1154,"=1"))</x:f>
        <x:v>1024</x:v>
      </x:c>
      <x:c r="O1154" s="30">
        <x:f t="shared" si="105"/>
        <x:v>14</x:v>
      </x:c>
      <x:c r="P1154" s="30">
        <x:f t="shared" si="107"/>
        <x:v>2</x:v>
      </x:c>
      <x:c r="Q1154" s="30">
        <x:f>COUNTIF($P$3:P1154,"=3")</x:f>
        <x:v>128</x:v>
      </x:c>
      <x:c r="R1154" s="29">
        <x:f>WORKDAY(기본입력!$H$2,Q1154-1,공휴일)</x:f>
        <x:v>46114</x:v>
      </x:c>
    </x:row>
    <x:row r="1155" spans="1:18">
      <x:c r="A1155" s="144" t="str">
        <x:f t="shared" si="106"/>
        <x:v>20260403</x:v>
      </x:c>
      <x:c r="B1155" s="17" t="s">
        <x:v>5</x:v>
      </x:c>
      <x:c r="C1155" s="17">
        <x:v>1740</x:v>
      </x:c>
      <x:c r="D1155" s="18" t="s">
        <x:v>1</x:v>
      </x:c>
      <x:c r="E1155" s="17" t="s">
        <x:v>5</x:v>
      </x:c>
      <x:c r="F1155" s="17" t="s">
        <x:v>40</x:v>
      </x:c>
      <x:c r="G1155" s="25" t="str">
        <x:f>IF(OR(N1155="",N1155&gt;기본입력!$C$34),"",VLOOKUP(O1155,기본입력!$A$9:$F$33,5))</x:f>
        <x:v/>
      </x:c>
      <x:c r="H1155" s="25" t="str">
        <x:f>IF(OR(N1155="",N1155&gt;기본입력!$C$34),"",기본입력!$C$6)</x:f>
        <x:v/>
      </x:c>
      <x:c r="I1155" s="25" t="str">
        <x:f>IF(OR(O1155="",N1155&gt;기본입력!$C$34),"",VLOOKUP(O1155,기본입력!$A$9:$F$33,6,FALSE))</x:f>
        <x:v/>
      </x:c>
      <x:c r="J1155" s="38" t="e">
        <x:f t="shared" si="108"/>
        <x:v>#VALUE!</x:v>
      </x:c>
      <x:c r="K1155" s="38" t="e">
        <x:f t="shared" si="109"/>
        <x:v>#VALUE!</x:v>
      </x:c>
      <x:c r="L1155" s="38" t="e">
        <x:f t="shared" si="110"/>
        <x:v>#VALUE!</x:v>
      </x:c>
      <x:c r="M1155" s="63"/>
      <x:c r="N1155" s="30">
        <x:f>IF(F1155="2","",COUNTIF($F$3:$F1155,"=1"))</x:f>
        <x:v>1025</x:v>
      </x:c>
      <x:c r="O1155" s="30">
        <x:f t="shared" si="105"/>
        <x:v>14</x:v>
      </x:c>
      <x:c r="P1155" s="30">
        <x:f t="shared" si="107"/>
        <x:v>3</x:v>
      </x:c>
      <x:c r="Q1155" s="30">
        <x:f>COUNTIF($P$3:P1155,"=3")</x:f>
        <x:v>129</x:v>
      </x:c>
      <x:c r="R1155" s="29">
        <x:f>WORKDAY(기본입력!$H$2,Q1155-1,공휴일)</x:f>
        <x:v>46115</x:v>
      </x:c>
    </x:row>
    <x:row r="1156" spans="1:18">
      <x:c r="A1156" s="144" t="str">
        <x:f t="shared" si="106"/>
        <x:v>20260403</x:v>
      </x:c>
      <x:c r="B1156" s="17" t="s">
        <x:v>5</x:v>
      </x:c>
      <x:c r="C1156" s="17">
        <x:v>1740</x:v>
      </x:c>
      <x:c r="D1156" s="18" t="s">
        <x:v>1</x:v>
      </x:c>
      <x:c r="E1156" s="17" t="s">
        <x:v>117</x:v>
      </x:c>
      <x:c r="F1156" s="17" t="s">
        <x:v>40</x:v>
      </x:c>
      <x:c r="G1156" s="25" t="str">
        <x:f>IF(OR(N1156="",N1156&gt;기본입력!$C$34),"",VLOOKUP(O1156,기본입력!$A$9:$F$33,5))</x:f>
        <x:v/>
      </x:c>
      <x:c r="H1156" s="25" t="str">
        <x:f>IF(OR(N1156="",N1156&gt;기본입력!$C$34),"",기본입력!$C$6)</x:f>
        <x:v/>
      </x:c>
      <x:c r="I1156" s="25" t="str">
        <x:f>IF(OR(O1156="",N1156&gt;기본입력!$C$34),"",VLOOKUP(O1156,기본입력!$A$9:$F$33,6,FALSE))</x:f>
        <x:v/>
      </x:c>
      <x:c r="J1156" s="38" t="e">
        <x:f t="shared" si="108"/>
        <x:v>#VALUE!</x:v>
      </x:c>
      <x:c r="K1156" s="38" t="e">
        <x:f t="shared" si="109"/>
        <x:v>#VALUE!</x:v>
      </x:c>
      <x:c r="L1156" s="38" t="e">
        <x:f t="shared" si="110"/>
        <x:v>#VALUE!</x:v>
      </x:c>
      <x:c r="M1156" s="63"/>
      <x:c r="N1156" s="30">
        <x:f>IF(F1156="2","",COUNTIF($F$3:$F1156,"=1"))</x:f>
        <x:v>1026</x:v>
      </x:c>
      <x:c r="O1156" s="30">
        <x:f t="shared" si="105"/>
        <x:v>14</x:v>
      </x:c>
      <x:c r="P1156" s="30">
        <x:f t="shared" si="107"/>
        <x:v>4</x:v>
      </x:c>
      <x:c r="Q1156" s="30">
        <x:f>COUNTIF($P$3:P1156,"=3")</x:f>
        <x:v>129</x:v>
      </x:c>
      <x:c r="R1156" s="29">
        <x:f>WORKDAY(기본입력!$H$2,Q1156-1,공휴일)</x:f>
        <x:v>46115</x:v>
      </x:c>
    </x:row>
    <x:row r="1157" spans="1:18">
      <x:c r="A1157" s="144" t="str">
        <x:f t="shared" si="106"/>
        <x:v>20260403</x:v>
      </x:c>
      <x:c r="B1157" s="17" t="s">
        <x:v>5</x:v>
      </x:c>
      <x:c r="C1157" s="17">
        <x:v>1740</x:v>
      </x:c>
      <x:c r="D1157" s="18" t="s">
        <x:v>1</x:v>
      </x:c>
      <x:c r="E1157" s="17" t="s">
        <x:v>87</x:v>
      </x:c>
      <x:c r="F1157" s="17" t="s">
        <x:v>40</x:v>
      </x:c>
      <x:c r="G1157" s="25" t="str">
        <x:f>IF(OR(N1157="",N1157&gt;기본입력!$C$34),"",VLOOKUP(O1157,기본입력!$A$9:$F$33,5))</x:f>
        <x:v/>
      </x:c>
      <x:c r="H1157" s="25" t="str">
        <x:f>IF(OR(N1157="",N1157&gt;기본입력!$C$34),"",기본입력!$C$6)</x:f>
        <x:v/>
      </x:c>
      <x:c r="I1157" s="25" t="str">
        <x:f>IF(OR(O1157="",N1157&gt;기본입력!$C$34),"",VLOOKUP(O1157,기본입력!$A$9:$F$33,6,FALSE))</x:f>
        <x:v/>
      </x:c>
      <x:c r="J1157" s="38" t="e">
        <x:f t="shared" si="108"/>
        <x:v>#VALUE!</x:v>
      </x:c>
      <x:c r="K1157" s="38" t="e">
        <x:f t="shared" si="109"/>
        <x:v>#VALUE!</x:v>
      </x:c>
      <x:c r="L1157" s="38" t="e">
        <x:f t="shared" si="110"/>
        <x:v>#VALUE!</x:v>
      </x:c>
      <x:c r="M1157" s="63"/>
      <x:c r="N1157" s="30">
        <x:f>IF(F1157="2","",COUNTIF($F$3:$F1157,"=1"))</x:f>
        <x:v>1027</x:v>
      </x:c>
      <x:c r="O1157" s="30">
        <x:f t="shared" si="105"/>
        <x:v>14</x:v>
      </x:c>
      <x:c r="P1157" s="30">
        <x:f t="shared" si="107"/>
        <x:v>5</x:v>
      </x:c>
      <x:c r="Q1157" s="30">
        <x:f>COUNTIF($P$3:P1157,"=3")</x:f>
        <x:v>129</x:v>
      </x:c>
      <x:c r="R1157" s="29">
        <x:f>WORKDAY(기본입력!$H$2,Q1157-1,공휴일)</x:f>
        <x:v>46115</x:v>
      </x:c>
    </x:row>
    <x:row r="1158" spans="1:18">
      <x:c r="A1158" s="144" t="str">
        <x:f t="shared" si="106"/>
        <x:v>20260403</x:v>
      </x:c>
      <x:c r="B1158" s="17" t="s">
        <x:v>5</x:v>
      </x:c>
      <x:c r="C1158" s="17">
        <x:v>1740</x:v>
      </x:c>
      <x:c r="D1158" s="18" t="s">
        <x:v>1</x:v>
      </x:c>
      <x:c r="E1158" s="17" t="s">
        <x:v>88</x:v>
      </x:c>
      <x:c r="F1158" s="17" t="s">
        <x:v>40</x:v>
      </x:c>
      <x:c r="G1158" s="25" t="str">
        <x:f>IF(OR(N1158="",N1158&gt;기본입력!$C$34),"",VLOOKUP(O1158,기본입력!$A$9:$F$33,5))</x:f>
        <x:v/>
      </x:c>
      <x:c r="H1158" s="25" t="str">
        <x:f>IF(OR(N1158="",N1158&gt;기본입력!$C$34),"",기본입력!$C$6)</x:f>
        <x:v/>
      </x:c>
      <x:c r="I1158" s="25" t="str">
        <x:f>IF(OR(O1158="",N1158&gt;기본입력!$C$34),"",VLOOKUP(O1158,기본입력!$A$9:$F$33,6,FALSE))</x:f>
        <x:v/>
      </x:c>
      <x:c r="J1158" s="38" t="e">
        <x:f t="shared" si="108"/>
        <x:v>#VALUE!</x:v>
      </x:c>
      <x:c r="K1158" s="38" t="e">
        <x:f t="shared" si="109"/>
        <x:v>#VALUE!</x:v>
      </x:c>
      <x:c r="L1158" s="38" t="e">
        <x:f t="shared" si="110"/>
        <x:v>#VALUE!</x:v>
      </x:c>
      <x:c r="M1158" s="63"/>
      <x:c r="N1158" s="30">
        <x:f>IF(F1158="2","",COUNTIF($F$3:$F1158,"=1"))</x:f>
        <x:v>1028</x:v>
      </x:c>
      <x:c r="O1158" s="30">
        <x:f t="shared" si="105"/>
        <x:v>14</x:v>
      </x:c>
      <x:c r="P1158" s="30">
        <x:f t="shared" si="107"/>
        <x:v>6</x:v>
      </x:c>
      <x:c r="Q1158" s="30">
        <x:f>COUNTIF($P$3:P1158,"=3")</x:f>
        <x:v>129</x:v>
      </x:c>
      <x:c r="R1158" s="29">
        <x:f>WORKDAY(기본입력!$H$2,Q1158-1,공휴일)</x:f>
        <x:v>46115</x:v>
      </x:c>
    </x:row>
    <x:row r="1159" spans="1:18">
      <x:c r="A1159" s="144" t="str">
        <x:f t="shared" si="106"/>
        <x:v>20260403</x:v>
      </x:c>
      <x:c r="B1159" s="17" t="s">
        <x:v>5</x:v>
      </x:c>
      <x:c r="C1159" s="17">
        <x:v>1740</x:v>
      </x:c>
      <x:c r="D1159" s="18" t="s">
        <x:v>1</x:v>
      </x:c>
      <x:c r="E1159" s="17" t="s">
        <x:v>0</x:v>
      </x:c>
      <x:c r="F1159" s="17" t="s">
        <x:v>41</x:v>
      </x:c>
      <x:c r="G1159" s="25" t="str">
        <x:f>IF(OR(N1159="",N1159&gt;기본입력!$C$34),"",VLOOKUP(O1159,기본입력!$A$9:$F$33,5))</x:f>
        <x:v/>
      </x:c>
      <x:c r="H1159" s="25" t="str">
        <x:f>IF(OR(N1159="",N1159&gt;기본입력!$C$34),"",기본입력!$C$6)</x:f>
        <x:v/>
      </x:c>
      <x:c r="I1159" s="25" t="str">
        <x:f>IF(OR(O1159="",N1159&gt;기본입력!$C$34),"",VLOOKUP(O1159,기본입력!$A$9:$F$33,6,FALSE))</x:f>
        <x:v/>
      </x:c>
      <x:c r="J1159" s="38" t="str">
        <x:f t="shared" si="108"/>
        <x:v/>
      </x:c>
      <x:c r="K1159" s="38" t="str">
        <x:f t="shared" si="109"/>
        <x:v/>
      </x:c>
      <x:c r="L1159" s="38" t="str">
        <x:f t="shared" si="110"/>
        <x:v/>
      </x:c>
      <x:c r="M1159" s="63"/>
      <x:c r="N1159" s="30" t="str">
        <x:f>IF(F1159="2","",COUNTIF($F$3:$F1159,"=1"))</x:f>
        <x:v/>
      </x:c>
      <x:c r="O1159" s="30" t="str">
        <x:f t="shared" si="105"/>
        <x:v/>
      </x:c>
      <x:c r="P1159" s="30">
        <x:f t="shared" si="107"/>
        <x:v>7</x:v>
      </x:c>
      <x:c r="Q1159" s="30">
        <x:f>COUNTIF($P$3:P1159,"=3")</x:f>
        <x:v>129</x:v>
      </x:c>
      <x:c r="R1159" s="29">
        <x:f>WORKDAY(기본입력!$H$2,Q1159-1,공휴일)</x:f>
        <x:v>46115</x:v>
      </x:c>
    </x:row>
    <x:row r="1160" spans="1:18">
      <x:c r="A1160" s="144" t="str">
        <x:f t="shared" si="106"/>
        <x:v>20260403</x:v>
      </x:c>
      <x:c r="B1160" s="17" t="s">
        <x:v>5</x:v>
      </x:c>
      <x:c r="C1160" s="17">
        <x:v>1740</x:v>
      </x:c>
      <x:c r="D1160" s="18" t="s">
        <x:v>1</x:v>
      </x:c>
      <x:c r="E1160" s="17">
        <x:v>1340</x:v>
      </x:c>
      <x:c r="F1160" s="17" t="s">
        <x:v>40</x:v>
      </x:c>
      <x:c r="G1160" s="25" t="str">
        <x:f>IF(OR(N1160="",N1160&gt;기본입력!$C$34),"",VLOOKUP(O1160,기본입력!$A$9:$F$33,5))</x:f>
        <x:v/>
      </x:c>
      <x:c r="H1160" s="25" t="str">
        <x:f>IF(OR(N1160="",N1160&gt;기본입력!$C$34),"",기본입력!$C$6)</x:f>
        <x:v/>
      </x:c>
      <x:c r="I1160" s="25" t="str">
        <x:f>IF(OR(O1160="",N1160&gt;기본입력!$C$34),"",VLOOKUP(O1160,기본입력!$A$9:$F$33,6,FALSE))</x:f>
        <x:v/>
      </x:c>
      <x:c r="J1160" s="38" t="e">
        <x:f t="shared" si="108"/>
        <x:v>#VALUE!</x:v>
      </x:c>
      <x:c r="K1160" s="38" t="e">
        <x:f t="shared" si="109"/>
        <x:v>#VALUE!</x:v>
      </x:c>
      <x:c r="L1160" s="38" t="e">
        <x:f t="shared" si="110"/>
        <x:v>#VALUE!</x:v>
      </x:c>
      <x:c r="M1160" s="63"/>
      <x:c r="N1160" s="30">
        <x:f>IF(F1160="2","",COUNTIF($F$3:$F1160,"=1"))</x:f>
        <x:v>1029</x:v>
      </x:c>
      <x:c r="O1160" s="30">
        <x:f t="shared" si="105"/>
        <x:v>14</x:v>
      </x:c>
      <x:c r="P1160" s="30">
        <x:f t="shared" si="107"/>
        <x:v>8</x:v>
      </x:c>
      <x:c r="Q1160" s="30">
        <x:f>COUNTIF($P$3:P1160,"=3")</x:f>
        <x:v>129</x:v>
      </x:c>
      <x:c r="R1160" s="29">
        <x:f>WORKDAY(기본입력!$H$2,Q1160-1,공휴일)</x:f>
        <x:v>46115</x:v>
      </x:c>
    </x:row>
    <x:row r="1161" spans="1:18">
      <x:c r="A1161" s="144" t="str">
        <x:f t="shared" si="106"/>
        <x:v>20260403</x:v>
      </x:c>
      <x:c r="B1161" s="17" t="s">
        <x:v>5</x:v>
      </x:c>
      <x:c r="C1161" s="17">
        <x:v>1740</x:v>
      </x:c>
      <x:c r="D1161" s="18" t="s">
        <x:v>1</x:v>
      </x:c>
      <x:c r="E1161" s="17">
        <x:v>1440</x:v>
      </x:c>
      <x:c r="F1161" s="17" t="s">
        <x:v>40</x:v>
      </x:c>
      <x:c r="G1161" s="25" t="str">
        <x:f>IF(OR(N1161="",N1161&gt;기본입력!$C$34),"",VLOOKUP(O1161,기본입력!$A$9:$F$33,5))</x:f>
        <x:v/>
      </x:c>
      <x:c r="H1161" s="25" t="str">
        <x:f>IF(OR(N1161="",N1161&gt;기본입력!$C$34),"",기본입력!$C$6)</x:f>
        <x:v/>
      </x:c>
      <x:c r="I1161" s="25" t="str">
        <x:f>IF(OR(O1161="",N1161&gt;기본입력!$C$34),"",VLOOKUP(O1161,기본입력!$A$9:$F$33,6,FALSE))</x:f>
        <x:v/>
      </x:c>
      <x:c r="J1161" s="38" t="e">
        <x:f t="shared" si="108"/>
        <x:v>#VALUE!</x:v>
      </x:c>
      <x:c r="K1161" s="38" t="e">
        <x:f t="shared" si="109"/>
        <x:v>#VALUE!</x:v>
      </x:c>
      <x:c r="L1161" s="38" t="e">
        <x:f t="shared" si="110"/>
        <x:v>#VALUE!</x:v>
      </x:c>
      <x:c r="M1161" s="63"/>
      <x:c r="N1161" s="30">
        <x:f>IF(F1161="2","",COUNTIF($F$3:$F1161,"=1"))</x:f>
        <x:v>1030</x:v>
      </x:c>
      <x:c r="O1161" s="30">
        <x:f t="shared" si="105"/>
        <x:v>14</x:v>
      </x:c>
      <x:c r="P1161" s="30">
        <x:f t="shared" si="107"/>
        <x:v>0</x:v>
      </x:c>
      <x:c r="Q1161" s="30">
        <x:f>COUNTIF($P$3:P1161,"=3")</x:f>
        <x:v>129</x:v>
      </x:c>
      <x:c r="R1161" s="29">
        <x:f>WORKDAY(기본입력!$H$2,Q1161-1,공휴일)</x:f>
        <x:v>46115</x:v>
      </x:c>
    </x:row>
    <x:row r="1162" spans="1:18">
      <x:c r="A1162" s="144" t="str">
        <x:f t="shared" si="106"/>
        <x:v>20260403</x:v>
      </x:c>
      <x:c r="B1162" s="17" t="s">
        <x:v>5</x:v>
      </x:c>
      <x:c r="C1162" s="17">
        <x:v>1740</x:v>
      </x:c>
      <x:c r="D1162" s="18" t="s">
        <x:v>1</x:v>
      </x:c>
      <x:c r="E1162" s="17">
        <x:v>1540</x:v>
      </x:c>
      <x:c r="F1162" s="17" t="s">
        <x:v>40</x:v>
      </x:c>
      <x:c r="G1162" s="25" t="str">
        <x:f>IF(OR(N1162="",N1162&gt;기본입력!$C$34),"",VLOOKUP(O1162,기본입력!$A$9:$F$33,5))</x:f>
        <x:v/>
      </x:c>
      <x:c r="H1162" s="25" t="str">
        <x:f>IF(OR(N1162="",N1162&gt;기본입력!$C$34),"",기본입력!$C$6)</x:f>
        <x:v/>
      </x:c>
      <x:c r="I1162" s="25" t="str">
        <x:f>IF(OR(O1162="",N1162&gt;기본입력!$C$34),"",VLOOKUP(O1162,기본입력!$A$9:$F$33,6,FALSE))</x:f>
        <x:v/>
      </x:c>
      <x:c r="J1162" s="38" t="e">
        <x:f t="shared" si="108"/>
        <x:v>#VALUE!</x:v>
      </x:c>
      <x:c r="K1162" s="38" t="e">
        <x:f t="shared" si="109"/>
        <x:v>#VALUE!</x:v>
      </x:c>
      <x:c r="L1162" s="38" t="e">
        <x:f t="shared" si="110"/>
        <x:v>#VALUE!</x:v>
      </x:c>
      <x:c r="M1162" s="63"/>
      <x:c r="N1162" s="30">
        <x:f>IF(F1162="2","",COUNTIF($F$3:$F1162,"=1"))</x:f>
        <x:v>1031</x:v>
      </x:c>
      <x:c r="O1162" s="30">
        <x:f t="shared" si="105"/>
        <x:v>14</x:v>
      </x:c>
      <x:c r="P1162" s="30">
        <x:f t="shared" si="107"/>
        <x:v>1</x:v>
      </x:c>
      <x:c r="Q1162" s="30">
        <x:f>COUNTIF($P$3:P1162,"=3")</x:f>
        <x:v>129</x:v>
      </x:c>
      <x:c r="R1162" s="29">
        <x:f>WORKDAY(기본입력!$H$2,Q1162-1,공휴일)</x:f>
        <x:v>46115</x:v>
      </x:c>
    </x:row>
    <x:row r="1163" spans="1:18">
      <x:c r="A1163" s="144" t="str">
        <x:f t="shared" si="106"/>
        <x:v>20260403</x:v>
      </x:c>
      <x:c r="B1163" s="17" t="s">
        <x:v>5</x:v>
      </x:c>
      <x:c r="C1163" s="17">
        <x:v>1740</x:v>
      </x:c>
      <x:c r="D1163" s="18"/>
      <x:c r="E1163" s="17">
        <x:v>1640</x:v>
      </x:c>
      <x:c r="F1163" s="17" t="s">
        <x:v>40</x:v>
      </x:c>
      <x:c r="G1163" s="25" t="str">
        <x:f>IF(OR(N1163="",N1163&gt;기본입력!$C$34),"",VLOOKUP(O1163,기본입력!$A$9:$F$33,5))</x:f>
        <x:v/>
      </x:c>
      <x:c r="H1163" s="25" t="str">
        <x:f>IF(OR(N1163="",N1163&gt;기본입력!$C$34),"",기본입력!$C$6)</x:f>
        <x:v/>
      </x:c>
      <x:c r="I1163" s="25" t="str">
        <x:f>IF(OR(O1163="",N1163&gt;기본입력!$C$34),"",VLOOKUP(O1163,기본입력!$A$9:$F$33,6,FALSE))</x:f>
        <x:v/>
      </x:c>
      <x:c r="J1163" s="38" t="e">
        <x:f>IF(F1163="2","",LEFT(I1163,FIND("_",I1163,2)-1))</x:f>
        <x:v>#VALUE!</x:v>
      </x:c>
      <x:c r="K1163" s="38" t="e">
        <x:f>IF(F1163="2","",LEFT(H1163,FIND("_",H1163,2)-1))</x:f>
        <x:v>#VALUE!</x:v>
      </x:c>
      <x:c r="L1163" s="38" t="e">
        <x:f>IF(F1163="2","",LEFT(G1163,FIND("_",G1163,2)-1))</x:f>
        <x:v>#VALUE!</x:v>
      </x:c>
      <x:c r="M1163" s="63"/>
      <x:c r="N1163" s="30">
        <x:f>IF(F1163="2","",COUNTIF($F$3:$F1163,"=1"))</x:f>
        <x:v>1032</x:v>
      </x:c>
      <x:c r="O1163" s="30">
        <x:f>IF(F1163="2","",IF(N1163&lt;=누적시수1,1,IF(N1163&lt;=누적시수2,2,IF(N1163&lt;=누적시수3,3,IF(N1163&lt;=누적시수4,4,IF(N1163&lt;=누적시수5,5,IF(N1163&lt;=누적시수6,6,IF(N1163&lt;=누적시수7,7,IF(N1163&lt;=누적시수8,8,IF(N1163&lt;=누적시수9,9,IF(N1163&lt;=누적시수10,10,IF(N1163&lt;=누적시수11,11,IF(N1163&lt;=누적시수12,12,IF(N1163&lt;=누적시수13,13,IF(N1163&lt;=누적시수14,14,IF(N1163&lt;=누적시수15,15,IF(N1163&lt;=누적시수16,16,IF(N1163&lt;=누적시수17,17,IF(N1163&lt;=누적시수18,18,IF(N1163&lt;=누적시수19,19,IF(N1163&lt;=누적시수20,20,IF(N1163&lt;=누적시수21,21,IF(N1163&lt;=누적시수22,22,IF(N1163&lt;=누적시수23,23,IF(N1163&lt;=누적시수24,24,IF(N1163&lt;=누적시수25,25,0))))))))))))))))))))))))))</x:f>
        <x:v>14</x:v>
      </x:c>
      <x:c r="P1163" s="30">
        <x:f t="shared" si="107"/>
        <x:v>2</x:v>
      </x:c>
      <x:c r="Q1163" s="30">
        <x:f>COUNTIF($P$3:P1163,"=3")</x:f>
        <x:v>129</x:v>
      </x:c>
      <x:c r="R1163" s="29">
        <x:f>WORKDAY(기본입력!$H$2,Q1163-1,공휴일)</x:f>
        <x:v>46115</x:v>
      </x:c>
    </x:row>
    <x:row r="1164" spans="1:18">
      <x:c r="A1164" s="145" t="str">
        <x:f t="shared" si="106"/>
        <x:v>20260406</x:v>
      </x:c>
      <x:c r="B1164" s="20" t="s">
        <x:v>5</x:v>
      </x:c>
      <x:c r="C1164" s="20">
        <x:v>1740</x:v>
      </x:c>
      <x:c r="D1164" s="21" t="s">
        <x:v>1</x:v>
      </x:c>
      <x:c r="E1164" s="20" t="s">
        <x:v>5</x:v>
      </x:c>
      <x:c r="F1164" s="20" t="s">
        <x:v>40</x:v>
      </x:c>
      <x:c r="G1164" s="24" t="str">
        <x:f>IF(OR(N1164="",N1164&gt;기본입력!$C$34),"",VLOOKUP(O1164,기본입력!$A$9:$F$33,5))</x:f>
        <x:v/>
      </x:c>
      <x:c r="H1164" s="24" t="str">
        <x:f>IF(OR(N1164="",N1164&gt;기본입력!$C$34),"",기본입력!$C$6)</x:f>
        <x:v/>
      </x:c>
      <x:c r="I1164" s="24" t="str">
        <x:f>IF(OR(O1164="",N1164&gt;기본입력!$C$34),"",VLOOKUP(O1164,기본입력!$A$9:$F$33,6,FALSE))</x:f>
        <x:v/>
      </x:c>
      <x:c r="J1164" s="38" t="e">
        <x:f t="shared" si="108"/>
        <x:v>#VALUE!</x:v>
      </x:c>
      <x:c r="K1164" s="38" t="e">
        <x:f t="shared" si="109"/>
        <x:v>#VALUE!</x:v>
      </x:c>
      <x:c r="L1164" s="38" t="e">
        <x:f t="shared" si="110"/>
        <x:v>#VALUE!</x:v>
      </x:c>
      <x:c r="M1164" s="63"/>
      <x:c r="N1164" s="30">
        <x:f>IF(F1164="2","",COUNTIF($F$3:$F1164,"=1"))</x:f>
        <x:v>1033</x:v>
      </x:c>
      <x:c r="O1164" s="30">
        <x:f t="shared" si="105"/>
        <x:v>14</x:v>
      </x:c>
      <x:c r="P1164" s="30">
        <x:f t="shared" si="107"/>
        <x:v>3</x:v>
      </x:c>
      <x:c r="Q1164" s="30">
        <x:f>COUNTIF($P$3:P1164,"=3")</x:f>
        <x:v>130</x:v>
      </x:c>
      <x:c r="R1164" s="29">
        <x:f>WORKDAY(기본입력!$H$2,Q1164-1,공휴일)</x:f>
        <x:v>46118</x:v>
      </x:c>
    </x:row>
    <x:row r="1165" spans="1:18">
      <x:c r="A1165" s="145" t="str">
        <x:f t="shared" si="106"/>
        <x:v>20260406</x:v>
      </x:c>
      <x:c r="B1165" s="20" t="s">
        <x:v>5</x:v>
      </x:c>
      <x:c r="C1165" s="20">
        <x:v>1740</x:v>
      </x:c>
      <x:c r="D1165" s="21" t="s">
        <x:v>1</x:v>
      </x:c>
      <x:c r="E1165" s="20" t="s">
        <x:v>117</x:v>
      </x:c>
      <x:c r="F1165" s="20" t="s">
        <x:v>40</x:v>
      </x:c>
      <x:c r="G1165" s="24" t="str">
        <x:f>IF(OR(N1165="",N1165&gt;기본입력!$C$34),"",VLOOKUP(O1165,기본입력!$A$9:$F$33,5))</x:f>
        <x:v/>
      </x:c>
      <x:c r="H1165" s="24" t="str">
        <x:f>IF(OR(N1165="",N1165&gt;기본입력!$C$34),"",기본입력!$C$6)</x:f>
        <x:v/>
      </x:c>
      <x:c r="I1165" s="24" t="str">
        <x:f>IF(OR(O1165="",N1165&gt;기본입력!$C$34),"",VLOOKUP(O1165,기본입력!$A$9:$F$33,6,FALSE))</x:f>
        <x:v/>
      </x:c>
      <x:c r="J1165" s="38" t="e">
        <x:f t="shared" si="108"/>
        <x:v>#VALUE!</x:v>
      </x:c>
      <x:c r="K1165" s="38" t="e">
        <x:f t="shared" si="109"/>
        <x:v>#VALUE!</x:v>
      </x:c>
      <x:c r="L1165" s="38" t="e">
        <x:f t="shared" si="110"/>
        <x:v>#VALUE!</x:v>
      </x:c>
      <x:c r="M1165" s="63"/>
      <x:c r="N1165" s="30">
        <x:f>IF(F1165="2","",COUNTIF($F$3:$F1165,"=1"))</x:f>
        <x:v>1034</x:v>
      </x:c>
      <x:c r="O1165" s="30">
        <x:f t="shared" si="105"/>
        <x:v>14</x:v>
      </x:c>
      <x:c r="P1165" s="30">
        <x:f t="shared" si="107"/>
        <x:v>4</x:v>
      </x:c>
      <x:c r="Q1165" s="30">
        <x:f>COUNTIF($P$3:P1165,"=3")</x:f>
        <x:v>130</x:v>
      </x:c>
      <x:c r="R1165" s="29">
        <x:f>WORKDAY(기본입력!$H$2,Q1165-1,공휴일)</x:f>
        <x:v>46118</x:v>
      </x:c>
    </x:row>
    <x:row r="1166" spans="1:18">
      <x:c r="A1166" s="145" t="str">
        <x:f t="shared" si="106"/>
        <x:v>20260406</x:v>
      </x:c>
      <x:c r="B1166" s="20" t="s">
        <x:v>5</x:v>
      </x:c>
      <x:c r="C1166" s="20">
        <x:v>1740</x:v>
      </x:c>
      <x:c r="D1166" s="21" t="s">
        <x:v>1</x:v>
      </x:c>
      <x:c r="E1166" s="20" t="s">
        <x:v>87</x:v>
      </x:c>
      <x:c r="F1166" s="20" t="s">
        <x:v>40</x:v>
      </x:c>
      <x:c r="G1166" s="24" t="str">
        <x:f>IF(OR(N1166="",N1166&gt;기본입력!$C$34),"",VLOOKUP(O1166,기본입력!$A$9:$F$33,5))</x:f>
        <x:v/>
      </x:c>
      <x:c r="H1166" s="24" t="str">
        <x:f>IF(OR(N1166="",N1166&gt;기본입력!$C$34),"",기본입력!$C$6)</x:f>
        <x:v/>
      </x:c>
      <x:c r="I1166" s="24" t="str">
        <x:f>IF(OR(O1166="",N1166&gt;기본입력!$C$34),"",VLOOKUP(O1166,기본입력!$A$9:$F$33,6,FALSE))</x:f>
        <x:v/>
      </x:c>
      <x:c r="J1166" s="38" t="e">
        <x:f t="shared" si="108"/>
        <x:v>#VALUE!</x:v>
      </x:c>
      <x:c r="K1166" s="38" t="e">
        <x:f t="shared" si="109"/>
        <x:v>#VALUE!</x:v>
      </x:c>
      <x:c r="L1166" s="38" t="e">
        <x:f t="shared" si="110"/>
        <x:v>#VALUE!</x:v>
      </x:c>
      <x:c r="M1166" s="63"/>
      <x:c r="N1166" s="30">
        <x:f>IF(F1166="2","",COUNTIF($F$3:$F1166,"=1"))</x:f>
        <x:v>1035</x:v>
      </x:c>
      <x:c r="O1166" s="30">
        <x:f t="shared" ref="O1166:O1183" si="111">IF(F1166="2","",IF(N1166&lt;=누적시수1,1,IF(N1166&lt;=누적시수2,2,IF(N1166&lt;=누적시수3,3,IF(N1166&lt;=누적시수4,4,IF(N1166&lt;=누적시수5,5,IF(N1166&lt;=누적시수6,6,IF(N1166&lt;=누적시수7,7,IF(N1166&lt;=누적시수8,8,IF(N1166&lt;=누적시수9,9,IF(N1166&lt;=누적시수10,10,IF(N1166&lt;=누적시수11,11,IF(N1166&lt;=누적시수12,12,IF(N1166&lt;=누적시수13,13,IF(N1166&lt;=누적시수14,14,IF(N1166&lt;=누적시수15,15,IF(N1166&lt;=누적시수16,16,IF(N1166&lt;=누적시수17,17,IF(N1166&lt;=누적시수18,18,IF(N1166&lt;=누적시수19,19,IF(N1166&lt;=누적시수20,20,IF(N1166&lt;=누적시수21,21,IF(N1166&lt;=누적시수22,22,IF(N1166&lt;=누적시수23,23,IF(N1166&lt;=누적시수24,24,IF(N1166&lt;=누적시수25,25,0))))))))))))))))))))))))))</x:f>
        <x:v>14</x:v>
      </x:c>
      <x:c r="P1166" s="30">
        <x:f t="shared" si="107"/>
        <x:v>5</x:v>
      </x:c>
      <x:c r="Q1166" s="30">
        <x:f>COUNTIF($P$3:P1166,"=3")</x:f>
        <x:v>130</x:v>
      </x:c>
      <x:c r="R1166" s="29">
        <x:f>WORKDAY(기본입력!$H$2,Q1166-1,공휴일)</x:f>
        <x:v>46118</x:v>
      </x:c>
    </x:row>
    <x:row r="1167" spans="1:18">
      <x:c r="A1167" s="145" t="str">
        <x:f t="shared" ref="A1167:A1183" si="112">TEXT(R1167,"yyyymmdd")</x:f>
        <x:v>20260406</x:v>
      </x:c>
      <x:c r="B1167" s="20" t="s">
        <x:v>5</x:v>
      </x:c>
      <x:c r="C1167" s="20">
        <x:v>1740</x:v>
      </x:c>
      <x:c r="D1167" s="21" t="s">
        <x:v>1</x:v>
      </x:c>
      <x:c r="E1167" s="20" t="s">
        <x:v>88</x:v>
      </x:c>
      <x:c r="F1167" s="20" t="s">
        <x:v>40</x:v>
      </x:c>
      <x:c r="G1167" s="24" t="str">
        <x:f>IF(OR(N1167="",N1167&gt;기본입력!$C$34),"",VLOOKUP(O1167,기본입력!$A$9:$F$33,5))</x:f>
        <x:v/>
      </x:c>
      <x:c r="H1167" s="24" t="str">
        <x:f>IF(OR(N1167="",N1167&gt;기본입력!$C$34),"",기본입력!$C$6)</x:f>
        <x:v/>
      </x:c>
      <x:c r="I1167" s="24" t="str">
        <x:f>IF(OR(O1167="",N1167&gt;기본입력!$C$34),"",VLOOKUP(O1167,기본입력!$A$9:$F$33,6,FALSE))</x:f>
        <x:v/>
      </x:c>
      <x:c r="J1167" s="38" t="e">
        <x:f t="shared" si="108"/>
        <x:v>#VALUE!</x:v>
      </x:c>
      <x:c r="K1167" s="38" t="e">
        <x:f t="shared" si="109"/>
        <x:v>#VALUE!</x:v>
      </x:c>
      <x:c r="L1167" s="38" t="e">
        <x:f t="shared" si="110"/>
        <x:v>#VALUE!</x:v>
      </x:c>
      <x:c r="M1167" s="63"/>
      <x:c r="N1167" s="30">
        <x:f>IF(F1167="2","",COUNTIF($F$3:$F1167,"=1"))</x:f>
        <x:v>1036</x:v>
      </x:c>
      <x:c r="O1167" s="30">
        <x:f t="shared" si="111"/>
        <x:v>14</x:v>
      </x:c>
      <x:c r="P1167" s="30">
        <x:f t="shared" ref="P1167:P1183" si="113">MOD(ROW(),9)</x:f>
        <x:v>6</x:v>
      </x:c>
      <x:c r="Q1167" s="30">
        <x:f>COUNTIF($P$3:P1167,"=3")</x:f>
        <x:v>130</x:v>
      </x:c>
      <x:c r="R1167" s="29">
        <x:f>WORKDAY(기본입력!$H$2,Q1167-1,공휴일)</x:f>
        <x:v>46118</x:v>
      </x:c>
    </x:row>
    <x:row r="1168" spans="1:18">
      <x:c r="A1168" s="145" t="str">
        <x:f t="shared" si="112"/>
        <x:v>20260406</x:v>
      </x:c>
      <x:c r="B1168" s="20" t="s">
        <x:v>5</x:v>
      </x:c>
      <x:c r="C1168" s="20">
        <x:v>1740</x:v>
      </x:c>
      <x:c r="D1168" s="21" t="s">
        <x:v>1</x:v>
      </x:c>
      <x:c r="E1168" s="20" t="s">
        <x:v>0</x:v>
      </x:c>
      <x:c r="F1168" s="20" t="s">
        <x:v>41</x:v>
      </x:c>
      <x:c r="G1168" s="24" t="str">
        <x:f>IF(OR(N1168="",N1168&gt;기본입력!$C$34),"",VLOOKUP(O1168,기본입력!$A$9:$F$33,5))</x:f>
        <x:v/>
      </x:c>
      <x:c r="H1168" s="24" t="str">
        <x:f>IF(OR(N1168="",N1168&gt;기본입력!$C$34),"",기본입력!$C$6)</x:f>
        <x:v/>
      </x:c>
      <x:c r="I1168" s="24" t="str">
        <x:f>IF(OR(O1168="",N1168&gt;기본입력!$C$34),"",VLOOKUP(O1168,기본입력!$A$9:$F$33,6,FALSE))</x:f>
        <x:v/>
      </x:c>
      <x:c r="J1168" s="38" t="str">
        <x:f t="shared" si="108"/>
        <x:v/>
      </x:c>
      <x:c r="K1168" s="38" t="str">
        <x:f t="shared" si="109"/>
        <x:v/>
      </x:c>
      <x:c r="L1168" s="38" t="str">
        <x:f t="shared" si="110"/>
        <x:v/>
      </x:c>
      <x:c r="M1168" s="63"/>
      <x:c r="N1168" s="30" t="str">
        <x:f>IF(F1168="2","",COUNTIF($F$3:$F1168,"=1"))</x:f>
        <x:v/>
      </x:c>
      <x:c r="O1168" s="30" t="str">
        <x:f t="shared" si="111"/>
        <x:v/>
      </x:c>
      <x:c r="P1168" s="30">
        <x:f t="shared" si="113"/>
        <x:v>7</x:v>
      </x:c>
      <x:c r="Q1168" s="30">
        <x:f>COUNTIF($P$3:P1168,"=3")</x:f>
        <x:v>130</x:v>
      </x:c>
      <x:c r="R1168" s="29">
        <x:f>WORKDAY(기본입력!$H$2,Q1168-1,공휴일)</x:f>
        <x:v>46118</x:v>
      </x:c>
    </x:row>
    <x:row r="1169" spans="1:18">
      <x:c r="A1169" s="145" t="str">
        <x:f t="shared" si="112"/>
        <x:v>20260406</x:v>
      </x:c>
      <x:c r="B1169" s="20" t="s">
        <x:v>5</x:v>
      </x:c>
      <x:c r="C1169" s="20">
        <x:v>1740</x:v>
      </x:c>
      <x:c r="D1169" s="21" t="s">
        <x:v>1</x:v>
      </x:c>
      <x:c r="E1169" s="20">
        <x:v>1340</x:v>
      </x:c>
      <x:c r="F1169" s="20" t="s">
        <x:v>40</x:v>
      </x:c>
      <x:c r="G1169" s="24" t="str">
        <x:f>IF(OR(N1169="",N1169&gt;기본입력!$C$34),"",VLOOKUP(O1169,기본입력!$A$9:$F$33,5))</x:f>
        <x:v/>
      </x:c>
      <x:c r="H1169" s="24" t="str">
        <x:f>IF(OR(N1169="",N1169&gt;기본입력!$C$34),"",기본입력!$C$6)</x:f>
        <x:v/>
      </x:c>
      <x:c r="I1169" s="24" t="str">
        <x:f>IF(OR(O1169="",N1169&gt;기본입력!$C$34),"",VLOOKUP(O1169,기본입력!$A$9:$F$33,6,FALSE))</x:f>
        <x:v/>
      </x:c>
      <x:c r="J1169" s="38" t="e">
        <x:f t="shared" si="108"/>
        <x:v>#VALUE!</x:v>
      </x:c>
      <x:c r="K1169" s="38" t="e">
        <x:f t="shared" si="109"/>
        <x:v>#VALUE!</x:v>
      </x:c>
      <x:c r="L1169" s="38" t="e">
        <x:f t="shared" si="110"/>
        <x:v>#VALUE!</x:v>
      </x:c>
      <x:c r="M1169" s="63"/>
      <x:c r="N1169" s="30">
        <x:f>IF(F1169="2","",COUNTIF($F$3:$F1169,"=1"))</x:f>
        <x:v>1037</x:v>
      </x:c>
      <x:c r="O1169" s="30">
        <x:f t="shared" si="111"/>
        <x:v>14</x:v>
      </x:c>
      <x:c r="P1169" s="30">
        <x:f t="shared" si="113"/>
        <x:v>8</x:v>
      </x:c>
      <x:c r="Q1169" s="30">
        <x:f>COUNTIF($P$3:P1169,"=3")</x:f>
        <x:v>130</x:v>
      </x:c>
      <x:c r="R1169" s="29">
        <x:f>WORKDAY(기본입력!$H$2,Q1169-1,공휴일)</x:f>
        <x:v>46118</x:v>
      </x:c>
    </x:row>
    <x:row r="1170" spans="1:18">
      <x:c r="A1170" s="145" t="str">
        <x:f t="shared" si="112"/>
        <x:v>20260406</x:v>
      </x:c>
      <x:c r="B1170" s="20" t="s">
        <x:v>5</x:v>
      </x:c>
      <x:c r="C1170" s="20">
        <x:v>1740</x:v>
      </x:c>
      <x:c r="D1170" s="21" t="s">
        <x:v>1</x:v>
      </x:c>
      <x:c r="E1170" s="20">
        <x:v>1440</x:v>
      </x:c>
      <x:c r="F1170" s="20" t="s">
        <x:v>40</x:v>
      </x:c>
      <x:c r="G1170" s="24" t="str">
        <x:f>IF(OR(N1170="",N1170&gt;기본입력!$C$34),"",VLOOKUP(O1170,기본입력!$A$9:$F$33,5))</x:f>
        <x:v/>
      </x:c>
      <x:c r="H1170" s="24" t="str">
        <x:f>IF(OR(N1170="",N1170&gt;기본입력!$C$34),"",기본입력!$C$6)</x:f>
        <x:v/>
      </x:c>
      <x:c r="I1170" s="24" t="str">
        <x:f>IF(OR(O1170="",N1170&gt;기본입력!$C$34),"",VLOOKUP(O1170,기본입력!$A$9:$F$33,6,FALSE))</x:f>
        <x:v/>
      </x:c>
      <x:c r="J1170" s="38" t="e">
        <x:f t="shared" si="108"/>
        <x:v>#VALUE!</x:v>
      </x:c>
      <x:c r="K1170" s="38" t="e">
        <x:f t="shared" si="109"/>
        <x:v>#VALUE!</x:v>
      </x:c>
      <x:c r="L1170" s="38" t="e">
        <x:f t="shared" si="110"/>
        <x:v>#VALUE!</x:v>
      </x:c>
      <x:c r="M1170" s="63"/>
      <x:c r="N1170" s="30">
        <x:f>IF(F1170="2","",COUNTIF($F$3:$F1170,"=1"))</x:f>
        <x:v>1038</x:v>
      </x:c>
      <x:c r="O1170" s="30">
        <x:f t="shared" si="111"/>
        <x:v>14</x:v>
      </x:c>
      <x:c r="P1170" s="30">
        <x:f t="shared" si="113"/>
        <x:v>0</x:v>
      </x:c>
      <x:c r="Q1170" s="30">
        <x:f>COUNTIF($P$3:P1170,"=3")</x:f>
        <x:v>130</x:v>
      </x:c>
      <x:c r="R1170" s="29">
        <x:f>WORKDAY(기본입력!$H$2,Q1170-1,공휴일)</x:f>
        <x:v>46118</x:v>
      </x:c>
    </x:row>
    <x:row r="1171" spans="1:18">
      <x:c r="A1171" s="145" t="str">
        <x:f t="shared" si="112"/>
        <x:v>20260406</x:v>
      </x:c>
      <x:c r="B1171" s="20" t="s">
        <x:v>5</x:v>
      </x:c>
      <x:c r="C1171" s="20">
        <x:v>1740</x:v>
      </x:c>
      <x:c r="D1171" s="21" t="s">
        <x:v>1</x:v>
      </x:c>
      <x:c r="E1171" s="20">
        <x:v>1540</x:v>
      </x:c>
      <x:c r="F1171" s="20" t="s">
        <x:v>40</x:v>
      </x:c>
      <x:c r="G1171" s="24" t="str">
        <x:f>IF(OR(N1171="",N1171&gt;기본입력!$C$34),"",VLOOKUP(O1171,기본입력!$A$9:$F$33,5))</x:f>
        <x:v/>
      </x:c>
      <x:c r="H1171" s="24" t="str">
        <x:f>IF(OR(N1171="",N1171&gt;기본입력!$C$34),"",기본입력!$C$6)</x:f>
        <x:v/>
      </x:c>
      <x:c r="I1171" s="24" t="str">
        <x:f>IF(OR(O1171="",N1171&gt;기본입력!$C$34),"",VLOOKUP(O1171,기본입력!$A$9:$F$33,6,FALSE))</x:f>
        <x:v/>
      </x:c>
      <x:c r="J1171" s="38" t="e">
        <x:f t="shared" si="108"/>
        <x:v>#VALUE!</x:v>
      </x:c>
      <x:c r="K1171" s="38" t="e">
        <x:f t="shared" si="109"/>
        <x:v>#VALUE!</x:v>
      </x:c>
      <x:c r="L1171" s="38" t="e">
        <x:f t="shared" si="110"/>
        <x:v>#VALUE!</x:v>
      </x:c>
      <x:c r="M1171" s="63"/>
      <x:c r="N1171" s="30">
        <x:f>IF(F1171="2","",COUNTIF($F$3:$F1171,"=1"))</x:f>
        <x:v>1039</x:v>
      </x:c>
      <x:c r="O1171" s="30">
        <x:f t="shared" si="111"/>
        <x:v>14</x:v>
      </x:c>
      <x:c r="P1171" s="30">
        <x:f t="shared" si="113"/>
        <x:v>1</x:v>
      </x:c>
      <x:c r="Q1171" s="30">
        <x:f>COUNTIF($P$3:P1171,"=3")</x:f>
        <x:v>130</x:v>
      </x:c>
      <x:c r="R1171" s="29">
        <x:f>WORKDAY(기본입력!$H$2,Q1171-1,공휴일)</x:f>
        <x:v>46118</x:v>
      </x:c>
    </x:row>
    <x:row r="1172" spans="1:18">
      <x:c r="A1172" s="145" t="str">
        <x:f t="shared" si="112"/>
        <x:v>20260406</x:v>
      </x:c>
      <x:c r="B1172" s="20" t="s">
        <x:v>5</x:v>
      </x:c>
      <x:c r="C1172" s="20">
        <x:v>1740</x:v>
      </x:c>
      <x:c r="D1172" s="21" t="s">
        <x:v>1</x:v>
      </x:c>
      <x:c r="E1172" s="20">
        <x:v>1640</x:v>
      </x:c>
      <x:c r="F1172" s="20" t="s">
        <x:v>40</x:v>
      </x:c>
      <x:c r="G1172" s="24" t="str">
        <x:f>IF(OR(N1172="",N1172&gt;기본입력!$C$34),"",VLOOKUP(O1172,기본입력!$A$9:$F$33,5))</x:f>
        <x:v/>
      </x:c>
      <x:c r="H1172" s="24" t="str">
        <x:f>IF(OR(N1172="",N1172&gt;기본입력!$C$34),"",기본입력!$C$6)</x:f>
        <x:v/>
      </x:c>
      <x:c r="I1172" s="24" t="str">
        <x:f>IF(OR(O1172="",N1172&gt;기본입력!$C$34),"",VLOOKUP(O1172,기본입력!$A$9:$F$33,6,FALSE))</x:f>
        <x:v/>
      </x:c>
      <x:c r="J1172" s="38" t="e">
        <x:f t="shared" si="108"/>
        <x:v>#VALUE!</x:v>
      </x:c>
      <x:c r="K1172" s="38" t="e">
        <x:f t="shared" si="109"/>
        <x:v>#VALUE!</x:v>
      </x:c>
      <x:c r="L1172" s="38" t="e">
        <x:f t="shared" si="110"/>
        <x:v>#VALUE!</x:v>
      </x:c>
      <x:c r="M1172" s="63"/>
      <x:c r="N1172" s="30">
        <x:f>IF(F1172="2","",COUNTIF($F$3:$F1172,"=1"))</x:f>
        <x:v>1040</x:v>
      </x:c>
      <x:c r="O1172" s="30">
        <x:f t="shared" si="111"/>
        <x:v>14</x:v>
      </x:c>
      <x:c r="P1172" s="30">
        <x:f t="shared" si="113"/>
        <x:v>2</x:v>
      </x:c>
      <x:c r="Q1172" s="30">
        <x:f>COUNTIF($P$3:P1172,"=3")</x:f>
        <x:v>130</x:v>
      </x:c>
      <x:c r="R1172" s="29">
        <x:f>WORKDAY(기본입력!$H$2,Q1172-1,공휴일)</x:f>
        <x:v>46118</x:v>
      </x:c>
    </x:row>
    <x:row r="1173" spans="1:18">
      <x:c r="A1173" s="144" t="str">
        <x:f t="shared" si="112"/>
        <x:v>20260407</x:v>
      </x:c>
      <x:c r="B1173" s="17" t="s">
        <x:v>5</x:v>
      </x:c>
      <x:c r="C1173" s="17">
        <x:v>1740</x:v>
      </x:c>
      <x:c r="D1173" s="18" t="s">
        <x:v>1</x:v>
      </x:c>
      <x:c r="E1173" s="17" t="s">
        <x:v>5</x:v>
      </x:c>
      <x:c r="F1173" s="17" t="s">
        <x:v>40</x:v>
      </x:c>
      <x:c r="G1173" s="25" t="str">
        <x:f>IF(OR(N1173="",N1173&gt;기본입력!$C$34),"",VLOOKUP(O1173,기본입력!$A$9:$F$33,5))</x:f>
        <x:v/>
      </x:c>
      <x:c r="H1173" s="25" t="str">
        <x:f>IF(OR(N1173="",N1173&gt;기본입력!$C$34),"",기본입력!$C$6)</x:f>
        <x:v/>
      </x:c>
      <x:c r="I1173" s="25" t="str">
        <x:f>IF(OR(O1173="",N1173&gt;기본입력!$C$34),"",VLOOKUP(O1173,기본입력!$A$9:$F$33,6,FALSE))</x:f>
        <x:v/>
      </x:c>
      <x:c r="J1173" s="38" t="e">
        <x:f t="shared" si="108"/>
        <x:v>#VALUE!</x:v>
      </x:c>
      <x:c r="K1173" s="38" t="e">
        <x:f t="shared" si="109"/>
        <x:v>#VALUE!</x:v>
      </x:c>
      <x:c r="L1173" s="38" t="e">
        <x:f t="shared" si="110"/>
        <x:v>#VALUE!</x:v>
      </x:c>
      <x:c r="M1173" s="63"/>
      <x:c r="N1173" s="30">
        <x:f>IF(F1173="2","",COUNTIF($F$3:$F1173,"=1"))</x:f>
        <x:v>1041</x:v>
      </x:c>
      <x:c r="O1173" s="30">
        <x:f t="shared" si="111"/>
        <x:v>14</x:v>
      </x:c>
      <x:c r="P1173" s="30">
        <x:f t="shared" si="113"/>
        <x:v>3</x:v>
      </x:c>
      <x:c r="Q1173" s="30">
        <x:f>COUNTIF($P$3:P1173,"=3")</x:f>
        <x:v>131</x:v>
      </x:c>
      <x:c r="R1173" s="29">
        <x:f>WORKDAY(기본입력!$H$2,Q1173-1,공휴일)</x:f>
        <x:v>46119</x:v>
      </x:c>
    </x:row>
    <x:row r="1174" spans="1:18">
      <x:c r="A1174" s="144" t="str">
        <x:f t="shared" si="112"/>
        <x:v>20260407</x:v>
      </x:c>
      <x:c r="B1174" s="17" t="s">
        <x:v>5</x:v>
      </x:c>
      <x:c r="C1174" s="17">
        <x:v>1740</x:v>
      </x:c>
      <x:c r="D1174" s="18" t="s">
        <x:v>1</x:v>
      </x:c>
      <x:c r="E1174" s="17" t="s">
        <x:v>117</x:v>
      </x:c>
      <x:c r="F1174" s="17" t="s">
        <x:v>40</x:v>
      </x:c>
      <x:c r="G1174" s="25" t="str">
        <x:f>IF(OR(N1174="",N1174&gt;기본입력!$C$34),"",VLOOKUP(O1174,기본입력!$A$9:$F$33,5))</x:f>
        <x:v/>
      </x:c>
      <x:c r="H1174" s="25" t="str">
        <x:f>IF(OR(N1174="",N1174&gt;기본입력!$C$34),"",기본입력!$C$6)</x:f>
        <x:v/>
      </x:c>
      <x:c r="I1174" s="25" t="str">
        <x:f>IF(OR(O1174="",N1174&gt;기본입력!$C$34),"",VLOOKUP(O1174,기본입력!$A$9:$F$33,6,FALSE))</x:f>
        <x:v/>
      </x:c>
      <x:c r="J1174" s="38" t="e">
        <x:f t="shared" si="108"/>
        <x:v>#VALUE!</x:v>
      </x:c>
      <x:c r="K1174" s="38" t="e">
        <x:f t="shared" si="109"/>
        <x:v>#VALUE!</x:v>
      </x:c>
      <x:c r="L1174" s="38" t="e">
        <x:f t="shared" si="110"/>
        <x:v>#VALUE!</x:v>
      </x:c>
      <x:c r="M1174" s="63"/>
      <x:c r="N1174" s="30">
        <x:f>IF(F1174="2","",COUNTIF($F$3:$F1174,"=1"))</x:f>
        <x:v>1042</x:v>
      </x:c>
      <x:c r="O1174" s="30">
        <x:f t="shared" si="111"/>
        <x:v>14</x:v>
      </x:c>
      <x:c r="P1174" s="30">
        <x:f t="shared" si="113"/>
        <x:v>4</x:v>
      </x:c>
      <x:c r="Q1174" s="30">
        <x:f>COUNTIF($P$3:P1174,"=3")</x:f>
        <x:v>131</x:v>
      </x:c>
      <x:c r="R1174" s="29">
        <x:f>WORKDAY(기본입력!$H$2,Q1174-1,공휴일)</x:f>
        <x:v>46119</x:v>
      </x:c>
    </x:row>
    <x:row r="1175" spans="1:18">
      <x:c r="A1175" s="144" t="str">
        <x:f t="shared" si="112"/>
        <x:v>20260407</x:v>
      </x:c>
      <x:c r="B1175" s="17" t="s">
        <x:v>5</x:v>
      </x:c>
      <x:c r="C1175" s="17">
        <x:v>1740</x:v>
      </x:c>
      <x:c r="D1175" s="18" t="s">
        <x:v>1</x:v>
      </x:c>
      <x:c r="E1175" s="17" t="s">
        <x:v>87</x:v>
      </x:c>
      <x:c r="F1175" s="17" t="s">
        <x:v>40</x:v>
      </x:c>
      <x:c r="G1175" s="25" t="str">
        <x:f>IF(OR(N1175="",N1175&gt;기본입력!$C$34),"",VLOOKUP(O1175,기본입력!$A$9:$F$33,5))</x:f>
        <x:v/>
      </x:c>
      <x:c r="H1175" s="25" t="str">
        <x:f>IF(OR(N1175="",N1175&gt;기본입력!$C$34),"",기본입력!$C$6)</x:f>
        <x:v/>
      </x:c>
      <x:c r="I1175" s="25" t="str">
        <x:f>IF(OR(O1175="",N1175&gt;기본입력!$C$34),"",VLOOKUP(O1175,기본입력!$A$9:$F$33,6,FALSE))</x:f>
        <x:v/>
      </x:c>
      <x:c r="J1175" s="38" t="e">
        <x:f t="shared" si="108"/>
        <x:v>#VALUE!</x:v>
      </x:c>
      <x:c r="K1175" s="38" t="e">
        <x:f t="shared" si="109"/>
        <x:v>#VALUE!</x:v>
      </x:c>
      <x:c r="L1175" s="38" t="e">
        <x:f t="shared" si="110"/>
        <x:v>#VALUE!</x:v>
      </x:c>
      <x:c r="M1175" s="63"/>
      <x:c r="N1175" s="30">
        <x:f>IF(F1175="2","",COUNTIF($F$3:$F1175,"=1"))</x:f>
        <x:v>1043</x:v>
      </x:c>
      <x:c r="O1175" s="30">
        <x:f t="shared" si="111"/>
        <x:v>14</x:v>
      </x:c>
      <x:c r="P1175" s="30">
        <x:f t="shared" si="113"/>
        <x:v>5</x:v>
      </x:c>
      <x:c r="Q1175" s="30">
        <x:f>COUNTIF($P$3:P1175,"=3")</x:f>
        <x:v>131</x:v>
      </x:c>
      <x:c r="R1175" s="29">
        <x:f>WORKDAY(기본입력!$H$2,Q1175-1,공휴일)</x:f>
        <x:v>46119</x:v>
      </x:c>
    </x:row>
    <x:row r="1176" spans="1:18">
      <x:c r="A1176" s="144" t="str">
        <x:f t="shared" si="112"/>
        <x:v>20260407</x:v>
      </x:c>
      <x:c r="B1176" s="17" t="s">
        <x:v>5</x:v>
      </x:c>
      <x:c r="C1176" s="17">
        <x:v>1740</x:v>
      </x:c>
      <x:c r="D1176" s="18" t="s">
        <x:v>1</x:v>
      </x:c>
      <x:c r="E1176" s="17" t="s">
        <x:v>88</x:v>
      </x:c>
      <x:c r="F1176" s="17" t="s">
        <x:v>40</x:v>
      </x:c>
      <x:c r="G1176" s="25" t="str">
        <x:f>IF(OR(N1176="",N1176&gt;기본입력!$C$34),"",VLOOKUP(O1176,기본입력!$A$9:$F$33,5))</x:f>
        <x:v/>
      </x:c>
      <x:c r="H1176" s="25" t="str">
        <x:f>IF(OR(N1176="",N1176&gt;기본입력!$C$34),"",기본입력!$C$6)</x:f>
        <x:v/>
      </x:c>
      <x:c r="I1176" s="25" t="str">
        <x:f>IF(OR(O1176="",N1176&gt;기본입력!$C$34),"",VLOOKUP(O1176,기본입력!$A$9:$F$33,6,FALSE))</x:f>
        <x:v/>
      </x:c>
      <x:c r="J1176" s="38" t="e">
        <x:f t="shared" si="108"/>
        <x:v>#VALUE!</x:v>
      </x:c>
      <x:c r="K1176" s="38" t="e">
        <x:f t="shared" si="109"/>
        <x:v>#VALUE!</x:v>
      </x:c>
      <x:c r="L1176" s="38" t="e">
        <x:f t="shared" si="110"/>
        <x:v>#VALUE!</x:v>
      </x:c>
      <x:c r="M1176" s="63"/>
      <x:c r="N1176" s="30">
        <x:f>IF(F1176="2","",COUNTIF($F$3:$F1176,"=1"))</x:f>
        <x:v>1044</x:v>
      </x:c>
      <x:c r="O1176" s="30">
        <x:f t="shared" si="111"/>
        <x:v>14</x:v>
      </x:c>
      <x:c r="P1176" s="30">
        <x:f t="shared" si="113"/>
        <x:v>6</x:v>
      </x:c>
      <x:c r="Q1176" s="30">
        <x:f>COUNTIF($P$3:P1176,"=3")</x:f>
        <x:v>131</x:v>
      </x:c>
      <x:c r="R1176" s="29">
        <x:f>WORKDAY(기본입력!$H$2,Q1176-1,공휴일)</x:f>
        <x:v>46119</x:v>
      </x:c>
    </x:row>
    <x:row r="1177" spans="1:18">
      <x:c r="A1177" s="144" t="str">
        <x:f t="shared" si="112"/>
        <x:v>20260407</x:v>
      </x:c>
      <x:c r="B1177" s="17" t="s">
        <x:v>5</x:v>
      </x:c>
      <x:c r="C1177" s="17">
        <x:v>1740</x:v>
      </x:c>
      <x:c r="D1177" s="18" t="s">
        <x:v>1</x:v>
      </x:c>
      <x:c r="E1177" s="17" t="s">
        <x:v>0</x:v>
      </x:c>
      <x:c r="F1177" s="17" t="s">
        <x:v>41</x:v>
      </x:c>
      <x:c r="G1177" s="25" t="str">
        <x:f>IF(OR(N1177="",N1177&gt;기본입력!$C$34),"",VLOOKUP(O1177,기본입력!$A$9:$F$33,5))</x:f>
        <x:v/>
      </x:c>
      <x:c r="H1177" s="25" t="str">
        <x:f>IF(OR(N1177="",N1177&gt;기본입력!$C$34),"",기본입력!$C$6)</x:f>
        <x:v/>
      </x:c>
      <x:c r="I1177" s="25" t="str">
        <x:f>IF(OR(O1177="",N1177&gt;기본입력!$C$34),"",VLOOKUP(O1177,기본입력!$A$9:$F$33,6,FALSE))</x:f>
        <x:v/>
      </x:c>
      <x:c r="J1177" s="38" t="str">
        <x:f t="shared" si="108"/>
        <x:v/>
      </x:c>
      <x:c r="K1177" s="38" t="str">
        <x:f t="shared" si="109"/>
        <x:v/>
      </x:c>
      <x:c r="L1177" s="38" t="str">
        <x:f t="shared" si="110"/>
        <x:v/>
      </x:c>
      <x:c r="M1177" s="63"/>
      <x:c r="N1177" s="30" t="str">
        <x:f>IF(F1177="2","",COUNTIF($F$3:$F1177,"=1"))</x:f>
        <x:v/>
      </x:c>
      <x:c r="O1177" s="30" t="str">
        <x:f t="shared" si="111"/>
        <x:v/>
      </x:c>
      <x:c r="P1177" s="30">
        <x:f t="shared" si="113"/>
        <x:v>7</x:v>
      </x:c>
      <x:c r="Q1177" s="30">
        <x:f>COUNTIF($P$3:P1177,"=3")</x:f>
        <x:v>131</x:v>
      </x:c>
      <x:c r="R1177" s="29">
        <x:f>WORKDAY(기본입력!$H$2,Q1177-1,공휴일)</x:f>
        <x:v>46119</x:v>
      </x:c>
    </x:row>
    <x:row r="1178" spans="1:18">
      <x:c r="A1178" s="144" t="str">
        <x:f t="shared" si="112"/>
        <x:v>20260407</x:v>
      </x:c>
      <x:c r="B1178" s="17" t="s">
        <x:v>5</x:v>
      </x:c>
      <x:c r="C1178" s="17">
        <x:v>1740</x:v>
      </x:c>
      <x:c r="D1178" s="18" t="s">
        <x:v>1</x:v>
      </x:c>
      <x:c r="E1178" s="17">
        <x:v>1340</x:v>
      </x:c>
      <x:c r="F1178" s="17" t="s">
        <x:v>40</x:v>
      </x:c>
      <x:c r="G1178" s="25" t="str">
        <x:f>IF(OR(N1178="",N1178&gt;기본입력!$C$34),"",VLOOKUP(O1178,기본입력!$A$9:$F$33,5))</x:f>
        <x:v/>
      </x:c>
      <x:c r="H1178" s="25" t="str">
        <x:f>IF(OR(N1178="",N1178&gt;기본입력!$C$34),"",기본입력!$C$6)</x:f>
        <x:v/>
      </x:c>
      <x:c r="I1178" s="25" t="str">
        <x:f>IF(OR(O1178="",N1178&gt;기본입력!$C$34),"",VLOOKUP(O1178,기본입력!$A$9:$F$33,6,FALSE))</x:f>
        <x:v/>
      </x:c>
      <x:c r="J1178" s="38" t="e">
        <x:f t="shared" si="108"/>
        <x:v>#VALUE!</x:v>
      </x:c>
      <x:c r="K1178" s="38" t="e">
        <x:f t="shared" si="109"/>
        <x:v>#VALUE!</x:v>
      </x:c>
      <x:c r="L1178" s="38" t="e">
        <x:f t="shared" si="110"/>
        <x:v>#VALUE!</x:v>
      </x:c>
      <x:c r="M1178" s="63"/>
      <x:c r="N1178" s="30">
        <x:f>IF(F1178="2","",COUNTIF($F$3:$F1178,"=1"))</x:f>
        <x:v>1045</x:v>
      </x:c>
      <x:c r="O1178" s="30">
        <x:f t="shared" si="111"/>
        <x:v>14</x:v>
      </x:c>
      <x:c r="P1178" s="30">
        <x:f t="shared" si="113"/>
        <x:v>8</x:v>
      </x:c>
      <x:c r="Q1178" s="30">
        <x:f>COUNTIF($P$3:P1178,"=3")</x:f>
        <x:v>131</x:v>
      </x:c>
      <x:c r="R1178" s="29">
        <x:f>WORKDAY(기본입력!$H$2,Q1178-1,공휴일)</x:f>
        <x:v>46119</x:v>
      </x:c>
    </x:row>
    <x:row r="1179" spans="1:18">
      <x:c r="A1179" s="144" t="str">
        <x:f t="shared" si="112"/>
        <x:v>20260407</x:v>
      </x:c>
      <x:c r="B1179" s="17" t="s">
        <x:v>5</x:v>
      </x:c>
      <x:c r="C1179" s="17">
        <x:v>1740</x:v>
      </x:c>
      <x:c r="D1179" s="18" t="s">
        <x:v>1</x:v>
      </x:c>
      <x:c r="E1179" s="17">
        <x:v>1440</x:v>
      </x:c>
      <x:c r="F1179" s="17" t="s">
        <x:v>40</x:v>
      </x:c>
      <x:c r="G1179" s="25" t="str">
        <x:f>IF(OR(N1179="",N1179&gt;기본입력!$C$34),"",VLOOKUP(O1179,기본입력!$A$9:$F$33,5))</x:f>
        <x:v/>
      </x:c>
      <x:c r="H1179" s="25" t="str">
        <x:f>IF(OR(N1179="",N1179&gt;기본입력!$C$34),"",기본입력!$C$6)</x:f>
        <x:v/>
      </x:c>
      <x:c r="I1179" s="25" t="str">
        <x:f>IF(OR(O1179="",N1179&gt;기본입력!$C$34),"",VLOOKUP(O1179,기본입력!$A$9:$F$33,6,FALSE))</x:f>
        <x:v/>
      </x:c>
      <x:c r="J1179" s="38" t="e">
        <x:f t="shared" si="108"/>
        <x:v>#VALUE!</x:v>
      </x:c>
      <x:c r="K1179" s="38" t="e">
        <x:f t="shared" si="109"/>
        <x:v>#VALUE!</x:v>
      </x:c>
      <x:c r="L1179" s="38" t="e">
        <x:f t="shared" si="110"/>
        <x:v>#VALUE!</x:v>
      </x:c>
      <x:c r="M1179" s="63"/>
      <x:c r="N1179" s="30">
        <x:f>IF(F1179="2","",COUNTIF($F$3:$F1179,"=1"))</x:f>
        <x:v>1046</x:v>
      </x:c>
      <x:c r="O1179" s="30">
        <x:f t="shared" si="111"/>
        <x:v>14</x:v>
      </x:c>
      <x:c r="P1179" s="30">
        <x:f t="shared" si="113"/>
        <x:v>0</x:v>
      </x:c>
      <x:c r="Q1179" s="30">
        <x:f>COUNTIF($P$3:P1179,"=3")</x:f>
        <x:v>131</x:v>
      </x:c>
      <x:c r="R1179" s="29">
        <x:f>WORKDAY(기본입력!$H$2,Q1179-1,공휴일)</x:f>
        <x:v>46119</x:v>
      </x:c>
    </x:row>
    <x:row r="1180" spans="1:18">
      <x:c r="A1180" s="144" t="str">
        <x:f t="shared" si="112"/>
        <x:v>20260407</x:v>
      </x:c>
      <x:c r="B1180" s="17" t="s">
        <x:v>5</x:v>
      </x:c>
      <x:c r="C1180" s="17">
        <x:v>1740</x:v>
      </x:c>
      <x:c r="D1180" s="18" t="s">
        <x:v>1</x:v>
      </x:c>
      <x:c r="E1180" s="17">
        <x:v>1540</x:v>
      </x:c>
      <x:c r="F1180" s="17" t="s">
        <x:v>40</x:v>
      </x:c>
      <x:c r="G1180" s="25" t="str">
        <x:f>IF(OR(N1180="",N1180&gt;기본입력!$C$34),"",VLOOKUP(O1180,기본입력!$A$9:$F$33,5))</x:f>
        <x:v/>
      </x:c>
      <x:c r="H1180" s="25" t="str">
        <x:f>IF(OR(N1180="",N1180&gt;기본입력!$C$34),"",기본입력!$C$6)</x:f>
        <x:v/>
      </x:c>
      <x:c r="I1180" s="25" t="str">
        <x:f>IF(OR(O1180="",N1180&gt;기본입력!$C$34),"",VLOOKUP(O1180,기본입력!$A$9:$F$33,6,FALSE))</x:f>
        <x:v/>
      </x:c>
      <x:c r="J1180" s="38" t="e">
        <x:f t="shared" si="108"/>
        <x:v>#VALUE!</x:v>
      </x:c>
      <x:c r="K1180" s="38" t="e">
        <x:f t="shared" si="109"/>
        <x:v>#VALUE!</x:v>
      </x:c>
      <x:c r="L1180" s="38" t="e">
        <x:f t="shared" si="110"/>
        <x:v>#VALUE!</x:v>
      </x:c>
      <x:c r="M1180" s="63"/>
      <x:c r="N1180" s="30">
        <x:f>IF(F1180="2","",COUNTIF($F$3:$F1180,"=1"))</x:f>
        <x:v>1047</x:v>
      </x:c>
      <x:c r="O1180" s="30">
        <x:f t="shared" si="111"/>
        <x:v>14</x:v>
      </x:c>
      <x:c r="P1180" s="30">
        <x:f t="shared" si="113"/>
        <x:v>1</x:v>
      </x:c>
      <x:c r="Q1180" s="30">
        <x:f>COUNTIF($P$3:P1180,"=3")</x:f>
        <x:v>131</x:v>
      </x:c>
      <x:c r="R1180" s="29">
        <x:f>WORKDAY(기본입력!$H$2,Q1180-1,공휴일)</x:f>
        <x:v>46119</x:v>
      </x:c>
    </x:row>
    <x:row r="1181" spans="1:18">
      <x:c r="A1181" s="144" t="str">
        <x:f t="shared" si="112"/>
        <x:v>20260407</x:v>
      </x:c>
      <x:c r="B1181" s="17" t="s">
        <x:v>5</x:v>
      </x:c>
      <x:c r="C1181" s="17">
        <x:v>1740</x:v>
      </x:c>
      <x:c r="D1181" s="18"/>
      <x:c r="E1181" s="17">
        <x:v>1640</x:v>
      </x:c>
      <x:c r="F1181" s="17" t="s">
        <x:v>40</x:v>
      </x:c>
      <x:c r="G1181" s="25" t="str">
        <x:f>IF(OR(N1181="",N1181&gt;기본입력!$C$34),"",VLOOKUP(O1181,기본입력!$A$9:$F$33,5))</x:f>
        <x:v/>
      </x:c>
      <x:c r="H1181" s="25" t="str">
        <x:f>IF(OR(N1181="",N1181&gt;기본입력!$C$34),"",기본입력!$C$6)</x:f>
        <x:v/>
      </x:c>
      <x:c r="I1181" s="25" t="str">
        <x:f>IF(OR(O1181="",N1181&gt;기본입력!$C$34),"",VLOOKUP(O1181,기본입력!$A$9:$F$33,6,FALSE))</x:f>
        <x:v/>
      </x:c>
      <x:c r="J1181" s="38" t="e">
        <x:f>IF(F1181="2","",LEFT(I1181,FIND("_",I1181,2)-1))</x:f>
        <x:v>#VALUE!</x:v>
      </x:c>
      <x:c r="K1181" s="38" t="e">
        <x:f>IF(F1181="2","",LEFT(H1181,FIND("_",H1181,2)-1))</x:f>
        <x:v>#VALUE!</x:v>
      </x:c>
      <x:c r="L1181" s="38" t="e">
        <x:f>IF(F1181="2","",LEFT(G1181,FIND("_",G1181,2)-1))</x:f>
        <x:v>#VALUE!</x:v>
      </x:c>
      <x:c r="M1181" s="63"/>
      <x:c r="N1181" s="30">
        <x:f>IF(F1181="2","",COUNTIF($F$3:$F1181,"=1"))</x:f>
        <x:v>1048</x:v>
      </x:c>
      <x:c r="O1181" s="30">
        <x:f>IF(F1181="2","",IF(N1181&lt;=누적시수1,1,IF(N1181&lt;=누적시수2,2,IF(N1181&lt;=누적시수3,3,IF(N1181&lt;=누적시수4,4,IF(N1181&lt;=누적시수5,5,IF(N1181&lt;=누적시수6,6,IF(N1181&lt;=누적시수7,7,IF(N1181&lt;=누적시수8,8,IF(N1181&lt;=누적시수9,9,IF(N1181&lt;=누적시수10,10,IF(N1181&lt;=누적시수11,11,IF(N1181&lt;=누적시수12,12,IF(N1181&lt;=누적시수13,13,IF(N1181&lt;=누적시수14,14,IF(N1181&lt;=누적시수15,15,IF(N1181&lt;=누적시수16,16,IF(N1181&lt;=누적시수17,17,IF(N1181&lt;=누적시수18,18,IF(N1181&lt;=누적시수19,19,IF(N1181&lt;=누적시수20,20,IF(N1181&lt;=누적시수21,21,IF(N1181&lt;=누적시수22,22,IF(N1181&lt;=누적시수23,23,IF(N1181&lt;=누적시수24,24,IF(N1181&lt;=누적시수25,25,0))))))))))))))))))))))))))</x:f>
        <x:v>14</x:v>
      </x:c>
      <x:c r="P1181" s="30">
        <x:f t="shared" si="113"/>
        <x:v>2</x:v>
      </x:c>
      <x:c r="Q1181" s="30">
        <x:f>COUNTIF($P$3:P1181,"=3")</x:f>
        <x:v>131</x:v>
      </x:c>
      <x:c r="R1181" s="29">
        <x:f>WORKDAY(기본입력!$H$2,Q1181-1,공휴일)</x:f>
        <x:v>46119</x:v>
      </x:c>
    </x:row>
    <x:row r="1182" spans="1:18">
      <x:c r="A1182" s="145" t="str">
        <x:f t="shared" si="112"/>
        <x:v>20260408</x:v>
      </x:c>
      <x:c r="B1182" s="20" t="s">
        <x:v>5</x:v>
      </x:c>
      <x:c r="C1182" s="20" t="s">
        <x:v>87</x:v>
      </x:c>
      <x:c r="D1182" s="21" t="s">
        <x:v>1</x:v>
      </x:c>
      <x:c r="E1182" s="20" t="s">
        <x:v>5</x:v>
      </x:c>
      <x:c r="F1182" s="20" t="s">
        <x:v>40</x:v>
      </x:c>
      <x:c r="G1182" s="24" t="str">
        <x:f>IF(OR(N1182="",N1182&gt;기본입력!$C$34),"",VLOOKUP(O1182,기본입력!$A$9:$F$33,5))</x:f>
        <x:v/>
      </x:c>
      <x:c r="H1182" s="24" t="str">
        <x:f>IF(OR(N1182="",N1182&gt;기본입력!$C$34),"",기본입력!$C$6)</x:f>
        <x:v/>
      </x:c>
      <x:c r="I1182" s="24" t="str">
        <x:f>IF(OR(O1182="",N1182&gt;기본입력!$C$34),"",VLOOKUP(O1182,기본입력!$A$9:$F$33,6,FALSE))</x:f>
        <x:v/>
      </x:c>
      <x:c r="J1182" s="38" t="e">
        <x:f t="shared" si="108"/>
        <x:v>#VALUE!</x:v>
      </x:c>
      <x:c r="K1182" s="38" t="e">
        <x:f t="shared" si="109"/>
        <x:v>#VALUE!</x:v>
      </x:c>
      <x:c r="L1182" s="38" t="e">
        <x:f t="shared" si="110"/>
        <x:v>#VALUE!</x:v>
      </x:c>
      <x:c r="M1182" s="63"/>
      <x:c r="N1182" s="30">
        <x:f>IF(F1182="2","",COUNTIF($F$3:$F1182,"=1"))</x:f>
        <x:v>1049</x:v>
      </x:c>
      <x:c r="O1182" s="30">
        <x:f t="shared" si="111"/>
        <x:v>14</x:v>
      </x:c>
      <x:c r="P1182" s="30">
        <x:f t="shared" si="113"/>
        <x:v>3</x:v>
      </x:c>
      <x:c r="Q1182" s="30">
        <x:f>COUNTIF($P$3:P1182,"=3")</x:f>
        <x:v>132</x:v>
      </x:c>
      <x:c r="R1182" s="29">
        <x:f>WORKDAY(기본입력!$H$2,Q1182-1,공휴일)</x:f>
        <x:v>46120</x:v>
      </x:c>
    </x:row>
    <x:row r="1183" spans="1:18">
      <x:c r="A1183" s="145" t="str">
        <x:f t="shared" si="112"/>
        <x:v>20260408</x:v>
      </x:c>
      <x:c r="B1183" s="20" t="s">
        <x:v>5</x:v>
      </x:c>
      <x:c r="C1183" s="20" t="s">
        <x:v>87</x:v>
      </x:c>
      <x:c r="D1183" s="21" t="s">
        <x:v>1</x:v>
      </x:c>
      <x:c r="E1183" s="20" t="s">
        <x:v>117</x:v>
      </x:c>
      <x:c r="F1183" s="20" t="s">
        <x:v>40</x:v>
      </x:c>
      <x:c r="G1183" s="24" t="str">
        <x:f>IF(OR(N1183="",N1183&gt;기본입력!$C$34),"",VLOOKUP(O1183,기본입력!$A$9:$F$33,5))</x:f>
        <x:v/>
      </x:c>
      <x:c r="H1183" s="24" t="str">
        <x:f>IF(OR(N1183="",N1183&gt;기본입력!$C$34),"",기본입력!$C$6)</x:f>
        <x:v/>
      </x:c>
      <x:c r="I1183" s="24" t="str">
        <x:f>IF(OR(O1183="",N1183&gt;기본입력!$C$34),"",VLOOKUP(O1183,기본입력!$A$9:$F$33,6,FALSE))</x:f>
        <x:v/>
      </x:c>
      <x:c r="J1183" s="38" t="e">
        <x:f t="shared" si="108"/>
        <x:v>#VALUE!</x:v>
      </x:c>
      <x:c r="K1183" s="38" t="e">
        <x:f t="shared" si="109"/>
        <x:v>#VALUE!</x:v>
      </x:c>
      <x:c r="L1183" s="38" t="e">
        <x:f t="shared" si="110"/>
        <x:v>#VALUE!</x:v>
      </x:c>
      <x:c r="M1183" s="63"/>
      <x:c r="N1183" s="30">
        <x:f>IF(F1183="2","",COUNTIF($F$3:$F1183,"=1"))</x:f>
        <x:v>1050</x:v>
      </x:c>
      <x:c r="O1183" s="30">
        <x:f t="shared" si="111"/>
        <x:v>14</x:v>
      </x:c>
      <x:c r="P1183" s="30">
        <x:f t="shared" si="113"/>
        <x:v>4</x:v>
      </x:c>
      <x:c r="Q1183" s="30">
        <x:f>COUNTIF($P$3:P1183,"=3")</x:f>
        <x:v>132</x:v>
      </x:c>
      <x:c r="R1183" s="29">
        <x:f>WORKDAY(기본입력!$H$2,Q1183-1,공휴일)</x:f>
        <x:v>46120</x:v>
      </x:c>
    </x:row>
  </x:sheetData>
  <x:mergeCells count="4">
    <x:mergeCell ref="A1:D1"/>
    <x:mergeCell ref="J1:J2"/>
    <x:mergeCell ref="K1:K2"/>
    <x:mergeCell ref="L1:L2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P39"/>
  <x:sheetViews>
    <x:sheetView view="pageBreakPreview" topLeftCell="BH1" zoomScale="145" zoomScaleNormal="70" zoomScaleSheetLayoutView="145" workbookViewId="0">
      <x:selection activeCell="E28" activeCellId="0" sqref="E28:O28"/>
    </x:sheetView>
  </x:sheetViews>
  <x:sheetFormatPr defaultColWidth="9" defaultRowHeight="16.5"/>
  <x:cols>
    <x:col min="1" max="1" width="6.25" bestFit="1" customWidth="1"/>
    <x:col min="2" max="146" width="13.625" customWidth="1"/>
  </x:cols>
  <x:sheetData>
    <x:row r="1" spans="2:142" s="71" customFormat="1" ht="8.09999999999999964473" customHeight="1">
      <x:c r="B1" s="71">
        <x:v>1</x:v>
      </x:c>
      <x:c r="G1" s="71">
        <x:v>2</x:v>
      </x:c>
      <x:c r="L1" s="71">
        <x:v>3</x:v>
      </x:c>
      <x:c r="Q1" s="71">
        <x:v>4</x:v>
      </x:c>
      <x:c r="V1" s="71">
        <x:v>5</x:v>
      </x:c>
      <x:c r="AA1" s="71">
        <x:v>6</x:v>
      </x:c>
      <x:c r="AF1" s="71">
        <x:v>7</x:v>
      </x:c>
      <x:c r="AK1" s="71">
        <x:v>8</x:v>
      </x:c>
      <x:c r="AP1" s="71">
        <x:v>9</x:v>
      </x:c>
      <x:c r="AU1" s="71">
        <x:v>10</x:v>
      </x:c>
      <x:c r="AZ1" s="71">
        <x:v>11</x:v>
      </x:c>
      <x:c r="BE1" s="71">
        <x:v>12</x:v>
      </x:c>
      <x:c r="BJ1" s="71">
        <x:v>13</x:v>
      </x:c>
      <x:c r="BO1" s="71">
        <x:v>14</x:v>
      </x:c>
      <x:c r="BT1" s="71">
        <x:v>15</x:v>
      </x:c>
      <x:c r="BY1" s="71">
        <x:v>16</x:v>
      </x:c>
      <x:c r="CD1" s="71">
        <x:v>17</x:v>
      </x:c>
      <x:c r="CI1" s="71">
        <x:v>18</x:v>
      </x:c>
      <x:c r="CN1" s="71">
        <x:v>19</x:v>
      </x:c>
      <x:c r="CS1" s="71">
        <x:v>20</x:v>
      </x:c>
      <x:c r="CX1" s="71">
        <x:v>21</x:v>
      </x:c>
      <x:c r="DC1" s="71">
        <x:v>22</x:v>
      </x:c>
      <x:c r="DH1" s="71">
        <x:v>23</x:v>
      </x:c>
      <x:c r="DM1" s="71">
        <x:v>24</x:v>
      </x:c>
      <x:c r="DR1" s="71">
        <x:v>25</x:v>
      </x:c>
      <x:c r="DW1" s="71">
        <x:v>26</x:v>
      </x:c>
      <x:c r="EB1" s="71">
        <x:v>27</x:v>
      </x:c>
      <x:c r="EG1" s="71">
        <x:v>28</x:v>
      </x:c>
      <x:c r="EL1" s="71">
        <x:v>29</x:v>
      </x:c>
    </x:row>
    <x:row r="2" spans="2:146" s="81" customFormat="1" ht="28.5" customHeight="1">
      <x:c r="B2" s="276" t="str">
        <x:f>TEXT(B6,"yyyy년 m월   ")&amp;B1&amp;"주차 시간표"</x:f>
        <x:v>2025년 9월   1주차 시간표</x:v>
      </x:c>
      <x:c r="C2" s="276"/>
      <x:c r="D2" s="276"/>
      <x:c r="E2" s="276"/>
      <x:c r="F2" s="276"/>
      <x:c r="G2" s="276" t="str">
        <x:f>TEXT(G6,"yyyy년 m월   ")&amp;G1&amp;"주차 시간표"</x:f>
        <x:v>2025년 9월   2주차 시간표</x:v>
      </x:c>
      <x:c r="H2" s="276"/>
      <x:c r="I2" s="276"/>
      <x:c r="J2" s="276"/>
      <x:c r="K2" s="276"/>
      <x:c r="L2" s="276" t="str">
        <x:f>TEXT(L6,"yyyy년 m월   ")&amp;L1&amp;"주차 시간표"</x:f>
        <x:v>2025년 10월   3주차 시간표</x:v>
      </x:c>
      <x:c r="M2" s="276"/>
      <x:c r="N2" s="276"/>
      <x:c r="O2" s="276"/>
      <x:c r="P2" s="276"/>
      <x:c r="Q2" s="276" t="str">
        <x:f>TEXT(Q6,"yyyy년 m월   ")&amp;Q1&amp;"주차 시간표"</x:f>
        <x:v>2025년 10월   4주차 시간표</x:v>
      </x:c>
      <x:c r="R2" s="276"/>
      <x:c r="S2" s="276"/>
      <x:c r="T2" s="276"/>
      <x:c r="U2" s="276"/>
      <x:c r="V2" s="276" t="str">
        <x:f>TEXT(V6,"yyyy년 m월   ")&amp;V1&amp;"주차 시간표"</x:f>
        <x:v>2025년 10월   5주차 시간표</x:v>
      </x:c>
      <x:c r="W2" s="276"/>
      <x:c r="X2" s="276"/>
      <x:c r="Y2" s="276"/>
      <x:c r="Z2" s="276"/>
      <x:c r="AA2" s="276" t="str">
        <x:f>TEXT(AA6,"yyyy년 m월   ")&amp;AA1&amp;"주차 시간표"</x:f>
        <x:v>2025년 10월   6주차 시간표</x:v>
      </x:c>
      <x:c r="AB2" s="276"/>
      <x:c r="AC2" s="276"/>
      <x:c r="AD2" s="276"/>
      <x:c r="AE2" s="276"/>
      <x:c r="AF2" s="276" t="str">
        <x:f>TEXT(AF6,"yyyy년 m월   ")&amp;AF1&amp;"주차 시간표"</x:f>
        <x:v>2025년 11월   7주차 시간표</x:v>
      </x:c>
      <x:c r="AG2" s="276"/>
      <x:c r="AH2" s="276"/>
      <x:c r="AI2" s="276"/>
      <x:c r="AJ2" s="276"/>
      <x:c r="AK2" s="276" t="str">
        <x:f>TEXT(AK6,"yyyy년 m월   ")&amp;AK1&amp;"주차 시간표"</x:f>
        <x:v>2025년 11월   8주차 시간표</x:v>
      </x:c>
      <x:c r="AL2" s="276"/>
      <x:c r="AM2" s="276"/>
      <x:c r="AN2" s="276"/>
      <x:c r="AO2" s="276"/>
      <x:c r="AP2" s="276" t="str">
        <x:f>TEXT(AP6,"yyyy년 m월   ")&amp;AP1&amp;"주차 시간표"</x:f>
        <x:v>2025년 11월   9주차 시간표</x:v>
      </x:c>
      <x:c r="AQ2" s="276"/>
      <x:c r="AR2" s="276"/>
      <x:c r="AS2" s="276"/>
      <x:c r="AT2" s="276"/>
      <x:c r="AU2" s="276" t="str">
        <x:f>TEXT(AU6,"yyyy년 m월   ")&amp;AU1&amp;"주차 시간표"</x:f>
        <x:v>2025년 11월   10주차 시간표</x:v>
      </x:c>
      <x:c r="AV2" s="276"/>
      <x:c r="AW2" s="276"/>
      <x:c r="AX2" s="276"/>
      <x:c r="AY2" s="276"/>
      <x:c r="AZ2" s="276" t="str">
        <x:f>TEXT(AZ6,"yyyy년 m월   ")&amp;AZ1&amp;"주차 시간표"</x:f>
        <x:v>2025년 12월   11주차 시간표</x:v>
      </x:c>
      <x:c r="BA2" s="276"/>
      <x:c r="BB2" s="276"/>
      <x:c r="BC2" s="276"/>
      <x:c r="BD2" s="276"/>
      <x:c r="BE2" s="276" t="str">
        <x:f>TEXT(BE6,"yyyy년 m월   ")&amp;BE1&amp;"주차 시간표"</x:f>
        <x:v>2025년 12월   12주차 시간표</x:v>
      </x:c>
      <x:c r="BF2" s="276"/>
      <x:c r="BG2" s="276"/>
      <x:c r="BH2" s="276"/>
      <x:c r="BI2" s="276"/>
      <x:c r="BJ2" s="276" t="str">
        <x:f>TEXT(BJ6,"yyyy년 m월   ")&amp;BJ1&amp;"주차 시간표"</x:f>
        <x:v>2025년 12월   13주차 시간표</x:v>
      </x:c>
      <x:c r="BK2" s="276"/>
      <x:c r="BL2" s="276"/>
      <x:c r="BM2" s="276"/>
      <x:c r="BN2" s="276"/>
      <x:c r="BO2" s="276" t="str">
        <x:f>TEXT(BO6,"yyyy년 m월   ")&amp;BO1&amp;"주차 시간표"</x:f>
        <x:v>2025년 12월   14주차 시간표</x:v>
      </x:c>
      <x:c r="BP2" s="276"/>
      <x:c r="BQ2" s="276"/>
      <x:c r="BR2" s="276"/>
      <x:c r="BS2" s="276"/>
      <x:c r="BT2" s="276" t="str">
        <x:f>TEXT(BT6,"yyyy년 m월   ")&amp;BT1&amp;"주차 시간표"</x:f>
        <x:v>2025년 12월   15주차 시간표</x:v>
      </x:c>
      <x:c r="BU2" s="276"/>
      <x:c r="BV2" s="276"/>
      <x:c r="BW2" s="276"/>
      <x:c r="BX2" s="276"/>
      <x:c r="BY2" s="276" t="str">
        <x:f>TEXT(BY6,"yyyy년 m월   ")&amp;BY1&amp;"주차 시간표"</x:f>
        <x:v>2026년 1월   16주차 시간표</x:v>
      </x:c>
      <x:c r="BZ2" s="276"/>
      <x:c r="CA2" s="276"/>
      <x:c r="CB2" s="276"/>
      <x:c r="CC2" s="276"/>
      <x:c r="CD2" s="276" t="str">
        <x:f>TEXT(CD6,"yyyy년 m월   ")&amp;CD1&amp;"주차 시간표"</x:f>
        <x:v>2026년 1월   17주차 시간표</x:v>
      </x:c>
      <x:c r="CE2" s="276"/>
      <x:c r="CF2" s="276"/>
      <x:c r="CG2" s="276"/>
      <x:c r="CH2" s="276"/>
      <x:c r="CI2" s="276" t="str">
        <x:f>TEXT(CI6,"yyyy년 m월   ")&amp;CI1&amp;"주차 시간표"</x:f>
        <x:v>2026년 1월   18주차 시간표</x:v>
      </x:c>
      <x:c r="CJ2" s="276"/>
      <x:c r="CK2" s="276"/>
      <x:c r="CL2" s="276"/>
      <x:c r="CM2" s="276"/>
      <x:c r="CN2" s="276" t="str">
        <x:f>TEXT(CN6,"yyyy년 m월   ")&amp;CN1&amp;"주차 시간표"</x:f>
        <x:v>2026년 1월   19주차 시간표</x:v>
      </x:c>
      <x:c r="CO2" s="276"/>
      <x:c r="CP2" s="276"/>
      <x:c r="CQ2" s="276"/>
      <x:c r="CR2" s="276"/>
      <x:c r="CS2" s="276" t="str">
        <x:f>TEXT(CS6,"yyyy년 m월   ")&amp;CS1&amp;"주차 시간표"</x:f>
        <x:v>2026년 2월   20주차 시간표</x:v>
      </x:c>
      <x:c r="CT2" s="276"/>
      <x:c r="CU2" s="276"/>
      <x:c r="CV2" s="276"/>
      <x:c r="CW2" s="276"/>
      <x:c r="CX2" s="276" t="str">
        <x:f>TEXT(CX6,"yyyy년 m월   ")&amp;CX1&amp;"주차 시간표"</x:f>
        <x:v>2026년 2월   21주차 시간표</x:v>
      </x:c>
      <x:c r="CY2" s="276"/>
      <x:c r="CZ2" s="276"/>
      <x:c r="DA2" s="276"/>
      <x:c r="DB2" s="276"/>
      <x:c r="DC2" s="276" t="str">
        <x:f>TEXT(DC6,"yyyy년 m월   ")&amp;DC1&amp;"주차 시간표"</x:f>
        <x:v>2026년 2월   22주차 시간표</x:v>
      </x:c>
      <x:c r="DD2" s="276"/>
      <x:c r="DE2" s="276"/>
      <x:c r="DF2" s="276"/>
      <x:c r="DG2" s="276"/>
      <x:c r="DH2" s="276" t="str">
        <x:f>TEXT(DH6,"yyyy년 m월   ")&amp;DH1&amp;"주차 시간표"</x:f>
        <x:v>2026년 2월   23주차 시간표</x:v>
      </x:c>
      <x:c r="DI2" s="276"/>
      <x:c r="DJ2" s="276"/>
      <x:c r="DK2" s="276"/>
      <x:c r="DL2" s="276"/>
      <x:c r="DM2" s="276" t="str">
        <x:f>TEXT(DM6,"yyyy년 m월   ")&amp;DM1&amp;"주차 시간표"</x:f>
        <x:v>2026년 3월   24주차 시간표</x:v>
      </x:c>
      <x:c r="DN2" s="276"/>
      <x:c r="DO2" s="276"/>
      <x:c r="DP2" s="276"/>
      <x:c r="DQ2" s="276"/>
      <x:c r="DR2" s="276" t="str">
        <x:f>TEXT(DM6,"yyyy년 m월   ")&amp;DM1&amp;"주차 시간표"</x:f>
        <x:v>2026년 3월   24주차 시간표</x:v>
      </x:c>
      <x:c r="DS2" s="276"/>
      <x:c r="DT2" s="276"/>
      <x:c r="DU2" s="276"/>
      <x:c r="DV2" s="276"/>
      <x:c r="DW2" s="276" t="str">
        <x:f>TEXT(DW6,"yyyy년 m월   ")&amp;DW1&amp;"주차 시간표"</x:f>
        <x:v>2026년 3월   26주차 시간표</x:v>
      </x:c>
      <x:c r="DX2" s="276"/>
      <x:c r="DY2" s="276"/>
      <x:c r="DZ2" s="276"/>
      <x:c r="EA2" s="276"/>
      <x:c r="EB2" s="276" t="str">
        <x:f>TEXT(EB6,"yyyy년 m월   ")&amp;EB1&amp;"주차 시간표"</x:f>
        <x:v>2026년 3월   27주차 시간표</x:v>
      </x:c>
      <x:c r="EC2" s="276"/>
      <x:c r="ED2" s="276"/>
      <x:c r="EE2" s="276"/>
      <x:c r="EF2" s="276"/>
      <x:c r="EG2" s="276" t="str">
        <x:f>TEXT(EG6,"yyyy년 m월   ")&amp;EG1&amp;"주차 시간표"</x:f>
        <x:v>2026년 3월   28주차 시간표</x:v>
      </x:c>
      <x:c r="EH2" s="276"/>
      <x:c r="EI2" s="276"/>
      <x:c r="EJ2" s="276"/>
      <x:c r="EK2" s="276"/>
      <x:c r="EL2" s="276" t="str">
        <x:f>TEXT(EL6,"yyyy년 m월   ")&amp;EL1&amp;"주차 시간표"</x:f>
        <x:v>2026년 4월   29주차 시간표</x:v>
      </x:c>
      <x:c r="EM2" s="276"/>
      <x:c r="EN2" s="276"/>
      <x:c r="EO2" s="276"/>
      <x:c r="EP2" s="276"/>
    </x:row>
    <x:row r="3" spans="2:146" s="27" customFormat="1" ht="15" customHeight="1">
      <x:c r="B3" s="275" t="str">
        <x:f>기본입력!$C$1&amp;"    ("&amp;기본입력!$C$2&amp;")"</x:f>
        <x:v>인공지능(AI),빅데이터 활용 웹솔루션 개발자 양성(Python, Java)    (2025.09.22~2026.03.25)</x:v>
      </x:c>
      <x:c r="C3" s="275"/>
      <x:c r="D3" s="275"/>
      <x:c r="E3" s="275"/>
      <x:c r="F3" s="275"/>
      <x:c r="G3" s="275" t="str">
        <x:f>기본입력!$C$1&amp;"  ("&amp;기본입력!$C$2&amp;")"</x:f>
        <x:v>인공지능(AI),빅데이터 활용 웹솔루션 개발자 양성(Python, Java)  (2025.09.22~2026.03.25)</x:v>
      </x:c>
      <x:c r="H3" s="275"/>
      <x:c r="I3" s="275"/>
      <x:c r="J3" s="275"/>
      <x:c r="K3" s="275"/>
      <x:c r="L3" s="275" t="str">
        <x:f>기본입력!$C$1&amp;"  ("&amp;기본입력!$C$2&amp;")"</x:f>
        <x:v>인공지능(AI),빅데이터 활용 웹솔루션 개발자 양성(Python, Java)  (2025.09.22~2026.03.25)</x:v>
      </x:c>
      <x:c r="M3" s="275"/>
      <x:c r="N3" s="275"/>
      <x:c r="O3" s="275"/>
      <x:c r="P3" s="275"/>
      <x:c r="Q3" s="275" t="str">
        <x:f>기본입력!$C$1&amp;"  ("&amp;기본입력!$C$2&amp;")"</x:f>
        <x:v>인공지능(AI),빅데이터 활용 웹솔루션 개발자 양성(Python, Java)  (2025.09.22~2026.03.25)</x:v>
      </x:c>
      <x:c r="R3" s="275"/>
      <x:c r="S3" s="275"/>
      <x:c r="T3" s="275"/>
      <x:c r="U3" s="275"/>
      <x:c r="V3" s="275" t="str">
        <x:f>기본입력!$C$1&amp;"  ("&amp;기본입력!$C$2&amp;")"</x:f>
        <x:v>인공지능(AI),빅데이터 활용 웹솔루션 개발자 양성(Python, Java)  (2025.09.22~2026.03.25)</x:v>
      </x:c>
      <x:c r="W3" s="275"/>
      <x:c r="X3" s="275"/>
      <x:c r="Y3" s="275"/>
      <x:c r="Z3" s="275"/>
      <x:c r="AA3" s="275" t="str">
        <x:f>기본입력!$C$1&amp;"  ("&amp;기본입력!$C$2&amp;")"</x:f>
        <x:v>인공지능(AI),빅데이터 활용 웹솔루션 개발자 양성(Python, Java)  (2025.09.22~2026.03.25)</x:v>
      </x:c>
      <x:c r="AB3" s="275"/>
      <x:c r="AC3" s="275"/>
      <x:c r="AD3" s="275"/>
      <x:c r="AE3" s="275"/>
      <x:c r="AF3" s="275" t="str">
        <x:f>기본입력!$C$1&amp;"  ("&amp;기본입력!$C$2&amp;")"</x:f>
        <x:v>인공지능(AI),빅데이터 활용 웹솔루션 개발자 양성(Python, Java)  (2025.09.22~2026.03.25)</x:v>
      </x:c>
      <x:c r="AG3" s="275"/>
      <x:c r="AH3" s="275"/>
      <x:c r="AI3" s="275"/>
      <x:c r="AJ3" s="275"/>
      <x:c r="AK3" s="275" t="str">
        <x:f>기본입력!$C$1&amp;"  ("&amp;기본입력!$C$2&amp;")"</x:f>
        <x:v>인공지능(AI),빅데이터 활용 웹솔루션 개발자 양성(Python, Java)  (2025.09.22~2026.03.25)</x:v>
      </x:c>
      <x:c r="AL3" s="275"/>
      <x:c r="AM3" s="275"/>
      <x:c r="AN3" s="275"/>
      <x:c r="AO3" s="275"/>
      <x:c r="AP3" s="275" t="str">
        <x:f>기본입력!$C$1&amp;"  ("&amp;기본입력!$C$2&amp;")"</x:f>
        <x:v>인공지능(AI),빅데이터 활용 웹솔루션 개발자 양성(Python, Java)  (2025.09.22~2026.03.25)</x:v>
      </x:c>
      <x:c r="AQ3" s="275"/>
      <x:c r="AR3" s="275"/>
      <x:c r="AS3" s="275"/>
      <x:c r="AT3" s="275"/>
      <x:c r="AU3" s="275" t="str">
        <x:f>기본입력!$C$1&amp;"  ("&amp;기본입력!$C$2&amp;")"</x:f>
        <x:v>인공지능(AI),빅데이터 활용 웹솔루션 개발자 양성(Python, Java)  (2025.09.22~2026.03.25)</x:v>
      </x:c>
      <x:c r="AV3" s="275"/>
      <x:c r="AW3" s="275"/>
      <x:c r="AX3" s="275"/>
      <x:c r="AY3" s="275"/>
      <x:c r="AZ3" s="275" t="str">
        <x:f>기본입력!$C$1&amp;"  ("&amp;기본입력!$C$2&amp;")"</x:f>
        <x:v>인공지능(AI),빅데이터 활용 웹솔루션 개발자 양성(Python, Java)  (2025.09.22~2026.03.25)</x:v>
      </x:c>
      <x:c r="BA3" s="275"/>
      <x:c r="BB3" s="275"/>
      <x:c r="BC3" s="275"/>
      <x:c r="BD3" s="275"/>
      <x:c r="BE3" s="275" t="str">
        <x:f>기본입력!$C$1&amp;"  ("&amp;기본입력!$C$2&amp;")"</x:f>
        <x:v>인공지능(AI),빅데이터 활용 웹솔루션 개발자 양성(Python, Java)  (2025.09.22~2026.03.25)</x:v>
      </x:c>
      <x:c r="BF3" s="275"/>
      <x:c r="BG3" s="275"/>
      <x:c r="BH3" s="275"/>
      <x:c r="BI3" s="275"/>
      <x:c r="BJ3" s="275" t="str">
        <x:f>기본입력!$C$1&amp;"  ("&amp;기본입력!$C$2&amp;")"</x:f>
        <x:v>인공지능(AI),빅데이터 활용 웹솔루션 개발자 양성(Python, Java)  (2025.09.22~2026.03.25)</x:v>
      </x:c>
      <x:c r="BK3" s="275"/>
      <x:c r="BL3" s="275"/>
      <x:c r="BM3" s="275"/>
      <x:c r="BN3" s="275"/>
      <x:c r="BO3" s="275" t="str">
        <x:f>기본입력!$C$1&amp;"  ("&amp;기본입력!$C$2&amp;")"</x:f>
        <x:v>인공지능(AI),빅데이터 활용 웹솔루션 개발자 양성(Python, Java)  (2025.09.22~2026.03.25)</x:v>
      </x:c>
      <x:c r="BP3" s="275"/>
      <x:c r="BQ3" s="275"/>
      <x:c r="BR3" s="275"/>
      <x:c r="BS3" s="275"/>
      <x:c r="BT3" s="275" t="str">
        <x:f>기본입력!$C$1&amp;"  ("&amp;기본입력!$C$2&amp;")"</x:f>
        <x:v>인공지능(AI),빅데이터 활용 웹솔루션 개발자 양성(Python, Java)  (2025.09.22~2026.03.25)</x:v>
      </x:c>
      <x:c r="BU3" s="275"/>
      <x:c r="BV3" s="275"/>
      <x:c r="BW3" s="275"/>
      <x:c r="BX3" s="275"/>
      <x:c r="BY3" s="275" t="str">
        <x:f>기본입력!$C$1&amp;"  ("&amp;기본입력!$C$2&amp;")"</x:f>
        <x:v>인공지능(AI),빅데이터 활용 웹솔루션 개발자 양성(Python, Java)  (2025.09.22~2026.03.25)</x:v>
      </x:c>
      <x:c r="BZ3" s="275"/>
      <x:c r="CA3" s="275"/>
      <x:c r="CB3" s="275"/>
      <x:c r="CC3" s="275"/>
      <x:c r="CD3" s="275" t="str">
        <x:f>기본입력!$C$1&amp;"  ("&amp;기본입력!$C$2&amp;")"</x:f>
        <x:v>인공지능(AI),빅데이터 활용 웹솔루션 개발자 양성(Python, Java)  (2025.09.22~2026.03.25)</x:v>
      </x:c>
      <x:c r="CE3" s="275"/>
      <x:c r="CF3" s="275"/>
      <x:c r="CG3" s="275"/>
      <x:c r="CH3" s="275"/>
      <x:c r="CI3" s="275" t="str">
        <x:f>기본입력!$C$1&amp;"  ("&amp;기본입력!$C$2&amp;")"</x:f>
        <x:v>인공지능(AI),빅데이터 활용 웹솔루션 개발자 양성(Python, Java)  (2025.09.22~2026.03.25)</x:v>
      </x:c>
      <x:c r="CJ3" s="275"/>
      <x:c r="CK3" s="275"/>
      <x:c r="CL3" s="275"/>
      <x:c r="CM3" s="275"/>
      <x:c r="CN3" s="275" t="str">
        <x:f>기본입력!$C$1&amp;"  ("&amp;기본입력!$C$2&amp;")"</x:f>
        <x:v>인공지능(AI),빅데이터 활용 웹솔루션 개발자 양성(Python, Java)  (2025.09.22~2026.03.25)</x:v>
      </x:c>
      <x:c r="CO3" s="275"/>
      <x:c r="CP3" s="275"/>
      <x:c r="CQ3" s="275"/>
      <x:c r="CR3" s="275"/>
      <x:c r="CS3" s="275" t="str">
        <x:f>기본입력!$C$1&amp;"  ("&amp;기본입력!$C$2&amp;")"</x:f>
        <x:v>인공지능(AI),빅데이터 활용 웹솔루션 개발자 양성(Python, Java)  (2025.09.22~2026.03.25)</x:v>
      </x:c>
      <x:c r="CT3" s="275"/>
      <x:c r="CU3" s="275"/>
      <x:c r="CV3" s="275"/>
      <x:c r="CW3" s="275"/>
      <x:c r="CX3" s="275" t="str">
        <x:f>기본입력!$C$1&amp;"  ("&amp;기본입력!$C$2&amp;")"</x:f>
        <x:v>인공지능(AI),빅데이터 활용 웹솔루션 개발자 양성(Python, Java)  (2025.09.22~2026.03.25)</x:v>
      </x:c>
      <x:c r="CY3" s="275"/>
      <x:c r="CZ3" s="275"/>
      <x:c r="DA3" s="275"/>
      <x:c r="DB3" s="275"/>
      <x:c r="DC3" s="275" t="str">
        <x:f>기본입력!$C$1&amp;"  ("&amp;기본입력!$C$2&amp;")"</x:f>
        <x:v>인공지능(AI),빅데이터 활용 웹솔루션 개발자 양성(Python, Java)  (2025.09.22~2026.03.25)</x:v>
      </x:c>
      <x:c r="DD3" s="275"/>
      <x:c r="DE3" s="275"/>
      <x:c r="DF3" s="275"/>
      <x:c r="DG3" s="275"/>
      <x:c r="DH3" s="275" t="str">
        <x:f>기본입력!$C$1&amp;"  ("&amp;기본입력!$C$2&amp;")"</x:f>
        <x:v>인공지능(AI),빅데이터 활용 웹솔루션 개발자 양성(Python, Java)  (2025.09.22~2026.03.25)</x:v>
      </x:c>
      <x:c r="DI3" s="275"/>
      <x:c r="DJ3" s="275"/>
      <x:c r="DK3" s="275"/>
      <x:c r="DL3" s="275"/>
      <x:c r="DM3" s="275" t="str">
        <x:f>기본입력!$C$1&amp;"  ("&amp;기본입력!$C$2&amp;")"</x:f>
        <x:v>인공지능(AI),빅데이터 활용 웹솔루션 개발자 양성(Python, Java)  (2025.09.22~2026.03.25)</x:v>
      </x:c>
      <x:c r="DN3" s="275"/>
      <x:c r="DO3" s="275"/>
      <x:c r="DP3" s="275"/>
      <x:c r="DQ3" s="275"/>
      <x:c r="DR3" s="275" t="str">
        <x:f>기본입력!$C$1&amp;"  ("&amp;기본입력!$C$2&amp;")"</x:f>
        <x:v>인공지능(AI),빅데이터 활용 웹솔루션 개발자 양성(Python, Java)  (2025.09.22~2026.03.25)</x:v>
      </x:c>
      <x:c r="DS3" s="275"/>
      <x:c r="DT3" s="275"/>
      <x:c r="DU3" s="275"/>
      <x:c r="DV3" s="275"/>
      <x:c r="DW3" s="275" t="str">
        <x:f>기본입력!$C$1&amp;"  ("&amp;기본입력!$C$2&amp;")"</x:f>
        <x:v>인공지능(AI),빅데이터 활용 웹솔루션 개발자 양성(Python, Java)  (2025.09.22~2026.03.25)</x:v>
      </x:c>
      <x:c r="DX3" s="275"/>
      <x:c r="DY3" s="275"/>
      <x:c r="DZ3" s="275"/>
      <x:c r="EA3" s="275"/>
      <x:c r="EB3" s="275" t="str">
        <x:f>기본입력!$C$1&amp;"  ("&amp;기본입력!$C$2&amp;")"</x:f>
        <x:v>인공지능(AI),빅데이터 활용 웹솔루션 개발자 양성(Python, Java)  (2025.09.22~2026.03.25)</x:v>
      </x:c>
      <x:c r="EC3" s="275"/>
      <x:c r="ED3" s="275"/>
      <x:c r="EE3" s="275"/>
      <x:c r="EF3" s="275"/>
      <x:c r="EG3" s="275" t="str">
        <x:f>기본입력!$C$1&amp;"  ("&amp;기본입력!$C$2&amp;")"</x:f>
        <x:v>인공지능(AI),빅데이터 활용 웹솔루션 개발자 양성(Python, Java)  (2025.09.22~2026.03.25)</x:v>
      </x:c>
      <x:c r="EH3" s="275"/>
      <x:c r="EI3" s="275"/>
      <x:c r="EJ3" s="275"/>
      <x:c r="EK3" s="275"/>
      <x:c r="EL3" s="275" t="str">
        <x:f>기본입력!$C$1&amp;"  ("&amp;기본입력!$C$2&amp;")"</x:f>
        <x:v>인공지능(AI),빅데이터 활용 웹솔루션 개발자 양성(Python, Java)  (2025.09.22~2026.03.25)</x:v>
      </x:c>
      <x:c r="EM3" s="275"/>
      <x:c r="EN3" s="275"/>
      <x:c r="EO3" s="275"/>
      <x:c r="EP3" s="275"/>
    </x:row>
    <x:row r="4" spans="2:146" s="36" customFormat="1" ht="10.5" hidden="1" customHeight="1">
      <x:c r="B4" s="35">
        <x:f t="shared" ref="B4:AG4" si="0">NETWORKDAYS(시작일,B6,공휴일)</x:f>
        <x:v>1</x:v>
      </x:c>
      <x:c r="C4" s="35">
        <x:f t="shared" si="0"/>
        <x:v>2</x:v>
      </x:c>
      <x:c r="D4" s="35">
        <x:f t="shared" si="0"/>
        <x:v>3</x:v>
      </x:c>
      <x:c r="E4" s="35">
        <x:f t="shared" si="0"/>
        <x:v>4</x:v>
      </x:c>
      <x:c r="F4" s="35">
        <x:f t="shared" si="0"/>
        <x:v>5</x:v>
      </x:c>
      <x:c r="G4" s="35">
        <x:f t="shared" si="0"/>
        <x:v>6</x:v>
      </x:c>
      <x:c r="H4" s="35">
        <x:f t="shared" si="0"/>
        <x:v>7</x:v>
      </x:c>
      <x:c r="I4" s="35">
        <x:f t="shared" si="0"/>
        <x:v>8</x:v>
      </x:c>
      <x:c r="J4" s="35">
        <x:f t="shared" si="0"/>
        <x:v>9</x:v>
      </x:c>
      <x:c r="K4" s="35">
        <x:f t="shared" si="0"/>
        <x:v>9</x:v>
      </x:c>
      <x:c r="L4" s="35">
        <x:f t="shared" si="0"/>
        <x:v>9</x:v>
      </x:c>
      <x:c r="M4" s="35">
        <x:f t="shared" si="0"/>
        <x:v>9</x:v>
      </x:c>
      <x:c r="N4" s="35">
        <x:f t="shared" si="0"/>
        <x:v>9</x:v>
      </x:c>
      <x:c r="O4" s="35">
        <x:f t="shared" si="0"/>
        <x:v>9</x:v>
      </x:c>
      <x:c r="P4" s="35">
        <x:f t="shared" si="0"/>
        <x:v>10</x:v>
      </x:c>
      <x:c r="Q4" s="35">
        <x:f t="shared" si="0"/>
        <x:v>11</x:v>
      </x:c>
      <x:c r="R4" s="35">
        <x:f t="shared" si="0"/>
        <x:v>12</x:v>
      </x:c>
      <x:c r="S4" s="35">
        <x:f t="shared" si="0"/>
        <x:v>13</x:v>
      </x:c>
      <x:c r="T4" s="35">
        <x:f t="shared" si="0"/>
        <x:v>14</x:v>
      </x:c>
      <x:c r="U4" s="35">
        <x:f t="shared" si="0"/>
        <x:v>15</x:v>
      </x:c>
      <x:c r="V4" s="35">
        <x:f t="shared" si="0"/>
        <x:v>16</x:v>
      </x:c>
      <x:c r="W4" s="35">
        <x:f t="shared" si="0"/>
        <x:v>17</x:v>
      </x:c>
      <x:c r="X4" s="35">
        <x:f t="shared" si="0"/>
        <x:v>18</x:v>
      </x:c>
      <x:c r="Y4" s="35">
        <x:f t="shared" si="0"/>
        <x:v>19</x:v>
      </x:c>
      <x:c r="Z4" s="35">
        <x:f t="shared" si="0"/>
        <x:v>20</x:v>
      </x:c>
      <x:c r="AA4" s="35">
        <x:f t="shared" si="0"/>
        <x:v>21</x:v>
      </x:c>
      <x:c r="AB4" s="35">
        <x:f t="shared" si="0"/>
        <x:v>22</x:v>
      </x:c>
      <x:c r="AC4" s="35">
        <x:f t="shared" si="0"/>
        <x:v>23</x:v>
      </x:c>
      <x:c r="AD4" s="35">
        <x:f t="shared" si="0"/>
        <x:v>24</x:v>
      </x:c>
      <x:c r="AE4" s="35">
        <x:f t="shared" si="0"/>
        <x:v>25</x:v>
      </x:c>
      <x:c r="AF4" s="35">
        <x:f t="shared" si="0"/>
        <x:v>26</x:v>
      </x:c>
      <x:c r="AG4" s="35">
        <x:f t="shared" si="0"/>
        <x:v>27</x:v>
      </x:c>
      <x:c r="AH4" s="35">
        <x:f t="shared" ref="AH4:BM4" si="1">NETWORKDAYS(시작일,AH6,공휴일)</x:f>
        <x:v>28</x:v>
      </x:c>
      <x:c r="AI4" s="35">
        <x:f t="shared" si="1"/>
        <x:v>29</x:v>
      </x:c>
      <x:c r="AJ4" s="35">
        <x:f t="shared" si="1"/>
        <x:v>30</x:v>
      </x:c>
      <x:c r="AK4" s="35">
        <x:f t="shared" si="1"/>
        <x:v>31</x:v>
      </x:c>
      <x:c r="AL4" s="35">
        <x:f t="shared" si="1"/>
        <x:v>32</x:v>
      </x:c>
      <x:c r="AM4" s="35">
        <x:f t="shared" si="1"/>
        <x:v>33</x:v>
      </x:c>
      <x:c r="AN4" s="35">
        <x:f t="shared" si="1"/>
        <x:v>34</x:v>
      </x:c>
      <x:c r="AO4" s="35">
        <x:f t="shared" si="1"/>
        <x:v>35</x:v>
      </x:c>
      <x:c r="AP4" s="35">
        <x:f t="shared" si="1"/>
        <x:v>36</x:v>
      </x:c>
      <x:c r="AQ4" s="35">
        <x:f t="shared" si="1"/>
        <x:v>37</x:v>
      </x:c>
      <x:c r="AR4" s="35">
        <x:f t="shared" si="1"/>
        <x:v>38</x:v>
      </x:c>
      <x:c r="AS4" s="35">
        <x:f t="shared" si="1"/>
        <x:v>39</x:v>
      </x:c>
      <x:c r="AT4" s="35">
        <x:f t="shared" si="1"/>
        <x:v>40</x:v>
      </x:c>
      <x:c r="AU4" s="35">
        <x:f t="shared" si="1"/>
        <x:v>41</x:v>
      </x:c>
      <x:c r="AV4" s="35">
        <x:f t="shared" si="1"/>
        <x:v>42</x:v>
      </x:c>
      <x:c r="AW4" s="35">
        <x:f t="shared" si="1"/>
        <x:v>43</x:v>
      </x:c>
      <x:c r="AX4" s="35">
        <x:f t="shared" si="1"/>
        <x:v>44</x:v>
      </x:c>
      <x:c r="AY4" s="35">
        <x:f t="shared" si="1"/>
        <x:v>45</x:v>
      </x:c>
      <x:c r="AZ4" s="35">
        <x:f t="shared" si="1"/>
        <x:v>46</x:v>
      </x:c>
      <x:c r="BA4" s="35">
        <x:f t="shared" si="1"/>
        <x:v>47</x:v>
      </x:c>
      <x:c r="BB4" s="35">
        <x:f t="shared" si="1"/>
        <x:v>48</x:v>
      </x:c>
      <x:c r="BC4" s="35">
        <x:f t="shared" si="1"/>
        <x:v>49</x:v>
      </x:c>
      <x:c r="BD4" s="35">
        <x:f t="shared" si="1"/>
        <x:v>50</x:v>
      </x:c>
      <x:c r="BE4" s="35">
        <x:f t="shared" si="1"/>
        <x:v>51</x:v>
      </x:c>
      <x:c r="BF4" s="35">
        <x:f t="shared" si="1"/>
        <x:v>52</x:v>
      </x:c>
      <x:c r="BG4" s="35">
        <x:f t="shared" si="1"/>
        <x:v>53</x:v>
      </x:c>
      <x:c r="BH4" s="35">
        <x:f t="shared" si="1"/>
        <x:v>54</x:v>
      </x:c>
      <x:c r="BI4" s="35">
        <x:f t="shared" si="1"/>
        <x:v>55</x:v>
      </x:c>
      <x:c r="BJ4" s="35">
        <x:f t="shared" si="1"/>
        <x:v>56</x:v>
      </x:c>
      <x:c r="BK4" s="35">
        <x:f t="shared" si="1"/>
        <x:v>57</x:v>
      </x:c>
      <x:c r="BL4" s="35">
        <x:f t="shared" si="1"/>
        <x:v>58</x:v>
      </x:c>
      <x:c r="BM4" s="35">
        <x:f t="shared" si="1"/>
        <x:v>59</x:v>
      </x:c>
      <x:c r="BN4" s="35">
        <x:f t="shared" ref="BN4:CS4" si="2">NETWORKDAYS(시작일,BN6,공휴일)</x:f>
        <x:v>60</x:v>
      </x:c>
      <x:c r="BO4" s="35">
        <x:f t="shared" si="2"/>
        <x:v>61</x:v>
      </x:c>
      <x:c r="BP4" s="35">
        <x:f t="shared" si="2"/>
        <x:v>62</x:v>
      </x:c>
      <x:c r="BQ4" s="35">
        <x:f t="shared" si="2"/>
        <x:v>63</x:v>
      </x:c>
      <x:c r="BR4" s="35">
        <x:f t="shared" si="2"/>
        <x:v>63</x:v>
      </x:c>
      <x:c r="BS4" s="35">
        <x:f t="shared" si="2"/>
        <x:v>64</x:v>
      </x:c>
      <x:c r="BT4" s="35">
        <x:f t="shared" si="2"/>
        <x:v>65</x:v>
      </x:c>
      <x:c r="BU4" s="35">
        <x:f t="shared" si="2"/>
        <x:v>66</x:v>
      </x:c>
      <x:c r="BV4" s="35">
        <x:f t="shared" si="2"/>
        <x:v>67</x:v>
      </x:c>
      <x:c r="BW4" s="35">
        <x:f t="shared" si="2"/>
        <x:v>67</x:v>
      </x:c>
      <x:c r="BX4" s="35">
        <x:f t="shared" si="2"/>
        <x:v>68</x:v>
      </x:c>
      <x:c r="BY4" s="35">
        <x:f t="shared" si="2"/>
        <x:v>69</x:v>
      </x:c>
      <x:c r="BZ4" s="35">
        <x:f t="shared" si="2"/>
        <x:v>70</x:v>
      </x:c>
      <x:c r="CA4" s="35">
        <x:f t="shared" si="2"/>
        <x:v>71</x:v>
      </x:c>
      <x:c r="CB4" s="35">
        <x:f t="shared" si="2"/>
        <x:v>72</x:v>
      </x:c>
      <x:c r="CC4" s="35">
        <x:f t="shared" si="2"/>
        <x:v>73</x:v>
      </x:c>
      <x:c r="CD4" s="35">
        <x:f t="shared" si="2"/>
        <x:v>74</x:v>
      </x:c>
      <x:c r="CE4" s="35">
        <x:f t="shared" si="2"/>
        <x:v>75</x:v>
      </x:c>
      <x:c r="CF4" s="35">
        <x:f t="shared" si="2"/>
        <x:v>76</x:v>
      </x:c>
      <x:c r="CG4" s="35">
        <x:f t="shared" si="2"/>
        <x:v>77</x:v>
      </x:c>
      <x:c r="CH4" s="35">
        <x:f t="shared" si="2"/>
        <x:v>78</x:v>
      </x:c>
      <x:c r="CI4" s="35">
        <x:f t="shared" si="2"/>
        <x:v>79</x:v>
      </x:c>
      <x:c r="CJ4" s="35">
        <x:f t="shared" si="2"/>
        <x:v>80</x:v>
      </x:c>
      <x:c r="CK4" s="35">
        <x:f t="shared" si="2"/>
        <x:v>81</x:v>
      </x:c>
      <x:c r="CL4" s="35">
        <x:f t="shared" si="2"/>
        <x:v>82</x:v>
      </x:c>
      <x:c r="CM4" s="35">
        <x:f t="shared" si="2"/>
        <x:v>83</x:v>
      </x:c>
      <x:c r="CN4" s="35">
        <x:f t="shared" si="2"/>
        <x:v>84</x:v>
      </x:c>
      <x:c r="CO4" s="35">
        <x:f t="shared" si="2"/>
        <x:v>85</x:v>
      </x:c>
      <x:c r="CP4" s="35">
        <x:f t="shared" si="2"/>
        <x:v>86</x:v>
      </x:c>
      <x:c r="CQ4" s="35">
        <x:f t="shared" si="2"/>
        <x:v>87</x:v>
      </x:c>
      <x:c r="CR4" s="35">
        <x:f t="shared" si="2"/>
        <x:v>88</x:v>
      </x:c>
      <x:c r="CS4" s="35">
        <x:f t="shared" si="2"/>
        <x:v>89</x:v>
      </x:c>
      <x:c r="CT4" s="35">
        <x:f t="shared" ref="CT4:DY4" si="3">NETWORKDAYS(시작일,CT6,공휴일)</x:f>
        <x:v>90</x:v>
      </x:c>
      <x:c r="CU4" s="35">
        <x:f t="shared" si="3"/>
        <x:v>91</x:v>
      </x:c>
      <x:c r="CV4" s="35">
        <x:f t="shared" si="3"/>
        <x:v>92</x:v>
      </x:c>
      <x:c r="CW4" s="35">
        <x:f t="shared" si="3"/>
        <x:v>93</x:v>
      </x:c>
      <x:c r="CX4" s="35">
        <x:f t="shared" si="3"/>
        <x:v>94</x:v>
      </x:c>
      <x:c r="CY4" s="35">
        <x:f t="shared" si="3"/>
        <x:v>95</x:v>
      </x:c>
      <x:c r="CZ4" s="35">
        <x:f t="shared" si="3"/>
        <x:v>96</x:v>
      </x:c>
      <x:c r="DA4" s="35">
        <x:f t="shared" si="3"/>
        <x:v>97</x:v>
      </x:c>
      <x:c r="DB4" s="35">
        <x:f t="shared" si="3"/>
        <x:v>98</x:v>
      </x:c>
      <x:c r="DC4" s="35">
        <x:f t="shared" si="3"/>
        <x:v>98</x:v>
      </x:c>
      <x:c r="DD4" s="35">
        <x:f t="shared" si="3"/>
        <x:v>98</x:v>
      </x:c>
      <x:c r="DE4" s="35">
        <x:f t="shared" si="3"/>
        <x:v>98</x:v>
      </x:c>
      <x:c r="DF4" s="35">
        <x:f t="shared" si="3"/>
        <x:v>99</x:v>
      </x:c>
      <x:c r="DG4" s="35">
        <x:f t="shared" si="3"/>
        <x:v>100</x:v>
      </x:c>
      <x:c r="DH4" s="35">
        <x:f t="shared" si="3"/>
        <x:v>101</x:v>
      </x:c>
      <x:c r="DI4" s="35">
        <x:f t="shared" si="3"/>
        <x:v>102</x:v>
      </x:c>
      <x:c r="DJ4" s="35">
        <x:f t="shared" si="3"/>
        <x:v>103</x:v>
      </x:c>
      <x:c r="DK4" s="35">
        <x:f t="shared" si="3"/>
        <x:v>104</x:v>
      </x:c>
      <x:c r="DL4" s="35">
        <x:f t="shared" si="3"/>
        <x:v>105</x:v>
      </x:c>
      <x:c r="DM4" s="35">
        <x:f t="shared" si="3"/>
        <x:v>105</x:v>
      </x:c>
      <x:c r="DN4" s="35">
        <x:f t="shared" si="3"/>
        <x:v>106</x:v>
      </x:c>
      <x:c r="DO4" s="35">
        <x:f t="shared" si="3"/>
        <x:v>107</x:v>
      </x:c>
      <x:c r="DP4" s="35">
        <x:f t="shared" si="3"/>
        <x:v>108</x:v>
      </x:c>
      <x:c r="DQ4" s="35">
        <x:f t="shared" si="3"/>
        <x:v>109</x:v>
      </x:c>
      <x:c r="DR4" s="35">
        <x:f t="shared" si="3"/>
        <x:v>110</x:v>
      </x:c>
      <x:c r="DS4" s="35">
        <x:f t="shared" si="3"/>
        <x:v>111</x:v>
      </x:c>
      <x:c r="DT4" s="35">
        <x:f t="shared" si="3"/>
        <x:v>112</x:v>
      </x:c>
      <x:c r="DU4" s="35">
        <x:f t="shared" si="3"/>
        <x:v>113</x:v>
      </x:c>
      <x:c r="DV4" s="35">
        <x:f t="shared" si="3"/>
        <x:v>114</x:v>
      </x:c>
      <x:c r="DW4" s="35">
        <x:f t="shared" si="3"/>
        <x:v>115</x:v>
      </x:c>
      <x:c r="DX4" s="35">
        <x:f t="shared" si="3"/>
        <x:v>116</x:v>
      </x:c>
      <x:c r="DY4" s="35">
        <x:f t="shared" si="3"/>
        <x:v>117</x:v>
      </x:c>
      <x:c r="DZ4" s="35">
        <x:f t="shared" ref="DZ4:EP4" si="4">NETWORKDAYS(시작일,DZ6,공휴일)</x:f>
        <x:v>118</x:v>
      </x:c>
      <x:c r="EA4" s="35">
        <x:f t="shared" si="4"/>
        <x:v>119</x:v>
      </x:c>
      <x:c r="EB4" s="35">
        <x:f t="shared" si="4"/>
        <x:v>120</x:v>
      </x:c>
      <x:c r="EC4" s="35">
        <x:f t="shared" si="4"/>
        <x:v>121</x:v>
      </x:c>
      <x:c r="ED4" s="35">
        <x:f t="shared" si="4"/>
        <x:v>122</x:v>
      </x:c>
      <x:c r="EE4" s="35">
        <x:f t="shared" si="4"/>
        <x:v>123</x:v>
      </x:c>
      <x:c r="EF4" s="35">
        <x:f t="shared" si="4"/>
        <x:v>124</x:v>
      </x:c>
      <x:c r="EG4" s="35">
        <x:f t="shared" si="4"/>
        <x:v>125</x:v>
      </x:c>
      <x:c r="EH4" s="35">
        <x:f t="shared" si="4"/>
        <x:v>126</x:v>
      </x:c>
      <x:c r="EI4" s="35">
        <x:f t="shared" si="4"/>
        <x:v>127</x:v>
      </x:c>
      <x:c r="EJ4" s="35">
        <x:f t="shared" si="4"/>
        <x:v>128</x:v>
      </x:c>
      <x:c r="EK4" s="35">
        <x:f t="shared" si="4"/>
        <x:v>129</x:v>
      </x:c>
      <x:c r="EL4" s="35">
        <x:f t="shared" si="4"/>
        <x:v>130</x:v>
      </x:c>
      <x:c r="EM4" s="35">
        <x:f t="shared" si="4"/>
        <x:v>131</x:v>
      </x:c>
      <x:c r="EN4" s="35">
        <x:f t="shared" si="4"/>
        <x:v>132</x:v>
      </x:c>
      <x:c r="EO4" s="35">
        <x:f t="shared" si="4"/>
        <x:v>133</x:v>
      </x:c>
      <x:c r="EP4" s="35">
        <x:f t="shared" si="4"/>
        <x:v>134</x:v>
      </x:c>
    </x:row>
    <x:row r="5" spans="1:146" s="35" customFormat="1" ht="20.10000000000000142109" customHeight="1">
      <x:c r="A5" s="280" t="s">
        <x:v>11</x:v>
      </x:c>
      <x:c r="B5" s="75" t="str">
        <x:f>TEXT(B6,"aaaa")</x:f>
        <x:v>월요일</x:v>
      </x:c>
      <x:c r="C5" s="40" t="str">
        <x:f t="shared" ref="C5:O5" si="5">TEXT(C6,"aaaa")</x:f>
        <x:v>화요일</x:v>
      </x:c>
      <x:c r="D5" s="40" t="str">
        <x:f t="shared" si="5"/>
        <x:v>수요일</x:v>
      </x:c>
      <x:c r="E5" s="40" t="str">
        <x:f t="shared" si="5"/>
        <x:v>목요일</x:v>
      </x:c>
      <x:c r="F5" s="41" t="str">
        <x:f t="shared" si="5"/>
        <x:v>금요일</x:v>
      </x:c>
      <x:c r="G5" s="75" t="str">
        <x:f t="shared" si="5"/>
        <x:v>월요일</x:v>
      </x:c>
      <x:c r="H5" s="40" t="str">
        <x:f t="shared" si="5"/>
        <x:v>화요일</x:v>
      </x:c>
      <x:c r="I5" s="40" t="str">
        <x:f t="shared" si="5"/>
        <x:v>수요일</x:v>
      </x:c>
      <x:c r="J5" s="40" t="str">
        <x:f t="shared" si="5"/>
        <x:v>목요일</x:v>
      </x:c>
      <x:c r="K5" s="72" t="str">
        <x:f t="shared" si="5"/>
        <x:v>금요일</x:v>
      </x:c>
      <x:c r="L5" s="69" t="str">
        <x:f t="shared" si="5"/>
        <x:v>월요일</x:v>
      </x:c>
      <x:c r="M5" s="40" t="str">
        <x:f t="shared" si="5"/>
        <x:v>화요일</x:v>
      </x:c>
      <x:c r="N5" s="40" t="str">
        <x:f t="shared" si="5"/>
        <x:v>수요일</x:v>
      </x:c>
      <x:c r="O5" s="40" t="str">
        <x:f t="shared" si="5"/>
        <x:v>목요일</x:v>
      </x:c>
      <x:c r="P5" s="41" t="str">
        <x:f t="shared" ref="P5:AU5" si="6">TEXT(P6,"aaaa")</x:f>
        <x:v>금요일</x:v>
      </x:c>
      <x:c r="Q5" s="75" t="str">
        <x:f t="shared" si="6"/>
        <x:v>월요일</x:v>
      </x:c>
      <x:c r="R5" s="40" t="str">
        <x:f t="shared" si="6"/>
        <x:v>화요일</x:v>
      </x:c>
      <x:c r="S5" s="40" t="str">
        <x:f t="shared" si="6"/>
        <x:v>수요일</x:v>
      </x:c>
      <x:c r="T5" s="40" t="str">
        <x:f t="shared" si="6"/>
        <x:v>목요일</x:v>
      </x:c>
      <x:c r="U5" s="72" t="str">
        <x:f t="shared" si="6"/>
        <x:v>금요일</x:v>
      </x:c>
      <x:c r="V5" s="69" t="str">
        <x:f t="shared" si="6"/>
        <x:v>월요일</x:v>
      </x:c>
      <x:c r="W5" s="40" t="str">
        <x:f t="shared" si="6"/>
        <x:v>화요일</x:v>
      </x:c>
      <x:c r="X5" s="40" t="str">
        <x:f t="shared" si="6"/>
        <x:v>수요일</x:v>
      </x:c>
      <x:c r="Y5" s="40" t="str">
        <x:f t="shared" si="6"/>
        <x:v>목요일</x:v>
      </x:c>
      <x:c r="Z5" s="41" t="str">
        <x:f t="shared" si="6"/>
        <x:v>금요일</x:v>
      </x:c>
      <x:c r="AA5" s="75" t="str">
        <x:f t="shared" si="6"/>
        <x:v>월요일</x:v>
      </x:c>
      <x:c r="AB5" s="40" t="str">
        <x:f t="shared" si="6"/>
        <x:v>화요일</x:v>
      </x:c>
      <x:c r="AC5" s="40" t="str">
        <x:f t="shared" si="6"/>
        <x:v>수요일</x:v>
      </x:c>
      <x:c r="AD5" s="40" t="str">
        <x:f t="shared" si="6"/>
        <x:v>목요일</x:v>
      </x:c>
      <x:c r="AE5" s="72" t="str">
        <x:f t="shared" si="6"/>
        <x:v>금요일</x:v>
      </x:c>
      <x:c r="AF5" s="69" t="str">
        <x:f t="shared" si="6"/>
        <x:v>월요일</x:v>
      </x:c>
      <x:c r="AG5" s="40" t="str">
        <x:f t="shared" si="6"/>
        <x:v>화요일</x:v>
      </x:c>
      <x:c r="AH5" s="40" t="str">
        <x:f t="shared" si="6"/>
        <x:v>수요일</x:v>
      </x:c>
      <x:c r="AI5" s="40" t="str">
        <x:f t="shared" si="6"/>
        <x:v>목요일</x:v>
      </x:c>
      <x:c r="AJ5" s="41" t="str">
        <x:f t="shared" si="6"/>
        <x:v>금요일</x:v>
      </x:c>
      <x:c r="AK5" s="75" t="str">
        <x:f t="shared" si="6"/>
        <x:v>월요일</x:v>
      </x:c>
      <x:c r="AL5" s="40" t="str">
        <x:f t="shared" si="6"/>
        <x:v>화요일</x:v>
      </x:c>
      <x:c r="AM5" s="40" t="str">
        <x:f t="shared" si="6"/>
        <x:v>수요일</x:v>
      </x:c>
      <x:c r="AN5" s="40" t="str">
        <x:f t="shared" si="6"/>
        <x:v>목요일</x:v>
      </x:c>
      <x:c r="AO5" s="72" t="str">
        <x:f t="shared" si="6"/>
        <x:v>금요일</x:v>
      </x:c>
      <x:c r="AP5" s="69" t="str">
        <x:f t="shared" si="6"/>
        <x:v>월요일</x:v>
      </x:c>
      <x:c r="AQ5" s="40" t="str">
        <x:f t="shared" si="6"/>
        <x:v>화요일</x:v>
      </x:c>
      <x:c r="AR5" s="40" t="str">
        <x:f t="shared" si="6"/>
        <x:v>수요일</x:v>
      </x:c>
      <x:c r="AS5" s="40" t="str">
        <x:f t="shared" si="6"/>
        <x:v>목요일</x:v>
      </x:c>
      <x:c r="AT5" s="41" t="str">
        <x:f t="shared" si="6"/>
        <x:v>금요일</x:v>
      </x:c>
      <x:c r="AU5" s="69" t="str">
        <x:f t="shared" si="6"/>
        <x:v>월요일</x:v>
      </x:c>
      <x:c r="AV5" s="40" t="str">
        <x:f t="shared" ref="AV5:CA5" si="7">TEXT(AV6,"aaaa")</x:f>
        <x:v>화요일</x:v>
      </x:c>
      <x:c r="AW5" s="40" t="str">
        <x:f t="shared" si="7"/>
        <x:v>수요일</x:v>
      </x:c>
      <x:c r="AX5" s="40" t="str">
        <x:f t="shared" si="7"/>
        <x:v>목요일</x:v>
      </x:c>
      <x:c r="AY5" s="41" t="str">
        <x:f t="shared" si="7"/>
        <x:v>금요일</x:v>
      </x:c>
      <x:c r="AZ5" s="75" t="str">
        <x:f t="shared" si="7"/>
        <x:v>월요일</x:v>
      </x:c>
      <x:c r="BA5" s="40" t="str">
        <x:f t="shared" si="7"/>
        <x:v>화요일</x:v>
      </x:c>
      <x:c r="BB5" s="40" t="str">
        <x:f t="shared" si="7"/>
        <x:v>수요일</x:v>
      </x:c>
      <x:c r="BC5" s="40" t="str">
        <x:f t="shared" si="7"/>
        <x:v>목요일</x:v>
      </x:c>
      <x:c r="BD5" s="72" t="str">
        <x:f t="shared" si="7"/>
        <x:v>금요일</x:v>
      </x:c>
      <x:c r="BE5" s="69" t="str">
        <x:f t="shared" si="7"/>
        <x:v>월요일</x:v>
      </x:c>
      <x:c r="BF5" s="40" t="str">
        <x:f t="shared" si="7"/>
        <x:v>화요일</x:v>
      </x:c>
      <x:c r="BG5" s="40" t="str">
        <x:f t="shared" si="7"/>
        <x:v>수요일</x:v>
      </x:c>
      <x:c r="BH5" s="40" t="str">
        <x:f t="shared" si="7"/>
        <x:v>목요일</x:v>
      </x:c>
      <x:c r="BI5" s="41" t="str">
        <x:f t="shared" si="7"/>
        <x:v>금요일</x:v>
      </x:c>
      <x:c r="BJ5" s="75" t="str">
        <x:f t="shared" si="7"/>
        <x:v>월요일</x:v>
      </x:c>
      <x:c r="BK5" s="40" t="str">
        <x:f t="shared" si="7"/>
        <x:v>화요일</x:v>
      </x:c>
      <x:c r="BL5" s="40" t="str">
        <x:f t="shared" si="7"/>
        <x:v>수요일</x:v>
      </x:c>
      <x:c r="BM5" s="40" t="str">
        <x:f t="shared" si="7"/>
        <x:v>목요일</x:v>
      </x:c>
      <x:c r="BN5" s="72" t="str">
        <x:f t="shared" si="7"/>
        <x:v>금요일</x:v>
      </x:c>
      <x:c r="BO5" s="69" t="str">
        <x:f t="shared" si="7"/>
        <x:v>월요일</x:v>
      </x:c>
      <x:c r="BP5" s="40" t="str">
        <x:f t="shared" si="7"/>
        <x:v>화요일</x:v>
      </x:c>
      <x:c r="BQ5" s="40" t="str">
        <x:f t="shared" si="7"/>
        <x:v>수요일</x:v>
      </x:c>
      <x:c r="BR5" s="40" t="str">
        <x:f t="shared" si="7"/>
        <x:v>목요일</x:v>
      </x:c>
      <x:c r="BS5" s="41" t="str">
        <x:f t="shared" si="7"/>
        <x:v>금요일</x:v>
      </x:c>
      <x:c r="BT5" s="69" t="str">
        <x:f t="shared" si="7"/>
        <x:v>월요일</x:v>
      </x:c>
      <x:c r="BU5" s="40" t="str">
        <x:f t="shared" si="7"/>
        <x:v>화요일</x:v>
      </x:c>
      <x:c r="BV5" s="40" t="str">
        <x:f t="shared" si="7"/>
        <x:v>수요일</x:v>
      </x:c>
      <x:c r="BW5" s="40" t="str">
        <x:f t="shared" si="7"/>
        <x:v>목요일</x:v>
      </x:c>
      <x:c r="BX5" s="41" t="str">
        <x:f t="shared" si="7"/>
        <x:v>금요일</x:v>
      </x:c>
      <x:c r="BY5" s="75" t="str">
        <x:f t="shared" si="7"/>
        <x:v>월요일</x:v>
      </x:c>
      <x:c r="BZ5" s="40" t="str">
        <x:f t="shared" si="7"/>
        <x:v>화요일</x:v>
      </x:c>
      <x:c r="CA5" s="40" t="str">
        <x:f t="shared" si="7"/>
        <x:v>수요일</x:v>
      </x:c>
      <x:c r="CB5" s="40" t="str">
        <x:f t="shared" ref="CB5:DG5" si="8">TEXT(CB6,"aaaa")</x:f>
        <x:v>목요일</x:v>
      </x:c>
      <x:c r="CC5" s="72" t="str">
        <x:f t="shared" si="8"/>
        <x:v>금요일</x:v>
      </x:c>
      <x:c r="CD5" s="69" t="str">
        <x:f t="shared" si="8"/>
        <x:v>월요일</x:v>
      </x:c>
      <x:c r="CE5" s="40" t="str">
        <x:f t="shared" si="8"/>
        <x:v>화요일</x:v>
      </x:c>
      <x:c r="CF5" s="40" t="str">
        <x:f t="shared" si="8"/>
        <x:v>수요일</x:v>
      </x:c>
      <x:c r="CG5" s="40" t="str">
        <x:f t="shared" si="8"/>
        <x:v>목요일</x:v>
      </x:c>
      <x:c r="CH5" s="41" t="str">
        <x:f t="shared" si="8"/>
        <x:v>금요일</x:v>
      </x:c>
      <x:c r="CI5" s="75" t="str">
        <x:f t="shared" si="8"/>
        <x:v>월요일</x:v>
      </x:c>
      <x:c r="CJ5" s="40" t="str">
        <x:f t="shared" si="8"/>
        <x:v>화요일</x:v>
      </x:c>
      <x:c r="CK5" s="40" t="str">
        <x:f t="shared" si="8"/>
        <x:v>수요일</x:v>
      </x:c>
      <x:c r="CL5" s="40" t="str">
        <x:f t="shared" si="8"/>
        <x:v>목요일</x:v>
      </x:c>
      <x:c r="CM5" s="72" t="str">
        <x:f t="shared" si="8"/>
        <x:v>금요일</x:v>
      </x:c>
      <x:c r="CN5" s="69" t="str">
        <x:f t="shared" si="8"/>
        <x:v>월요일</x:v>
      </x:c>
      <x:c r="CO5" s="40" t="str">
        <x:f t="shared" si="8"/>
        <x:v>화요일</x:v>
      </x:c>
      <x:c r="CP5" s="40" t="str">
        <x:f t="shared" si="8"/>
        <x:v>수요일</x:v>
      </x:c>
      <x:c r="CQ5" s="40" t="str">
        <x:f t="shared" si="8"/>
        <x:v>목요일</x:v>
      </x:c>
      <x:c r="CR5" s="41" t="str">
        <x:f t="shared" si="8"/>
        <x:v>금요일</x:v>
      </x:c>
      <x:c r="CS5" s="75" t="str">
        <x:f t="shared" si="8"/>
        <x:v>월요일</x:v>
      </x:c>
      <x:c r="CT5" s="40" t="str">
        <x:f t="shared" si="8"/>
        <x:v>화요일</x:v>
      </x:c>
      <x:c r="CU5" s="40" t="str">
        <x:f t="shared" si="8"/>
        <x:v>수요일</x:v>
      </x:c>
      <x:c r="CV5" s="40" t="str">
        <x:f t="shared" si="8"/>
        <x:v>목요일</x:v>
      </x:c>
      <x:c r="CW5" s="72" t="str">
        <x:f t="shared" si="8"/>
        <x:v>금요일</x:v>
      </x:c>
      <x:c r="CX5" s="69" t="str">
        <x:f t="shared" si="8"/>
        <x:v>월요일</x:v>
      </x:c>
      <x:c r="CY5" s="40" t="str">
        <x:f t="shared" si="8"/>
        <x:v>화요일</x:v>
      </x:c>
      <x:c r="CZ5" s="40" t="str">
        <x:f t="shared" si="8"/>
        <x:v>수요일</x:v>
      </x:c>
      <x:c r="DA5" s="40" t="str">
        <x:f t="shared" si="8"/>
        <x:v>목요일</x:v>
      </x:c>
      <x:c r="DB5" s="41" t="str">
        <x:f t="shared" si="8"/>
        <x:v>금요일</x:v>
      </x:c>
      <x:c r="DC5" s="75" t="str">
        <x:f t="shared" si="8"/>
        <x:v>월요일</x:v>
      </x:c>
      <x:c r="DD5" s="40" t="str">
        <x:f t="shared" si="8"/>
        <x:v>화요일</x:v>
      </x:c>
      <x:c r="DE5" s="40" t="str">
        <x:f t="shared" si="8"/>
        <x:v>수요일</x:v>
      </x:c>
      <x:c r="DF5" s="40" t="str">
        <x:f t="shared" si="8"/>
        <x:v>목요일</x:v>
      </x:c>
      <x:c r="DG5" s="72" t="str">
        <x:f t="shared" si="8"/>
        <x:v>금요일</x:v>
      </x:c>
      <x:c r="DH5" s="69" t="str">
        <x:f t="shared" ref="DH5:EM5" si="9">TEXT(DH6,"aaaa")</x:f>
        <x:v>월요일</x:v>
      </x:c>
      <x:c r="DI5" s="40" t="str">
        <x:f t="shared" si="9"/>
        <x:v>화요일</x:v>
      </x:c>
      <x:c r="DJ5" s="40" t="str">
        <x:f t="shared" si="9"/>
        <x:v>수요일</x:v>
      </x:c>
      <x:c r="DK5" s="40" t="str">
        <x:f t="shared" si="9"/>
        <x:v>목요일</x:v>
      </x:c>
      <x:c r="DL5" s="41" t="str">
        <x:f t="shared" si="9"/>
        <x:v>금요일</x:v>
      </x:c>
      <x:c r="DM5" s="75" t="str">
        <x:f t="shared" si="9"/>
        <x:v>월요일</x:v>
      </x:c>
      <x:c r="DN5" s="40" t="str">
        <x:f t="shared" si="9"/>
        <x:v>화요일</x:v>
      </x:c>
      <x:c r="DO5" s="40" t="str">
        <x:f t="shared" si="9"/>
        <x:v>수요일</x:v>
      </x:c>
      <x:c r="DP5" s="40" t="str">
        <x:f t="shared" si="9"/>
        <x:v>목요일</x:v>
      </x:c>
      <x:c r="DQ5" s="72" t="str">
        <x:f t="shared" si="9"/>
        <x:v>금요일</x:v>
      </x:c>
      <x:c r="DR5" s="69" t="str">
        <x:f t="shared" si="9"/>
        <x:v>월요일</x:v>
      </x:c>
      <x:c r="DS5" s="40" t="str">
        <x:f t="shared" si="9"/>
        <x:v>화요일</x:v>
      </x:c>
      <x:c r="DT5" s="40" t="str">
        <x:f t="shared" si="9"/>
        <x:v>수요일</x:v>
      </x:c>
      <x:c r="DU5" s="40" t="str">
        <x:f t="shared" si="9"/>
        <x:v>목요일</x:v>
      </x:c>
      <x:c r="DV5" s="41" t="str">
        <x:f t="shared" si="9"/>
        <x:v>금요일</x:v>
      </x:c>
      <x:c r="DW5" s="75" t="str">
        <x:f t="shared" si="9"/>
        <x:v>월요일</x:v>
      </x:c>
      <x:c r="DX5" s="40" t="str">
        <x:f t="shared" si="9"/>
        <x:v>화요일</x:v>
      </x:c>
      <x:c r="DY5" s="40" t="str">
        <x:f t="shared" si="9"/>
        <x:v>수요일</x:v>
      </x:c>
      <x:c r="DZ5" s="40" t="str">
        <x:f t="shared" si="9"/>
        <x:v>목요일</x:v>
      </x:c>
      <x:c r="EA5" s="72" t="str">
        <x:f t="shared" si="9"/>
        <x:v>금요일</x:v>
      </x:c>
      <x:c r="EB5" s="69" t="str">
        <x:f t="shared" si="9"/>
        <x:v>월요일</x:v>
      </x:c>
      <x:c r="EC5" s="40" t="str">
        <x:f t="shared" si="9"/>
        <x:v>화요일</x:v>
      </x:c>
      <x:c r="ED5" s="40" t="str">
        <x:f t="shared" si="9"/>
        <x:v>수요일</x:v>
      </x:c>
      <x:c r="EE5" s="40" t="str">
        <x:f t="shared" si="9"/>
        <x:v>목요일</x:v>
      </x:c>
      <x:c r="EF5" s="41" t="str">
        <x:f t="shared" si="9"/>
        <x:v>금요일</x:v>
      </x:c>
      <x:c r="EG5" s="75" t="str">
        <x:f t="shared" si="9"/>
        <x:v>월요일</x:v>
      </x:c>
      <x:c r="EH5" s="40" t="str">
        <x:f t="shared" si="9"/>
        <x:v>화요일</x:v>
      </x:c>
      <x:c r="EI5" s="40" t="str">
        <x:f t="shared" si="9"/>
        <x:v>수요일</x:v>
      </x:c>
      <x:c r="EJ5" s="40" t="str">
        <x:f t="shared" si="9"/>
        <x:v>목요일</x:v>
      </x:c>
      <x:c r="EK5" s="72" t="str">
        <x:f t="shared" si="9"/>
        <x:v>금요일</x:v>
      </x:c>
      <x:c r="EL5" s="69" t="str">
        <x:f t="shared" si="9"/>
        <x:v>월요일</x:v>
      </x:c>
      <x:c r="EM5" s="40" t="str">
        <x:f t="shared" si="9"/>
        <x:v>화요일</x:v>
      </x:c>
      <x:c r="EN5" s="40" t="str">
        <x:f t="shared" ref="EN5:EP5" si="10">TEXT(EN6,"aaaa")</x:f>
        <x:v>수요일</x:v>
      </x:c>
      <x:c r="EO5" s="40" t="str">
        <x:f t="shared" si="10"/>
        <x:v>목요일</x:v>
      </x:c>
      <x:c r="EP5" s="41" t="str">
        <x:f t="shared" si="10"/>
        <x:v>금요일</x:v>
      </x:c>
    </x:row>
    <x:row r="6" spans="1:146" s="37" customFormat="1" ht="20.10000000000000142109" customHeight="1">
      <x:c r="A6" s="281"/>
      <x:c r="B6" s="80">
        <x:f>시작주월요일</x:f>
        <x:v>45922</x:v>
      </x:c>
      <x:c r="C6" s="42">
        <x:f t="shared" ref="C6:AH6" si="11">WORKDAY(시작주월요일,COLUMN()-2)</x:f>
        <x:v>45923</x:v>
      </x:c>
      <x:c r="D6" s="42">
        <x:f t="shared" si="11"/>
        <x:v>45924</x:v>
      </x:c>
      <x:c r="E6" s="42">
        <x:f t="shared" si="11"/>
        <x:v>45925</x:v>
      </x:c>
      <x:c r="F6" s="43">
        <x:f t="shared" si="11"/>
        <x:v>45926</x:v>
      </x:c>
      <x:c r="G6" s="80">
        <x:f t="shared" si="11"/>
        <x:v>45929</x:v>
      </x:c>
      <x:c r="H6" s="42">
        <x:f t="shared" si="11"/>
        <x:v>45930</x:v>
      </x:c>
      <x:c r="I6" s="42">
        <x:f t="shared" si="11"/>
        <x:v>45931</x:v>
      </x:c>
      <x:c r="J6" s="42">
        <x:f t="shared" si="11"/>
        <x:v>45932</x:v>
      </x:c>
      <x:c r="K6" s="74">
        <x:f t="shared" si="11"/>
        <x:v>45933</x:v>
      </x:c>
      <x:c r="L6" s="79">
        <x:f t="shared" si="11"/>
        <x:v>45936</x:v>
      </x:c>
      <x:c r="M6" s="42">
        <x:f t="shared" si="11"/>
        <x:v>45937</x:v>
      </x:c>
      <x:c r="N6" s="42">
        <x:f t="shared" si="11"/>
        <x:v>45938</x:v>
      </x:c>
      <x:c r="O6" s="42">
        <x:f t="shared" si="11"/>
        <x:v>45939</x:v>
      </x:c>
      <x:c r="P6" s="43">
        <x:f t="shared" si="11"/>
        <x:v>45940</x:v>
      </x:c>
      <x:c r="Q6" s="80">
        <x:f t="shared" si="11"/>
        <x:v>45943</x:v>
      </x:c>
      <x:c r="R6" s="42">
        <x:f t="shared" si="11"/>
        <x:v>45944</x:v>
      </x:c>
      <x:c r="S6" s="42">
        <x:f t="shared" si="11"/>
        <x:v>45945</x:v>
      </x:c>
      <x:c r="T6" s="42">
        <x:f t="shared" si="11"/>
        <x:v>45946</x:v>
      </x:c>
      <x:c r="U6" s="74">
        <x:f t="shared" si="11"/>
        <x:v>45947</x:v>
      </x:c>
      <x:c r="V6" s="79">
        <x:f t="shared" si="11"/>
        <x:v>45950</x:v>
      </x:c>
      <x:c r="W6" s="42">
        <x:f t="shared" si="11"/>
        <x:v>45951</x:v>
      </x:c>
      <x:c r="X6" s="42">
        <x:f t="shared" si="11"/>
        <x:v>45952</x:v>
      </x:c>
      <x:c r="Y6" s="42">
        <x:f t="shared" si="11"/>
        <x:v>45953</x:v>
      </x:c>
      <x:c r="Z6" s="43">
        <x:f t="shared" si="11"/>
        <x:v>45954</x:v>
      </x:c>
      <x:c r="AA6" s="80">
        <x:f t="shared" si="11"/>
        <x:v>45957</x:v>
      </x:c>
      <x:c r="AB6" s="42">
        <x:f t="shared" si="11"/>
        <x:v>45958</x:v>
      </x:c>
      <x:c r="AC6" s="42">
        <x:f t="shared" si="11"/>
        <x:v>45959</x:v>
      </x:c>
      <x:c r="AD6" s="42">
        <x:f t="shared" si="11"/>
        <x:v>45960</x:v>
      </x:c>
      <x:c r="AE6" s="74">
        <x:f t="shared" si="11"/>
        <x:v>45961</x:v>
      </x:c>
      <x:c r="AF6" s="79">
        <x:f t="shared" si="11"/>
        <x:v>45964</x:v>
      </x:c>
      <x:c r="AG6" s="42">
        <x:f t="shared" si="11"/>
        <x:v>45965</x:v>
      </x:c>
      <x:c r="AH6" s="42">
        <x:f t="shared" si="11"/>
        <x:v>45966</x:v>
      </x:c>
      <x:c r="AI6" s="42">
        <x:f t="shared" ref="AI6:BN6" si="12">WORKDAY(시작주월요일,COLUMN()-2)</x:f>
        <x:v>45967</x:v>
      </x:c>
      <x:c r="AJ6" s="43">
        <x:f t="shared" si="12"/>
        <x:v>45968</x:v>
      </x:c>
      <x:c r="AK6" s="80">
        <x:f t="shared" si="12"/>
        <x:v>45971</x:v>
      </x:c>
      <x:c r="AL6" s="42">
        <x:f t="shared" si="12"/>
        <x:v>45972</x:v>
      </x:c>
      <x:c r="AM6" s="42">
        <x:f t="shared" si="12"/>
        <x:v>45973</x:v>
      </x:c>
      <x:c r="AN6" s="42">
        <x:f t="shared" si="12"/>
        <x:v>45974</x:v>
      </x:c>
      <x:c r="AO6" s="74">
        <x:f t="shared" si="12"/>
        <x:v>45975</x:v>
      </x:c>
      <x:c r="AP6" s="79">
        <x:f t="shared" si="12"/>
        <x:v>45978</x:v>
      </x:c>
      <x:c r="AQ6" s="42">
        <x:f t="shared" si="12"/>
        <x:v>45979</x:v>
      </x:c>
      <x:c r="AR6" s="42">
        <x:f t="shared" si="12"/>
        <x:v>45980</x:v>
      </x:c>
      <x:c r="AS6" s="42">
        <x:f t="shared" si="12"/>
        <x:v>45981</x:v>
      </x:c>
      <x:c r="AT6" s="43">
        <x:f t="shared" si="12"/>
        <x:v>45982</x:v>
      </x:c>
      <x:c r="AU6" s="79">
        <x:f t="shared" si="12"/>
        <x:v>45985</x:v>
      </x:c>
      <x:c r="AV6" s="42">
        <x:f t="shared" si="12"/>
        <x:v>45986</x:v>
      </x:c>
      <x:c r="AW6" s="42">
        <x:f t="shared" si="12"/>
        <x:v>45987</x:v>
      </x:c>
      <x:c r="AX6" s="42">
        <x:f t="shared" si="12"/>
        <x:v>45988</x:v>
      </x:c>
      <x:c r="AY6" s="43">
        <x:f t="shared" si="12"/>
        <x:v>45989</x:v>
      </x:c>
      <x:c r="AZ6" s="76">
        <x:f t="shared" si="12"/>
        <x:v>45992</x:v>
      </x:c>
      <x:c r="BA6" s="67">
        <x:f t="shared" si="12"/>
        <x:v>45993</x:v>
      </x:c>
      <x:c r="BB6" s="67">
        <x:f t="shared" si="12"/>
        <x:v>45994</x:v>
      </x:c>
      <x:c r="BC6" s="67">
        <x:f t="shared" si="12"/>
        <x:v>45995</x:v>
      </x:c>
      <x:c r="BD6" s="73">
        <x:f t="shared" si="12"/>
        <x:v>45996</x:v>
      </x:c>
      <x:c r="BE6" s="70">
        <x:f t="shared" si="12"/>
        <x:v>45999</x:v>
      </x:c>
      <x:c r="BF6" s="67">
        <x:f t="shared" si="12"/>
        <x:v>46000</x:v>
      </x:c>
      <x:c r="BG6" s="67">
        <x:f t="shared" si="12"/>
        <x:v>46001</x:v>
      </x:c>
      <x:c r="BH6" s="67">
        <x:f t="shared" si="12"/>
        <x:v>46002</x:v>
      </x:c>
      <x:c r="BI6" s="68">
        <x:f t="shared" si="12"/>
        <x:v>46003</x:v>
      </x:c>
      <x:c r="BJ6" s="76">
        <x:f t="shared" si="12"/>
        <x:v>46006</x:v>
      </x:c>
      <x:c r="BK6" s="67">
        <x:f t="shared" si="12"/>
        <x:v>46007</x:v>
      </x:c>
      <x:c r="BL6" s="67">
        <x:f t="shared" si="12"/>
        <x:v>46008</x:v>
      </x:c>
      <x:c r="BM6" s="67">
        <x:f t="shared" si="12"/>
        <x:v>46009</x:v>
      </x:c>
      <x:c r="BN6" s="73">
        <x:f t="shared" si="12"/>
        <x:v>46010</x:v>
      </x:c>
      <x:c r="BO6" s="70">
        <x:f t="shared" ref="BO6:CT6" si="13">WORKDAY(시작주월요일,COLUMN()-2)</x:f>
        <x:v>46013</x:v>
      </x:c>
      <x:c r="BP6" s="67">
        <x:f t="shared" si="13"/>
        <x:v>46014</x:v>
      </x:c>
      <x:c r="BQ6" s="67">
        <x:f t="shared" si="13"/>
        <x:v>46015</x:v>
      </x:c>
      <x:c r="BR6" s="67">
        <x:f t="shared" si="13"/>
        <x:v>46016</x:v>
      </x:c>
      <x:c r="BS6" s="68">
        <x:f t="shared" si="13"/>
        <x:v>46017</x:v>
      </x:c>
      <x:c r="BT6" s="70">
        <x:f t="shared" si="13"/>
        <x:v>46020</x:v>
      </x:c>
      <x:c r="BU6" s="67">
        <x:f t="shared" si="13"/>
        <x:v>46021</x:v>
      </x:c>
      <x:c r="BV6" s="67">
        <x:f t="shared" si="13"/>
        <x:v>46022</x:v>
      </x:c>
      <x:c r="BW6" s="67">
        <x:f t="shared" si="13"/>
        <x:v>46023</x:v>
      </x:c>
      <x:c r="BX6" s="68">
        <x:f t="shared" si="13"/>
        <x:v>46024</x:v>
      </x:c>
      <x:c r="BY6" s="76">
        <x:f t="shared" si="13"/>
        <x:v>46027</x:v>
      </x:c>
      <x:c r="BZ6" s="67">
        <x:f t="shared" si="13"/>
        <x:v>46028</x:v>
      </x:c>
      <x:c r="CA6" s="67">
        <x:f t="shared" si="13"/>
        <x:v>46029</x:v>
      </x:c>
      <x:c r="CB6" s="67">
        <x:f t="shared" si="13"/>
        <x:v>46030</x:v>
      </x:c>
      <x:c r="CC6" s="73">
        <x:f t="shared" si="13"/>
        <x:v>46031</x:v>
      </x:c>
      <x:c r="CD6" s="70">
        <x:f t="shared" si="13"/>
        <x:v>46034</x:v>
      </x:c>
      <x:c r="CE6" s="67">
        <x:f t="shared" si="13"/>
        <x:v>46035</x:v>
      </x:c>
      <x:c r="CF6" s="67">
        <x:f t="shared" si="13"/>
        <x:v>46036</x:v>
      </x:c>
      <x:c r="CG6" s="67">
        <x:f t="shared" si="13"/>
        <x:v>46037</x:v>
      </x:c>
      <x:c r="CH6" s="68">
        <x:f t="shared" si="13"/>
        <x:v>46038</x:v>
      </x:c>
      <x:c r="CI6" s="76">
        <x:f t="shared" si="13"/>
        <x:v>46041</x:v>
      </x:c>
      <x:c r="CJ6" s="67">
        <x:f t="shared" si="13"/>
        <x:v>46042</x:v>
      </x:c>
      <x:c r="CK6" s="67">
        <x:f t="shared" si="13"/>
        <x:v>46043</x:v>
      </x:c>
      <x:c r="CL6" s="67">
        <x:f t="shared" si="13"/>
        <x:v>46044</x:v>
      </x:c>
      <x:c r="CM6" s="73">
        <x:f t="shared" si="13"/>
        <x:v>46045</x:v>
      </x:c>
      <x:c r="CN6" s="70">
        <x:f t="shared" si="13"/>
        <x:v>46048</x:v>
      </x:c>
      <x:c r="CO6" s="67">
        <x:f t="shared" si="13"/>
        <x:v>46049</x:v>
      </x:c>
      <x:c r="CP6" s="67">
        <x:f t="shared" si="13"/>
        <x:v>46050</x:v>
      </x:c>
      <x:c r="CQ6" s="67">
        <x:f t="shared" si="13"/>
        <x:v>46051</x:v>
      </x:c>
      <x:c r="CR6" s="68">
        <x:f t="shared" si="13"/>
        <x:v>46052</x:v>
      </x:c>
      <x:c r="CS6" s="76">
        <x:f t="shared" si="13"/>
        <x:v>46055</x:v>
      </x:c>
      <x:c r="CT6" s="67">
        <x:f t="shared" si="13"/>
        <x:v>46056</x:v>
      </x:c>
      <x:c r="CU6" s="67">
        <x:f t="shared" ref="CU6:DZ6" si="14">WORKDAY(시작주월요일,COLUMN()-2)</x:f>
        <x:v>46057</x:v>
      </x:c>
      <x:c r="CV6" s="67">
        <x:f t="shared" si="14"/>
        <x:v>46058</x:v>
      </x:c>
      <x:c r="CW6" s="73">
        <x:f t="shared" si="14"/>
        <x:v>46059</x:v>
      </x:c>
      <x:c r="CX6" s="70">
        <x:f t="shared" si="14"/>
        <x:v>46062</x:v>
      </x:c>
      <x:c r="CY6" s="67">
        <x:f t="shared" si="14"/>
        <x:v>46063</x:v>
      </x:c>
      <x:c r="CZ6" s="67">
        <x:f t="shared" si="14"/>
        <x:v>46064</x:v>
      </x:c>
      <x:c r="DA6" s="67">
        <x:f t="shared" si="14"/>
        <x:v>46065</x:v>
      </x:c>
      <x:c r="DB6" s="68">
        <x:f t="shared" si="14"/>
        <x:v>46066</x:v>
      </x:c>
      <x:c r="DC6" s="76">
        <x:f t="shared" si="14"/>
        <x:v>46069</x:v>
      </x:c>
      <x:c r="DD6" s="67">
        <x:f t="shared" si="14"/>
        <x:v>46070</x:v>
      </x:c>
      <x:c r="DE6" s="67">
        <x:f t="shared" si="14"/>
        <x:v>46071</x:v>
      </x:c>
      <x:c r="DF6" s="67">
        <x:f t="shared" si="14"/>
        <x:v>46072</x:v>
      </x:c>
      <x:c r="DG6" s="73">
        <x:f t="shared" si="14"/>
        <x:v>46073</x:v>
      </x:c>
      <x:c r="DH6" s="70">
        <x:f t="shared" si="14"/>
        <x:v>46076</x:v>
      </x:c>
      <x:c r="DI6" s="67">
        <x:f t="shared" si="14"/>
        <x:v>46077</x:v>
      </x:c>
      <x:c r="DJ6" s="67">
        <x:f t="shared" si="14"/>
        <x:v>46078</x:v>
      </x:c>
      <x:c r="DK6" s="67">
        <x:f t="shared" si="14"/>
        <x:v>46079</x:v>
      </x:c>
      <x:c r="DL6" s="68">
        <x:f t="shared" si="14"/>
        <x:v>46080</x:v>
      </x:c>
      <x:c r="DM6" s="76">
        <x:f t="shared" si="14"/>
        <x:v>46083</x:v>
      </x:c>
      <x:c r="DN6" s="67">
        <x:f t="shared" si="14"/>
        <x:v>46084</x:v>
      </x:c>
      <x:c r="DO6" s="67">
        <x:f t="shared" si="14"/>
        <x:v>46085</x:v>
      </x:c>
      <x:c r="DP6" s="67">
        <x:f t="shared" si="14"/>
        <x:v>46086</x:v>
      </x:c>
      <x:c r="DQ6" s="73">
        <x:f t="shared" si="14"/>
        <x:v>46087</x:v>
      </x:c>
      <x:c r="DR6" s="70">
        <x:f t="shared" si="14"/>
        <x:v>46090</x:v>
      </x:c>
      <x:c r="DS6" s="67">
        <x:f t="shared" si="14"/>
        <x:v>46091</x:v>
      </x:c>
      <x:c r="DT6" s="67">
        <x:f t="shared" si="14"/>
        <x:v>46092</x:v>
      </x:c>
      <x:c r="DU6" s="67">
        <x:f t="shared" si="14"/>
        <x:v>46093</x:v>
      </x:c>
      <x:c r="DV6" s="68">
        <x:f t="shared" si="14"/>
        <x:v>46094</x:v>
      </x:c>
      <x:c r="DW6" s="76">
        <x:f t="shared" si="14"/>
        <x:v>46097</x:v>
      </x:c>
      <x:c r="DX6" s="67">
        <x:f t="shared" si="14"/>
        <x:v>46098</x:v>
      </x:c>
      <x:c r="DY6" s="67">
        <x:f t="shared" si="14"/>
        <x:v>46099</x:v>
      </x:c>
      <x:c r="DZ6" s="67">
        <x:f t="shared" si="14"/>
        <x:v>46100</x:v>
      </x:c>
      <x:c r="EA6" s="73">
        <x:f t="shared" ref="EA6:EP6" si="15">WORKDAY(시작주월요일,COLUMN()-2)</x:f>
        <x:v>46101</x:v>
      </x:c>
      <x:c r="EB6" s="70">
        <x:f t="shared" si="15"/>
        <x:v>46104</x:v>
      </x:c>
      <x:c r="EC6" s="67">
        <x:f t="shared" si="15"/>
        <x:v>46105</x:v>
      </x:c>
      <x:c r="ED6" s="67">
        <x:f t="shared" si="15"/>
        <x:v>46106</x:v>
      </x:c>
      <x:c r="EE6" s="67">
        <x:f t="shared" si="15"/>
        <x:v>46107</x:v>
      </x:c>
      <x:c r="EF6" s="68">
        <x:f t="shared" si="15"/>
        <x:v>46108</x:v>
      </x:c>
      <x:c r="EG6" s="76">
        <x:f t="shared" si="15"/>
        <x:v>46111</x:v>
      </x:c>
      <x:c r="EH6" s="67">
        <x:f t="shared" si="15"/>
        <x:v>46112</x:v>
      </x:c>
      <x:c r="EI6" s="67">
        <x:f t="shared" si="15"/>
        <x:v>46113</x:v>
      </x:c>
      <x:c r="EJ6" s="67">
        <x:f t="shared" si="15"/>
        <x:v>46114</x:v>
      </x:c>
      <x:c r="EK6" s="73">
        <x:f t="shared" si="15"/>
        <x:v>46115</x:v>
      </x:c>
      <x:c r="EL6" s="70">
        <x:f t="shared" si="15"/>
        <x:v>46118</x:v>
      </x:c>
      <x:c r="EM6" s="67">
        <x:f t="shared" si="15"/>
        <x:v>46119</x:v>
      </x:c>
      <x:c r="EN6" s="67">
        <x:f t="shared" si="15"/>
        <x:v>46120</x:v>
      </x:c>
      <x:c r="EO6" s="67">
        <x:f t="shared" si="15"/>
        <x:v>46121</x:v>
      </x:c>
      <x:c r="EP6" s="68">
        <x:f t="shared" si="15"/>
        <x:v>46122</x:v>
      </x:c>
    </x:row>
    <x:row r="7" spans="1:146" s="86" customFormat="1" ht="15" customHeight="1">
      <x:c r="A7" s="277" t="s">
        <x:v>55</x:v>
      </x:c>
      <x:c r="B7" s="82" t="str">
        <x:f>IF(OR(B4&lt;0,B4=A4,ISERROR(INDEX(세부시간표!$A$3:$L$1183,9*B4-8,10))),"",INDEX(세부시간표!$A$3:$L$1183,9*B4-8,10))</x:f>
        <x:v>웹 애플리케이션 개발</x:v>
      </x:c>
      <x:c r="C7" s="82" t="str">
        <x:f>IF(OR(C4&lt;0,C4=B4,ISERROR(INDEX(세부시간표!$A$3:$L$1183,9*C4-8,10))),"",INDEX(세부시간표!$A$3:$L$1183,9*C4-8,10))</x:f>
        <x:v>웹 애플리케이션 개발</x:v>
      </x:c>
      <x:c r="D7" s="82" t="str">
        <x:f>IF(OR(D4&lt;0,D4=C4,ISERROR(INDEX(세부시간표!$A$3:$L$1183,9*D4-8,10))),"",INDEX(세부시간표!$A$3:$L$1183,9*D4-8,10))</x:f>
        <x:v>웹 애플리케이션 개발</x:v>
      </x:c>
      <x:c r="E7" s="82" t="str">
        <x:f>IF(OR(E4&lt;0,E4=D4,ISERROR(INDEX(세부시간표!$A$3:$L$1183,9*E4-8,10))),"",INDEX(세부시간표!$A$3:$L$1183,9*E4-8,10))</x:f>
        <x:v>웹 애플리케이션 개발</x:v>
      </x:c>
      <x:c r="F7" s="82" t="str">
        <x:f>IF(OR(F4&lt;0,F4=E4,ISERROR(INDEX(세부시간표!$A$3:$L$1183,9*F4-8,10))),"",INDEX(세부시간표!$A$3:$L$1183,9*F4-8,10))</x:f>
        <x:v>웹 애플리케이션 개발</x:v>
      </x:c>
      <x:c r="G7" s="82" t="str">
        <x:f>IF(OR(G4&lt;0,G4=F4,ISERROR(INDEX(세부시간표!$A$3:$L$1183,9*G4-8,10))),"",INDEX(세부시간표!$A$3:$L$1183,9*G4-8,10))</x:f>
        <x:v>웹 애플리케이션 개발</x:v>
      </x:c>
      <x:c r="H7" s="82" t="str">
        <x:f>IF(OR(H4&lt;0,H4=G4,ISERROR(INDEX(세부시간표!$A$3:$L$1183,9*H4-8,10))),"",INDEX(세부시간표!$A$3:$L$1183,9*H4-8,10))</x:f>
        <x:v>웹 애플리케이션 개발</x:v>
      </x:c>
      <x:c r="I7" s="82" t="str">
        <x:f>IF(OR(I4&lt;0,I4=H4,ISERROR(INDEX(세부시간표!$A$3:$L$1183,9*I4-8,10))),"",INDEX(세부시간표!$A$3:$L$1183,9*I4-8,10))</x:f>
        <x:v>웹 애플리케이션 개발</x:v>
      </x:c>
      <x:c r="J7" s="82" t="str">
        <x:f>IF(OR(J4&lt;0,J4=I4,ISERROR(INDEX(세부시간표!$A$3:$L$1183,9*J4-8,10))),"",INDEX(세부시간표!$A$3:$L$1183,9*J4-8,10))</x:f>
        <x:v>웹 애플리케이션 개발</x:v>
      </x:c>
      <x:c r="K7" s="82" t="str">
        <x:f>IF(OR(K4&lt;0,K4=J4,ISERROR(INDEX(세부시간표!$A$3:$L$1183,9*K4-8,10))),"",INDEX(세부시간표!$A$3:$L$1183,9*K4-8,10))</x:f>
        <x:v/>
      </x:c>
      <x:c r="L7" s="82" t="str">
        <x:f>IF(OR(L4&lt;0,L4=K4,ISERROR(INDEX(세부시간표!$A$3:$L$1183,9*L4-8,10))),"",INDEX(세부시간표!$A$3:$L$1183,9*L4-8,10))</x:f>
        <x:v/>
      </x:c>
      <x:c r="M7" s="82" t="str">
        <x:f>IF(OR(M4&lt;0,M4=L4,ISERROR(INDEX(세부시간표!$A$3:$L$1183,9*M4-8,10))),"",INDEX(세부시간표!$A$3:$L$1183,9*M4-8,10))</x:f>
        <x:v/>
      </x:c>
      <x:c r="N7" s="82" t="str">
        <x:f>IF(OR(N4&lt;0,N4=M4,ISERROR(INDEX(세부시간표!$A$3:$L$1183,9*N4-8,10))),"",INDEX(세부시간표!$A$3:$L$1183,9*N4-8,10))</x:f>
        <x:v/>
      </x:c>
      <x:c r="O7" s="82" t="str">
        <x:f>IF(OR(O4&lt;0,O4=N4,ISERROR(INDEX(세부시간표!$A$3:$L$1183,9*O4-8,10))),"",INDEX(세부시간표!$A$3:$L$1183,9*O4-8,10))</x:f>
        <x:v/>
      </x:c>
      <x:c r="P7" s="82" t="str">
        <x:f>IF(OR(P4&lt;0,P4=O4,ISERROR(INDEX(세부시간표!$A$3:$L$1183,9*P4-8,10))),"",INDEX(세부시간표!$A$3:$L$1183,9*P4-8,10))</x:f>
        <x:v>웹 애플리케이션 개발</x:v>
      </x:c>
      <x:c r="Q7" s="82" t="str">
        <x:f>IF(OR(Q4&lt;0,Q4=P4,ISERROR(INDEX(세부시간표!$A$3:$L$1183,9*Q4-8,10))),"",INDEX(세부시간표!$A$3:$L$1183,9*Q4-8,10))</x:f>
        <x:v>웹&amp;콘텐츠 서비스 개발</x:v>
      </x:c>
      <x:c r="R7" s="82" t="str">
        <x:f>IF(OR(R4&lt;0,R4=Q4,ISERROR(INDEX(세부시간표!$A$3:$L$1183,9*R4-8,10))),"",INDEX(세부시간표!$A$3:$L$1183,9*R4-8,10))</x:f>
        <x:v>웹&amp;콘텐츠 서비스 개발</x:v>
      </x:c>
      <x:c r="S7" s="82" t="str">
        <x:f>IF(OR(S4&lt;0,S4=R4,ISERROR(INDEX(세부시간표!$A$3:$L$1183,9*S4-8,10))),"",INDEX(세부시간표!$A$3:$L$1183,9*S4-8,10))</x:f>
        <x:v>웹&amp;콘텐츠 서비스 개발</x:v>
      </x:c>
      <x:c r="T7" s="82" t="str">
        <x:f>IF(OR(T4&lt;0,T4=S4,ISERROR(INDEX(세부시간표!$A$3:$L$1183,9*T4-8,10))),"",INDEX(세부시간표!$A$3:$L$1183,9*T4-8,10))</x:f>
        <x:v>웹&amp;콘텐츠 서비스 개발</x:v>
      </x:c>
      <x:c r="U7" s="82" t="str">
        <x:f>IF(OR(U4&lt;0,U4=T4,ISERROR(INDEX(세부시간표!$A$3:$L$1183,9*U4-8,10))),"",INDEX(세부시간표!$A$3:$L$1183,9*U4-8,10))</x:f>
        <x:v>웹&amp;콘텐츠 서비스 개발</x:v>
      </x:c>
      <x:c r="V7" s="82" t="str">
        <x:f>IF(OR(V4&lt;0,V4=U4,ISERROR(INDEX(세부시간표!$A$3:$L$1183,9*V4-8,10))),"",INDEX(세부시간표!$A$3:$L$1183,9*V4-8,10))</x:f>
        <x:v>SQL 및 데이터 모델링</x:v>
      </x:c>
      <x:c r="W7" s="82" t="str">
        <x:f>IF(OR(W4&lt;0,W4=V4,ISERROR(INDEX(세부시간표!$A$3:$L$1183,9*W4-8,10))),"",INDEX(세부시간표!$A$3:$L$1183,9*W4-8,10))</x:f>
        <x:v>SQL 및 데이터 모델링</x:v>
      </x:c>
      <x:c r="X7" s="82" t="str">
        <x:f>IF(OR(X4&lt;0,X4=W4,ISERROR(INDEX(세부시간표!$A$3:$L$1183,9*X4-8,10))),"",INDEX(세부시간표!$A$3:$L$1183,9*X4-8,10))</x:f>
        <x:v>SQL 및 데이터 모델링</x:v>
      </x:c>
      <x:c r="Y7" s="82" t="str">
        <x:f>IF(OR(Y4&lt;0,Y4=X4,ISERROR(INDEX(세부시간표!$A$3:$L$1183,9*Y4-8,10))),"",INDEX(세부시간표!$A$3:$L$1183,9*Y4-8,10))</x:f>
        <x:v>SQL 및 데이터 모델링</x:v>
      </x:c>
      <x:c r="Z7" s="82" t="str">
        <x:f>IF(OR(Z4&lt;0,Z4=Y4,ISERROR(INDEX(세부시간표!$A$3:$L$1183,9*Z4-8,10))),"",INDEX(세부시간표!$A$3:$L$1183,9*Z4-8,10))</x:f>
        <x:v>SQL 및 데이터 모델링</x:v>
      </x:c>
      <x:c r="AA7" s="82" t="str">
        <x:f>IF(OR(AA4&lt;0,AA4=Z4,ISERROR(INDEX(세부시간표!$A$3:$L$1183,9*AA4-8,10))),"",INDEX(세부시간표!$A$3:$L$1183,9*AA4-8,10))</x:f>
        <x:v>SQL 및 데이터 모델링</x:v>
      </x:c>
      <x:c r="AB7" s="82" t="str">
        <x:f>IF(OR(AB4&lt;0,AB4=AA4,ISERROR(INDEX(세부시간표!$A$3:$L$1183,9*AB4-8,10))),"",INDEX(세부시간표!$A$3:$L$1183,9*AB4-8,10))</x:f>
        <x:v>SQL 및 데이터 모델링</x:v>
      </x:c>
      <x:c r="AC7" s="82" t="str">
        <x:f>IF(OR(AC4&lt;0,AC4=AB4,ISERROR(INDEX(세부시간표!$A$3:$L$1183,9*AC4-8,10))),"",INDEX(세부시간표!$A$3:$L$1183,9*AC4-8,10))</x:f>
        <x:v>SQL 및 데이터 모델링</x:v>
      </x:c>
      <x:c r="AD7" s="82" t="str">
        <x:f>IF(OR(AD4&lt;0,AD4=AC4,ISERROR(INDEX(세부시간표!$A$3:$L$1183,9*AD4-8,10))),"",INDEX(세부시간표!$A$3:$L$1183,9*AD4-8,10))</x:f>
        <x:v>SQL 및 데이터 모델링</x:v>
      </x:c>
      <x:c r="AE7" s="82" t="str">
        <x:f>IF(OR(AE4&lt;0,AE4=AD4,ISERROR(INDEX(세부시간표!$A$3:$L$1183,9*AE4-8,10))),"",INDEX(세부시간표!$A$3:$L$1183,9*AE4-8,10))</x:f>
        <x:v>AI개발 기초</x:v>
      </x:c>
      <x:c r="AF7" s="82" t="str">
        <x:f>IF(OR(AF4&lt;0,AF4=AE4,ISERROR(INDEX(세부시간표!$A$3:$L$1183,9*AF4-8,10))),"",INDEX(세부시간표!$A$3:$L$1183,9*AF4-8,10))</x:f>
        <x:v>AI개발 기초</x:v>
      </x:c>
      <x:c r="AG7" s="82" t="str">
        <x:f>IF(OR(AG4&lt;0,AG4=AF4,ISERROR(INDEX(세부시간표!$A$3:$L$1183,9*AG4-8,10))),"",INDEX(세부시간표!$A$3:$L$1183,9*AG4-8,10))</x:f>
        <x:v>AI개발 기초</x:v>
      </x:c>
      <x:c r="AH7" s="82" t="str">
        <x:f>IF(OR(AH4&lt;0,AH4=AG4,ISERROR(INDEX(세부시간표!$A$3:$L$1183,9*AH4-8,10))),"",INDEX(세부시간표!$A$3:$L$1183,9*AH4-8,10))</x:f>
        <x:v>AI개발 기초</x:v>
      </x:c>
      <x:c r="AI7" s="82" t="str">
        <x:f>IF(OR(AI4&lt;0,AI4=AH4,ISERROR(INDEX(세부시간표!$A$3:$L$1183,9*AI4-8,10))),"",INDEX(세부시간표!$A$3:$L$1183,9*AI4-8,10))</x:f>
        <x:v>AI개발 기초</x:v>
      </x:c>
      <x:c r="AJ7" s="82" t="str">
        <x:f>IF(OR(AJ4&lt;0,AJ4=AI4,ISERROR(INDEX(세부시간표!$A$3:$L$1183,9*AJ4-8,10))),"",INDEX(세부시간표!$A$3:$L$1183,9*AJ4-8,10))</x:f>
        <x:v>AI개발 기초</x:v>
      </x:c>
      <x:c r="AK7" s="82" t="str">
        <x:f>IF(OR(AK4&lt;0,AK4=AJ4,ISERROR(INDEX(세부시간표!$A$3:$L$1183,9*AK4-8,10))),"",INDEX(세부시간표!$A$3:$L$1183,9*AK4-8,10))</x:f>
        <x:v>AI개발 기초</x:v>
      </x:c>
      <x:c r="AL7" s="82" t="str">
        <x:f>IF(OR(AL4&lt;0,AL4=AK4,ISERROR(INDEX(세부시간표!$A$3:$L$1183,9*AL4-8,10))),"",INDEX(세부시간표!$A$3:$L$1183,9*AL4-8,10))</x:f>
        <x:v>AI개발 기초</x:v>
      </x:c>
      <x:c r="AM7" s="82" t="str">
        <x:f>IF(OR(AM4&lt;0,AM4=AL4,ISERROR(INDEX(세부시간표!$A$3:$L$1183,9*AM4-8,10))),"",INDEX(세부시간표!$A$3:$L$1183,9*AM4-8,10))</x:f>
        <x:v>AI개발 기초</x:v>
      </x:c>
      <x:c r="AN7" s="82" t="str">
        <x:f>IF(OR(AN4&lt;0,AN4=AM4,ISERROR(INDEX(세부시간표!$A$3:$L$1183,9*AN4-8,10))),"",INDEX(세부시간표!$A$3:$L$1183,9*AN4-8,10))</x:f>
        <x:v>AI개발 기초</x:v>
      </x:c>
      <x:c r="AO7" s="82" t="str">
        <x:f>IF(OR(AO4&lt;0,AO4=AN4,ISERROR(INDEX(세부시간표!$A$3:$L$1183,9*AO4-8,10))),"",INDEX(세부시간표!$A$3:$L$1183,9*AO4-8,10))</x:f>
        <x:v>AI개발 기초</x:v>
      </x:c>
      <x:c r="AP7" s="82" t="str">
        <x:f>IF(OR(AP4&lt;0,AP4=AO4,ISERROR(INDEX(세부시간표!$A$3:$L$1183,9*AP4-8,10))),"",INDEX(세부시간표!$A$3:$L$1183,9*AP4-8,10))</x:f>
        <x:v>AI개발 기초</x:v>
      </x:c>
      <x:c r="AQ7" s="82" t="str">
        <x:f>IF(OR(AQ4&lt;0,AQ4=AP4,ISERROR(INDEX(세부시간표!$A$3:$L$1183,9*AQ4-8,10))),"",INDEX(세부시간표!$A$3:$L$1183,9*AQ4-8,10))</x:f>
        <x:v>AI개발 기초</x:v>
      </x:c>
      <x:c r="AR7" s="82" t="str">
        <x:f>IF(OR(AR4&lt;0,AR4=AQ4,ISERROR(INDEX(세부시간표!$A$3:$L$1183,9*AR4-8,10))),"",INDEX(세부시간표!$A$3:$L$1183,9*AR4-8,10))</x:f>
        <x:v>인공지능 프로그래밍</x:v>
      </x:c>
      <x:c r="AS7" s="82" t="str">
        <x:f>IF(OR(AS4&lt;0,AS4=AR4,ISERROR(INDEX(세부시간표!$A$3:$L$1183,9*AS4-8,10))),"",INDEX(세부시간표!$A$3:$L$1183,9*AS4-8,10))</x:f>
        <x:v>인공지능 프로그래밍</x:v>
      </x:c>
      <x:c r="AT7" s="82" t="str">
        <x:f>IF(OR(AT4&lt;0,AT4=AS4,ISERROR(INDEX(세부시간표!$A$3:$L$1183,9*AT4-8,10))),"",INDEX(세부시간표!$A$3:$L$1183,9*AT4-8,10))</x:f>
        <x:v>인공지능 프로그래밍</x:v>
      </x:c>
      <x:c r="AU7" s="82" t="str">
        <x:f>IF(OR(AU4&lt;0,AU4=AT4,ISERROR(INDEX(세부시간표!$A$3:$L$1183,9*AU4-8,10))),"",INDEX(세부시간표!$A$3:$L$1183,9*AU4-8,10))</x:f>
        <x:v>인공지능 프로그래밍</x:v>
      </x:c>
      <x:c r="AV7" s="82" t="str">
        <x:f>IF(OR(AV4&lt;0,AV4=AU4,ISERROR(INDEX(세부시간표!$A$3:$L$1183,9*AV4-8,10))),"",INDEX(세부시간표!$A$3:$L$1183,9*AV4-8,10))</x:f>
        <x:v>인공지능 프로그래밍</x:v>
      </x:c>
      <x:c r="AW7" s="82" t="str">
        <x:f>IF(OR(AW4&lt;0,AW4=AV4,ISERROR(INDEX(세부시간표!$A$3:$L$1183,9*AW4-8,10))),"",INDEX(세부시간표!$A$3:$L$1183,9*AW4-8,10))</x:f>
        <x:v>인공지능 프로그래밍</x:v>
      </x:c>
      <x:c r="AX7" s="82" t="str">
        <x:f>IF(OR(AX4&lt;0,AX4=AW4,ISERROR(INDEX(세부시간표!$A$3:$L$1183,9*AX4-8,10))),"",INDEX(세부시간표!$A$3:$L$1183,9*AX4-8,10))</x:f>
        <x:v>인공지능 프로그래밍</x:v>
      </x:c>
      <x:c r="AY7" s="82" t="str">
        <x:f>IF(OR(AY4&lt;0,AY4=AX4,ISERROR(INDEX(세부시간표!$A$3:$L$1183,9*AY4-8,10))),"",INDEX(세부시간표!$A$3:$L$1183,9*AY4-8,10))</x:f>
        <x:v>인공지능 프로그래밍</x:v>
      </x:c>
      <x:c r="AZ7" s="82" t="str">
        <x:f>IF(OR(AZ4&lt;0,AZ4=AY4,ISERROR(INDEX(세부시간표!$A$3:$L$1183,9*AZ4-8,10))),"",INDEX(세부시간표!$A$3:$L$1183,9*AZ4-8,10))</x:f>
        <x:v>인공지능 프로그래밍</x:v>
      </x:c>
      <x:c r="BA7" s="82" t="str">
        <x:f>IF(OR(BA4&lt;0,BA4=AZ4,ISERROR(INDEX(세부시간표!$A$3:$L$1183,9*BA4-8,10))),"",INDEX(세부시간표!$A$3:$L$1183,9*BA4-8,10))</x:f>
        <x:v>인공지능 프로그래밍</x:v>
      </x:c>
      <x:c r="BB7" s="82" t="str">
        <x:f>IF(OR(BB4&lt;0,BB4=BA4,ISERROR(INDEX(세부시간표!$A$3:$L$1183,9*BB4-8,10))),"",INDEX(세부시간표!$A$3:$L$1183,9*BB4-8,10))</x:f>
        <x:v>인공지능 프로그래밍</x:v>
      </x:c>
      <x:c r="BC7" s="82" t="str">
        <x:f>IF(OR(BC4&lt;0,BC4=BB4,ISERROR(INDEX(세부시간표!$A$3:$L$1183,9*BC4-8,10))),"",INDEX(세부시간표!$A$3:$L$1183,9*BC4-8,10))</x:f>
        <x:v>인공지능 프로그래밍</x:v>
      </x:c>
      <x:c r="BD7" s="82" t="str">
        <x:f>IF(OR(BD4&lt;0,BD4=BC4,ISERROR(INDEX(세부시간표!$A$3:$L$1183,9*BD4-8,10))),"",INDEX(세부시간표!$A$3:$L$1183,9*BD4-8,10))</x:f>
        <x:v>인공지능 프로그래밍</x:v>
      </x:c>
      <x:c r="BE7" s="82" t="str">
        <x:f>IF(OR(BE4&lt;0,BE4=BD4,ISERROR(INDEX(세부시간표!$A$3:$L$1183,9*BE4-8,10))),"",INDEX(세부시간표!$A$3:$L$1183,9*BE4-8,10))</x:f>
        <x:v>인공지능 프로그래밍</x:v>
      </x:c>
      <x:c r="BF7" s="82" t="str">
        <x:f>IF(OR(BF4&lt;0,BF4=BE4,ISERROR(INDEX(세부시간표!$A$3:$L$1183,9*BF4-8,10))),"",INDEX(세부시간표!$A$3:$L$1183,9*BF4-8,10))</x:f>
        <x:v>인공지능 프로그래밍</x:v>
      </x:c>
      <x:c r="BG7" s="82" t="str">
        <x:f>IF(OR(BG4&lt;0,BG4=BF4,ISERROR(INDEX(세부시간표!$A$3:$L$1183,9*BG4-8,10))),"",INDEX(세부시간표!$A$3:$L$1183,9*BG4-8,10))</x:f>
        <x:v>인공지능 프로그래밍</x:v>
      </x:c>
      <x:c r="BH7" s="82" t="str">
        <x:f>IF(OR(BH4&lt;0,BH4=BG4,ISERROR(INDEX(세부시간표!$A$3:$L$1183,9*BH4-8,10))),"",INDEX(세부시간표!$A$3:$L$1183,9*BH4-8,10))</x:f>
        <x:v>Advanced 프로젝트</x:v>
      </x:c>
      <x:c r="BI7" s="82" t="str">
        <x:f>IF(OR(BI4&lt;0,BI4=BH4,ISERROR(INDEX(세부시간표!$A$3:$L$1183,9*BI4-8,10))),"",INDEX(세부시간표!$A$3:$L$1183,9*BI4-8,10))</x:f>
        <x:v>Advanced 프로젝트</x:v>
      </x:c>
      <x:c r="BJ7" s="82" t="str">
        <x:f>IF(OR(BJ4&lt;0,BJ4=BI4,ISERROR(INDEX(세부시간표!$A$3:$L$1183,9*BJ4-8,10))),"",INDEX(세부시간표!$A$3:$L$1183,9*BJ4-8,10))</x:f>
        <x:v>Advanced 프로젝트</x:v>
      </x:c>
      <x:c r="BK7" s="82" t="str">
        <x:f>IF(OR(BK4&lt;0,BK4=BJ4,ISERROR(INDEX(세부시간표!$A$3:$L$1183,9*BK4-8,10))),"",INDEX(세부시간표!$A$3:$L$1183,9*BK4-8,10))</x:f>
        <x:v>Advanced 프로젝트</x:v>
      </x:c>
      <x:c r="BL7" s="82" t="str">
        <x:f>IF(OR(BL4&lt;0,BL4=BK4,ISERROR(INDEX(세부시간표!$A$3:$L$1183,9*BL4-8,10))),"",INDEX(세부시간표!$A$3:$L$1183,9*BL4-8,10))</x:f>
        <x:v>Advanced 프로젝트</x:v>
      </x:c>
      <x:c r="BM7" s="82" t="str">
        <x:f>IF(OR(BM4&lt;0,BM4=BL4,ISERROR(INDEX(세부시간표!$A$3:$L$1183,9*BM4-8,10))),"",INDEX(세부시간표!$A$3:$L$1183,9*BM4-8,10))</x:f>
        <x:v>Advanced 프로젝트</x:v>
      </x:c>
      <x:c r="BN7" s="82" t="str">
        <x:f>IF(OR(BN4&lt;0,BN4=BM4,ISERROR(INDEX(세부시간표!$A$3:$L$1183,9*BN4-8,10))),"",INDEX(세부시간표!$A$3:$L$1183,9*BN4-8,10))</x:f>
        <x:v>Advanced 프로젝트</x:v>
      </x:c>
      <x:c r="BO7" s="82" t="str">
        <x:f>IF(OR(BO4&lt;0,BO4=BN4,ISERROR(INDEX(세부시간표!$A$3:$L$1183,9*BO4-8,10))),"",INDEX(세부시간표!$A$3:$L$1183,9*BO4-8,10))</x:f>
        <x:v>Advanced 프로젝트</x:v>
      </x:c>
      <x:c r="BP7" s="82" t="str">
        <x:f>IF(OR(BP4&lt;0,BP4=BO4,ISERROR(INDEX(세부시간표!$A$3:$L$1183,9*BP4-8,10))),"",INDEX(세부시간표!$A$3:$L$1183,9*BP4-8,10))</x:f>
        <x:v>Advanced 프로젝트</x:v>
      </x:c>
      <x:c r="BQ7" s="82" t="str">
        <x:f>IF(OR(BQ4&lt;0,BQ4=BP4,ISERROR(INDEX(세부시간표!$A$3:$L$1183,9*BQ4-8,10))),"",INDEX(세부시간표!$A$3:$L$1183,9*BQ4-8,10))</x:f>
        <x:v>Advanced 프로젝트</x:v>
      </x:c>
      <x:c r="BR7" s="82" t="str">
        <x:f>IF(OR(BR4&lt;0,BR4=BQ4,ISERROR(INDEX(세부시간표!$A$3:$L$1183,9*BR4-8,10))),"",INDEX(세부시간표!$A$3:$L$1183,9*BR4-8,10))</x:f>
        <x:v/>
      </x:c>
      <x:c r="BS7" s="82" t="str">
        <x:f>IF(OR(BS4&lt;0,BS4=BR4,ISERROR(INDEX(세부시간표!$A$3:$L$1183,9*BS4-8,10))),"",INDEX(세부시간표!$A$3:$L$1183,9*BS4-8,10))</x:f>
        <x:v>Advanced 프로젝트</x:v>
      </x:c>
      <x:c r="BT7" s="82" t="str">
        <x:f>IF(OR(BT4&lt;0,BT4=BS4,ISERROR(INDEX(세부시간표!$A$3:$L$1183,9*BT4-8,10))),"",INDEX(세부시간표!$A$3:$L$1183,9*BT4-8,10))</x:f>
        <x:v>Advanced 프로젝트</x:v>
      </x:c>
      <x:c r="BU7" s="82" t="str">
        <x:f>IF(OR(BU4&lt;0,BU4=BT4,ISERROR(INDEX(세부시간표!$A$3:$L$1183,9*BU4-8,10))),"",INDEX(세부시간표!$A$3:$L$1183,9*BU4-8,10))</x:f>
        <x:v>Advanced 프로젝트</x:v>
      </x:c>
      <x:c r="BV7" s="82" t="str">
        <x:f>IF(OR(BV4&lt;0,BV4=BU4,ISERROR(INDEX(세부시간표!$A$3:$L$1183,9*BV4-8,10))),"",INDEX(세부시간표!$A$3:$L$1183,9*BV4-8,10))</x:f>
        <x:v>빅데이터 분석 및 시각화</x:v>
      </x:c>
      <x:c r="BW7" s="82" t="str">
        <x:f>IF(OR(BW4&lt;0,BW4=BV4,ISERROR(INDEX(세부시간표!$A$3:$L$1183,9*BW4-8,10))),"",INDEX(세부시간표!$A$3:$L$1183,9*BW4-8,10))</x:f>
        <x:v/>
      </x:c>
      <x:c r="BX7" s="82" t="str">
        <x:f>IF(OR(BX4&lt;0,BX4=BW4,ISERROR(INDEX(세부시간표!$A$3:$L$1183,9*BX4-8,10))),"",INDEX(세부시간표!$A$3:$L$1183,9*BX4-8,10))</x:f>
        <x:v>빅데이터 분석 및 시각화</x:v>
      </x:c>
      <x:c r="BY7" s="82" t="str">
        <x:f>IF(OR(BY4&lt;0,BY4=BX4,ISERROR(INDEX(세부시간표!$A$3:$L$1183,9*BY4-8,10))),"",INDEX(세부시간표!$A$3:$L$1183,9*BY4-8,10))</x:f>
        <x:v>빅데이터 분석 및 시각화</x:v>
      </x:c>
      <x:c r="BZ7" s="82" t="str">
        <x:f>IF(OR(BZ4&lt;0,BZ4=BY4,ISERROR(INDEX(세부시간표!$A$3:$L$1183,9*BZ4-8,10))),"",INDEX(세부시간표!$A$3:$L$1183,9*BZ4-8,10))</x:f>
        <x:v>빅데이터 분석 및 시각화</x:v>
      </x:c>
      <x:c r="CA7" s="82" t="str">
        <x:f>IF(OR(CA4&lt;0,CA4=BZ4,ISERROR(INDEX(세부시간표!$A$3:$L$1183,9*CA4-8,10))),"",INDEX(세부시간표!$A$3:$L$1183,9*CA4-8,10))</x:f>
        <x:v>빅데이터 분석 및 시각화</x:v>
      </x:c>
      <x:c r="CB7" s="82" t="str">
        <x:f>IF(OR(CB4&lt;0,CB4=CA4,ISERROR(INDEX(세부시간표!$A$3:$L$1183,9*CB4-8,10))),"",INDEX(세부시간표!$A$3:$L$1183,9*CB4-8,10))</x:f>
        <x:v>빅데이터 시스템 구축</x:v>
      </x:c>
      <x:c r="CC7" s="82" t="str">
        <x:f>IF(OR(CC4&lt;0,CC4=CB4,ISERROR(INDEX(세부시간표!$A$3:$L$1183,9*CC4-8,10))),"",INDEX(세부시간표!$A$3:$L$1183,9*CC4-8,10))</x:f>
        <x:v>빅데이터 시스템 구축</x:v>
      </x:c>
      <x:c r="CD7" s="82" t="str">
        <x:f>IF(OR(CD4&lt;0,CD4=CC4,ISERROR(INDEX(세부시간표!$A$3:$L$1183,9*CD4-8,10))),"",INDEX(세부시간표!$A$3:$L$1183,9*CD4-8,10))</x:f>
        <x:v>빅데이터 시스템 구축</x:v>
      </x:c>
      <x:c r="CE7" s="82" t="str">
        <x:f>IF(OR(CE4&lt;0,CE4=CD4,ISERROR(INDEX(세부시간표!$A$3:$L$1183,9*CE4-8,10))),"",INDEX(세부시간표!$A$3:$L$1183,9*CE4-8,10))</x:f>
        <x:v>빅데이터 시스템 구축</x:v>
      </x:c>
      <x:c r="CF7" s="82" t="str">
        <x:f>IF(OR(CF4&lt;0,CF4=CE4,ISERROR(INDEX(세부시간표!$A$3:$L$1183,9*CF4-8,10))),"",INDEX(세부시간표!$A$3:$L$1183,9*CF4-8,10))</x:f>
        <x:v>빅데이터 시스템 구축</x:v>
      </x:c>
      <x:c r="CG7" s="82" t="str">
        <x:f>IF(OR(CG4&lt;0,CG4=CF4,ISERROR(INDEX(세부시간표!$A$3:$L$1183,9*CG4-8,10))),"",INDEX(세부시간표!$A$3:$L$1183,9*CG4-8,10))</x:f>
        <x:v>빅데이터 시스템 구축</x:v>
      </x:c>
      <x:c r="CH7" s="82" t="str">
        <x:f>IF(OR(CH4&lt;0,CH4=CG4,ISERROR(INDEX(세부시간표!$A$3:$L$1183,9*CH4-8,10))),"",INDEX(세부시간표!$A$3:$L$1183,9*CH4-8,10))</x:f>
        <x:v>빅데이터 시스템 구축</x:v>
      </x:c>
      <x:c r="CI7" s="82" t="str">
        <x:f>IF(OR(CI4&lt;0,CI4=CH4,ISERROR(INDEX(세부시간표!$A$3:$L$1183,9*CI4-8,10))),"",INDEX(세부시간표!$A$3:$L$1183,9*CI4-8,10))</x:f>
        <x:v>빅데이터 시스템 구축</x:v>
      </x:c>
      <x:c r="CJ7" s="82" t="str">
        <x:f>IF(OR(CJ4&lt;0,CJ4=CI4,ISERROR(INDEX(세부시간표!$A$3:$L$1183,9*CJ4-8,10))),"",INDEX(세부시간표!$A$3:$L$1183,9*CJ4-8,10))</x:f>
        <x:v>빅데이터 시스템 구축</x:v>
      </x:c>
      <x:c r="CK7" s="82" t="str">
        <x:f>IF(OR(CK4&lt;0,CK4=CJ4,ISERROR(INDEX(세부시간표!$A$3:$L$1183,9*CK4-8,10))),"",INDEX(세부시간표!$A$3:$L$1183,9*CK4-8,10))</x:f>
        <x:v>빅데이터 시스템 구축</x:v>
      </x:c>
      <x:c r="CL7" s="82" t="str">
        <x:f>IF(OR(CL4&lt;0,CL4=CK4,ISERROR(INDEX(세부시간표!$A$3:$L$1183,9*CL4-8,10))),"",INDEX(세부시간표!$A$3:$L$1183,9*CL4-8,10))</x:f>
        <x:v>빅데이터 플랫폼 개발</x:v>
      </x:c>
      <x:c r="CM7" s="82" t="str">
        <x:f>IF(OR(CM4&lt;0,CM4=CL4,ISERROR(INDEX(세부시간표!$A$3:$L$1183,9*CM4-8,10))),"",INDEX(세부시간표!$A$3:$L$1183,9*CM4-8,10))</x:f>
        <x:v>빅데이터 플랫폼 개발</x:v>
      </x:c>
      <x:c r="CN7" s="82" t="str">
        <x:f>IF(OR(CN4&lt;0,CN4=CM4,ISERROR(INDEX(세부시간표!$A$3:$L$1183,9*CN4-8,10))),"",INDEX(세부시간표!$A$3:$L$1183,9*CN4-8,10))</x:f>
        <x:v>빅데이터 플랫폼 개발</x:v>
      </x:c>
      <x:c r="CO7" s="82" t="str">
        <x:f>IF(OR(CO4&lt;0,CO4=CN4,ISERROR(INDEX(세부시간표!$A$3:$L$1183,9*CO4-8,10))),"",INDEX(세부시간표!$A$3:$L$1183,9*CO4-8,10))</x:f>
        <x:v>빅데이터 플랫폼 개발</x:v>
      </x:c>
      <x:c r="CP7" s="82" t="str">
        <x:f>IF(OR(CP4&lt;0,CP4=CO4,ISERROR(INDEX(세부시간표!$A$3:$L$1183,9*CP4-8,10))),"",INDEX(세부시간표!$A$3:$L$1183,9*CP4-8,10))</x:f>
        <x:v>빅데이터 플랫폼 개발</x:v>
      </x:c>
      <x:c r="CQ7" s="82" t="str">
        <x:f>IF(OR(CQ4&lt;0,CQ4=CP4,ISERROR(INDEX(세부시간표!$A$3:$L$1183,9*CQ4-8,10))),"",INDEX(세부시간표!$A$3:$L$1183,9*CQ4-8,10))</x:f>
        <x:v>빅데이터 플랫폼 개발</x:v>
      </x:c>
      <x:c r="CR7" s="82" t="str">
        <x:f>IF(OR(CR4&lt;0,CR4=CQ4,ISERROR(INDEX(세부시간표!$A$3:$L$1183,9*CR4-8,10))),"",INDEX(세부시간표!$A$3:$L$1183,9*CR4-8,10))</x:f>
        <x:v>빅데이터 플랫폼 개발</x:v>
      </x:c>
      <x:c r="CS7" s="82" t="str">
        <x:f>IF(OR(CS4&lt;0,CS4=CR4,ISERROR(INDEX(세부시간표!$A$3:$L$1183,9*CS4-8,10))),"",INDEX(세부시간표!$A$3:$L$1183,9*CS4-8,10))</x:f>
        <x:v>Final 프로젝트</x:v>
      </x:c>
      <x:c r="CT7" s="82" t="str">
        <x:f>IF(OR(CT4&lt;0,CT4=CS4,ISERROR(INDEX(세부시간표!$A$3:$L$1183,9*CT4-8,10))),"",INDEX(세부시간표!$A$3:$L$1183,9*CT4-8,10))</x:f>
        <x:v>Final 프로젝트</x:v>
      </x:c>
      <x:c r="CU7" s="82" t="str">
        <x:f>IF(OR(CU4&lt;0,CU4=CT4,ISERROR(INDEX(세부시간표!$A$3:$L$1183,9*CU4-8,10))),"",INDEX(세부시간표!$A$3:$L$1183,9*CU4-8,10))</x:f>
        <x:v>Final 프로젝트</x:v>
      </x:c>
      <x:c r="CV7" s="82" t="str">
        <x:f>IF(OR(CV4&lt;0,CV4=CU4,ISERROR(INDEX(세부시간표!$A$3:$L$1183,9*CV4-8,10))),"",INDEX(세부시간표!$A$3:$L$1183,9*CV4-8,10))</x:f>
        <x:v>Final 프로젝트</x:v>
      </x:c>
      <x:c r="CW7" s="82" t="str">
        <x:f>IF(OR(CW4&lt;0,CW4=CV4,ISERROR(INDEX(세부시간표!$A$3:$L$1183,9*CW4-8,10))),"",INDEX(세부시간표!$A$3:$L$1183,9*CW4-8,10))</x:f>
        <x:v>Final 프로젝트</x:v>
      </x:c>
      <x:c r="CX7" s="82" t="str">
        <x:f>IF(OR(CX4&lt;0,CX4=CW4,ISERROR(INDEX(세부시간표!$A$3:$L$1183,9*CX4-8,10))),"",INDEX(세부시간표!$A$3:$L$1183,9*CX4-8,10))</x:f>
        <x:v>Final 프로젝트</x:v>
      </x:c>
      <x:c r="CY7" s="82" t="str">
        <x:f>IF(OR(CY4&lt;0,CY4=CX4,ISERROR(INDEX(세부시간표!$A$3:$L$1183,9*CY4-8,10))),"",INDEX(세부시간표!$A$3:$L$1183,9*CY4-8,10))</x:f>
        <x:v>Final 프로젝트</x:v>
      </x:c>
      <x:c r="CZ7" s="82" t="str">
        <x:f>IF(OR(CZ4&lt;0,CZ4=CY4,ISERROR(INDEX(세부시간표!$A$3:$L$1183,9*CZ4-8,10))),"",INDEX(세부시간표!$A$3:$L$1183,9*CZ4-8,10))</x:f>
        <x:v>Final 프로젝트</x:v>
      </x:c>
      <x:c r="DA7" s="82" t="str">
        <x:f>IF(OR(DA4&lt;0,DA4=CZ4,ISERROR(INDEX(세부시간표!$A$3:$L$1183,9*DA4-8,10))),"",INDEX(세부시간표!$A$3:$L$1183,9*DA4-8,10))</x:f>
        <x:v>Final 프로젝트</x:v>
      </x:c>
      <x:c r="DB7" s="82" t="str">
        <x:f>IF(OR(DB4&lt;0,DB4=DA4,ISERROR(INDEX(세부시간표!$A$3:$L$1183,9*DB4-8,10))),"",INDEX(세부시간표!$A$3:$L$1183,9*DB4-8,10))</x:f>
        <x:v>Final 프로젝트</x:v>
      </x:c>
      <x:c r="DC7" s="82" t="str">
        <x:f>IF(OR(DC4&lt;0,DC4=DB4,ISERROR(INDEX(세부시간표!$A$3:$L$1183,9*DC4-8,10))),"",INDEX(세부시간표!$A$3:$L$1183,9*DC4-8,10))</x:f>
        <x:v/>
      </x:c>
      <x:c r="DD7" s="82" t="str">
        <x:f>IF(OR(DD4&lt;0,DD4=DC4,ISERROR(INDEX(세부시간표!$A$3:$L$1183,9*DD4-8,10))),"",INDEX(세부시간표!$A$3:$L$1183,9*DD4-8,10))</x:f>
        <x:v/>
      </x:c>
      <x:c r="DE7" s="82" t="str">
        <x:f>IF(OR(DE4&lt;0,DE4=DD4,ISERROR(INDEX(세부시간표!$A$3:$L$1183,9*DE4-8,10))),"",INDEX(세부시간표!$A$3:$L$1183,9*DE4-8,10))</x:f>
        <x:v/>
      </x:c>
      <x:c r="DF7" s="82" t="str">
        <x:f>IF(OR(DF4&lt;0,DF4=DE4,ISERROR(INDEX(세부시간표!$A$3:$L$1183,9*DF4-8,10))),"",INDEX(세부시간표!$A$3:$L$1183,9*DF4-8,10))</x:f>
        <x:v>Final 프로젝트</x:v>
      </x:c>
      <x:c r="DG7" s="82" t="str">
        <x:f>IF(OR(DG4&lt;0,DG4=DF4,ISERROR(INDEX(세부시간표!$A$3:$L$1183,9*DG4-8,10))),"",INDEX(세부시간표!$A$3:$L$1183,9*DG4-8,10))</x:f>
        <x:v>Final 프로젝트</x:v>
      </x:c>
      <x:c r="DH7" s="82" t="str">
        <x:f>IF(OR(DH4&lt;0,DH4=DG4,ISERROR(INDEX(세부시간표!$A$3:$L$1183,9*DH4-8,10))),"",INDEX(세부시간표!$A$3:$L$1183,9*DH4-8,10))</x:f>
        <x:v>Final 프로젝트</x:v>
      </x:c>
      <x:c r="DI7" s="82" t="str">
        <x:f>IF(OR(DI4&lt;0,DI4=DH4,ISERROR(INDEX(세부시간표!$A$3:$L$1183,9*DI4-8,10))),"",INDEX(세부시간표!$A$3:$L$1183,9*DI4-8,10))</x:f>
        <x:v>Final 프로젝트</x:v>
      </x:c>
      <x:c r="DJ7" s="82" t="str">
        <x:f>IF(OR(DJ4&lt;0,DJ4=DI4,ISERROR(INDEX(세부시간표!$A$3:$L$1183,9*DJ4-8,10))),"",INDEX(세부시간표!$A$3:$L$1183,9*DJ4-8,10))</x:f>
        <x:v>Final 프로젝트</x:v>
      </x:c>
      <x:c r="DK7" s="82" t="str">
        <x:f>IF(OR(DK4&lt;0,DK4=DJ4,ISERROR(INDEX(세부시간표!$A$3:$L$1183,9*DK4-8,10))),"",INDEX(세부시간표!$A$3:$L$1183,9*DK4-8,10))</x:f>
        <x:v>Final 프로젝트</x:v>
      </x:c>
      <x:c r="DL7" s="82" t="str">
        <x:f>IF(OR(DL4&lt;0,DL4=DK4,ISERROR(INDEX(세부시간표!$A$3:$L$1183,9*DL4-8,10))),"",INDEX(세부시간표!$A$3:$L$1183,9*DL4-8,10))</x:f>
        <x:v>Final 프로젝트</x:v>
      </x:c>
      <x:c r="DM7" s="82" t="str">
        <x:f>IF(OR(DM4&lt;0,DM4=DL4,ISERROR(INDEX(세부시간표!$A$3:$L$1183,9*DM4-8,10))),"",INDEX(세부시간표!$A$3:$L$1183,9*DM4-8,10))</x:f>
        <x:v/>
      </x:c>
      <x:c r="DN7" s="82" t="str">
        <x:f>IF(OR(DN4&lt;0,DN4=DM4,ISERROR(INDEX(세부시간표!$A$3:$L$1183,9*DN4-8,10))),"",INDEX(세부시간표!$A$3:$L$1183,9*DN4-8,10))</x:f>
        <x:v>Final 프로젝트</x:v>
      </x:c>
      <x:c r="DO7" s="82" t="str">
        <x:f>IF(OR(DO4&lt;0,DO4=DN4,ISERROR(INDEX(세부시간표!$A$3:$L$1183,9*DO4-8,10))),"",INDEX(세부시간표!$A$3:$L$1183,9*DO4-8,10))</x:f>
        <x:v>Final 프로젝트</x:v>
      </x:c>
      <x:c r="DP7" s="82" t="str">
        <x:f>IF(OR(DP4&lt;0,DP4=DO4,ISERROR(INDEX(세부시간표!$A$3:$L$1183,9*DP4-8,10))),"",INDEX(세부시간표!$A$3:$L$1183,9*DP4-8,10))</x:f>
        <x:v>Final 프로젝트</x:v>
      </x:c>
      <x:c r="DQ7" s="82" t="str">
        <x:f>IF(OR(DQ4&lt;0,DQ4=DP4,ISERROR(INDEX(세부시간표!$A$3:$L$1183,9*DQ4-8,10))),"",INDEX(세부시간표!$A$3:$L$1183,9*DQ4-8,10))</x:f>
        <x:v>Final 프로젝트</x:v>
      </x:c>
      <x:c r="DR7" s="82" t="str">
        <x:f>IF(OR(DR4&lt;0,DR4=DQ4,ISERROR(INDEX(세부시간표!$A$3:$L$1183,9*DR4-8,10))),"",INDEX(세부시간표!$A$3:$L$1183,9*DR4-8,10))</x:f>
        <x:v>Final 프로젝트</x:v>
      </x:c>
      <x:c r="DS7" s="82" t="str">
        <x:f>IF(OR(DS4&lt;0,DS4=DR4,ISERROR(INDEX(세부시간표!$A$3:$L$1183,9*DS4-8,10))),"",INDEX(세부시간표!$A$3:$L$1183,9*DS4-8,10))</x:f>
        <x:v>Final 프로젝트</x:v>
      </x:c>
      <x:c r="DT7" s="82" t="str">
        <x:f>IF(OR(DT4&lt;0,DT4=DS4,ISERROR(INDEX(세부시간표!$A$3:$L$1183,9*DT4-8,10))),"",INDEX(세부시간표!$A$3:$L$1183,9*DT4-8,10))</x:f>
        <x:v>Final 프로젝트</x:v>
      </x:c>
      <x:c r="DU7" s="82" t="str">
        <x:f>IF(OR(DU4&lt;0,DU4=DT4,ISERROR(INDEX(세부시간표!$A$3:$L$1183,9*DU4-8,10))),"",INDEX(세부시간표!$A$3:$L$1183,9*DU4-8,10))</x:f>
        <x:v>Final 프로젝트</x:v>
      </x:c>
      <x:c r="DV7" s="82" t="str">
        <x:f>IF(OR(DV4&lt;0,DV4=DU4,ISERROR(INDEX(세부시간표!$A$3:$L$1183,9*DV4-8,10))),"",INDEX(세부시간표!$A$3:$L$1183,9*DV4-8,10))</x:f>
        <x:v>Final 프로젝트</x:v>
      </x:c>
      <x:c r="DW7" s="82" t="str">
        <x:f>IF(OR(DW4&lt;0,DW4=DV4,ISERROR(INDEX(세부시간표!$A$3:$L$1183,9*DW4-8,10))),"",INDEX(세부시간표!$A$3:$L$1183,9*DW4-8,10))</x:f>
        <x:v>Final 프로젝트</x:v>
      </x:c>
      <x:c r="DX7" s="82" t="str">
        <x:f>IF(OR(DX4&lt;0,DX4=DW4,ISERROR(INDEX(세부시간표!$A$3:$L$1183,9*DX4-8,10))),"",INDEX(세부시간표!$A$3:$L$1183,9*DX4-8,10))</x:f>
        <x:v>Final 프로젝트</x:v>
      </x:c>
      <x:c r="DY7" s="82" t="str">
        <x:f>IF(OR(DY4&lt;0,DY4=DX4,ISERROR(INDEX(세부시간표!$A$3:$L$1183,9*DY4-8,10))),"",INDEX(세부시간표!$A$3:$L$1183,9*DY4-8,10))</x:f>
        <x:v>Final 프로젝트</x:v>
      </x:c>
      <x:c r="DZ7" s="82" t="str">
        <x:f>IF(OR(DZ4&lt;0,DZ4=DY4,ISERROR(INDEX(세부시간표!$A$3:$L$1183,9*DZ4-8,10))),"",INDEX(세부시간표!$A$3:$L$1183,9*DZ4-8,10))</x:f>
        <x:v>Final 프로젝트</x:v>
      </x:c>
      <x:c r="EA7" s="82" t="str">
        <x:f>IF(OR(EA4&lt;0,EA4=DZ4,ISERROR(INDEX(세부시간표!$A$3:$L$1183,9*EA4-8,10))),"",INDEX(세부시간표!$A$3:$L$1183,9*EA4-8,10))</x:f>
        <x:v>Final 프로젝트</x:v>
      </x:c>
      <x:c r="EB7" s="82" t="str">
        <x:f>IF(OR(EB4&lt;0,EB4=EA4,ISERROR(INDEX(세부시간표!$A$3:$L$1183,9*EB4-8,10))),"",INDEX(세부시간표!$A$3:$L$1183,9*EB4-8,10))</x:f>
        <x:v>Final 프로젝트</x:v>
      </x:c>
      <x:c r="EC7" s="82" t="str">
        <x:f>IF(OR(EC4&lt;0,EC4=EB4,ISERROR(INDEX(세부시간표!$A$3:$L$1183,9*EC4-8,10))),"",INDEX(세부시간표!$A$3:$L$1183,9*EC4-8,10))</x:f>
        <x:v>산업체특강 , 프로젝트 발표(시연), 수료식</x:v>
      </x:c>
      <x:c r="ED7" s="82" t="str">
        <x:f>IF(OR(ED4&lt;0,ED4=EC4,ISERROR(INDEX(세부시간표!$A$3:$L$1183,9*ED4-8,10))),"",INDEX(세부시간표!$A$3:$L$1183,9*ED4-8,10))</x:f>
        <x:v>취업특강 및 모의면접</x:v>
      </x:c>
      <x:c r="EE7" s="82" t="str">
        <x:f>IF(OR(EE4&lt;0,EE4=ED4,ISERROR(INDEX(세부시간표!$A$3:$L$1183,9*EE4-8,10))),"",INDEX(세부시간표!$A$3:$L$1183,9*EE4-8,10))</x:f>
        <x:v/>
      </x:c>
      <x:c r="EF7" s="82" t="str">
        <x:f>IF(OR(EF4&lt;0,EF4=EE4,ISERROR(INDEX(세부시간표!$A$3:$L$1183,9*EF4-8,10))),"",INDEX(세부시간표!$A$3:$L$1183,9*EF4-8,10))</x:f>
        <x:v/>
      </x:c>
      <x:c r="EG7" s="82" t="str">
        <x:f>IF(OR(EG4&lt;0,EG4=EF4,ISERROR(INDEX(세부시간표!$A$3:$L$1183,9*EG4-8,10))),"",INDEX(세부시간표!$A$3:$L$1183,9*EG4-8,10))</x:f>
        <x:v/>
      </x:c>
      <x:c r="EH7" s="82" t="str">
        <x:f>IF(OR(EH4&lt;0,EH4=EG4,ISERROR(INDEX(세부시간표!$A$3:$L$1183,9*EH4-8,10))),"",INDEX(세부시간표!$A$3:$L$1183,9*EH4-8,10))</x:f>
        <x:v/>
      </x:c>
      <x:c r="EI7" s="82" t="str">
        <x:f>IF(OR(EI4&lt;0,EI4=EH4,ISERROR(INDEX(세부시간표!$A$3:$L$1183,9*EI4-8,10))),"",INDEX(세부시간표!$A$3:$L$1183,9*EI4-8,10))</x:f>
        <x:v/>
      </x:c>
      <x:c r="EJ7" s="82" t="str">
        <x:f>IF(OR(EJ4&lt;0,EJ4=EI4,ISERROR(INDEX(세부시간표!$A$3:$L$1183,9*EJ4-8,10))),"",INDEX(세부시간표!$A$3:$L$1183,9*EJ4-8,10))</x:f>
        <x:v/>
      </x:c>
      <x:c r="EK7" s="82" t="str">
        <x:f>IF(OR(EK4&lt;0,EK4=EJ4,ISERROR(INDEX(세부시간표!$A$3:$L$1183,9*EK4-8,10))),"",INDEX(세부시간표!$A$3:$L$1183,9*EK4-8,10))</x:f>
        <x:v/>
      </x:c>
      <x:c r="EL7" s="85" t="str">
        <x:f>IF(OR(EL4&lt;0,EL4=EK4,ISERROR(INDEX(세부시간표!$A$3:$L$1183,9*EL4-8,10))),"",INDEX(세부시간표!$A$3:$L$1183,9*EL4-8,10))</x:f>
        <x:v/>
      </x:c>
      <x:c r="EM7" s="83" t="str">
        <x:f>IF(OR(EM4&lt;0,EM4=EL4,ISERROR(INDEX(세부시간표!$A$3:$L$1183,9*EM4-8,10))),"",INDEX(세부시간표!$A$3:$L$1183,9*EM4-8,10))</x:f>
        <x:v/>
      </x:c>
      <x:c r="EN7" s="83" t="str">
        <x:f>IF(OR(EN4&lt;0,EN4=EM4,ISERROR(INDEX(세부시간표!$A$3:$L$1183,9*EN4-8,10))),"",INDEX(세부시간표!$A$3:$L$1183,9*EN4-8,10))</x:f>
        <x:v/>
      </x:c>
      <x:c r="EO7" s="83" t="str">
        <x:f>IF(OR(EO4&lt;0,EO4=EN4,ISERROR(INDEX(세부시간표!$A$3:$L$1183,9*EO4-8,10))),"",INDEX(세부시간표!$A$3:$L$1183,9*EO4-8,10))</x:f>
        <x:v/>
      </x:c>
      <x:c r="EP7" s="84" t="str">
        <x:f>IF(OR(EP4&lt;0,EP4=EO4,ISERROR(INDEX(세부시간표!$A$3:$L$1183,9*EP4-8,10))),"",INDEX(세부시간표!$A$3:$L$1183,9*EP4-8,10))</x:f>
        <x:v/>
      </x:c>
    </x:row>
    <x:row r="8" spans="1:146" s="88" customFormat="1" ht="30" customHeight="1">
      <x:c r="A8" s="278"/>
      <x:c r="B8" s="64" t="str">
        <x:f>B7</x:f>
        <x:v>웹 애플리케이션 개발</x:v>
      </x:c>
      <x:c r="C8" s="64" t="str">
        <x:f t="shared" ref="C8:BN8" si="16">C7</x:f>
        <x:v>웹 애플리케이션 개발</x:v>
      </x:c>
      <x:c r="D8" s="64" t="str">
        <x:f t="shared" si="16"/>
        <x:v>웹 애플리케이션 개발</x:v>
      </x:c>
      <x:c r="E8" s="64" t="str">
        <x:f t="shared" si="16"/>
        <x:v>웹 애플리케이션 개발</x:v>
      </x:c>
      <x:c r="F8" s="64" t="str">
        <x:f t="shared" si="16"/>
        <x:v>웹 애플리케이션 개발</x:v>
      </x:c>
      <x:c r="G8" s="64" t="str">
        <x:f t="shared" si="16"/>
        <x:v>웹 애플리케이션 개발</x:v>
      </x:c>
      <x:c r="H8" s="64" t="str">
        <x:f t="shared" si="16"/>
        <x:v>웹 애플리케이션 개발</x:v>
      </x:c>
      <x:c r="I8" s="64" t="str">
        <x:f t="shared" si="16"/>
        <x:v>웹 애플리케이션 개발</x:v>
      </x:c>
      <x:c r="J8" s="64" t="str">
        <x:f t="shared" si="16"/>
        <x:v>웹 애플리케이션 개발</x:v>
      </x:c>
      <x:c r="K8" s="64" t="str">
        <x:f t="shared" si="16"/>
        <x:v/>
      </x:c>
      <x:c r="L8" s="64" t="str">
        <x:f t="shared" si="16"/>
        <x:v/>
      </x:c>
      <x:c r="M8" s="64" t="str">
        <x:f t="shared" si="16"/>
        <x:v/>
      </x:c>
      <x:c r="N8" s="64" t="str">
        <x:f t="shared" si="16"/>
        <x:v/>
      </x:c>
      <x:c r="O8" s="64" t="str">
        <x:f t="shared" si="16"/>
        <x:v/>
      </x:c>
      <x:c r="P8" s="64" t="str">
        <x:f t="shared" si="16"/>
        <x:v>웹 애플리케이션 개발</x:v>
      </x:c>
      <x:c r="Q8" s="64" t="str">
        <x:f t="shared" si="16"/>
        <x:v>웹&amp;콘텐츠 서비스 개발</x:v>
      </x:c>
      <x:c r="R8" s="64" t="str">
        <x:f t="shared" si="16"/>
        <x:v>웹&amp;콘텐츠 서비스 개발</x:v>
      </x:c>
      <x:c r="S8" s="64" t="str">
        <x:f t="shared" si="16"/>
        <x:v>웹&amp;콘텐츠 서비스 개발</x:v>
      </x:c>
      <x:c r="T8" s="64" t="str">
        <x:f t="shared" si="16"/>
        <x:v>웹&amp;콘텐츠 서비스 개발</x:v>
      </x:c>
      <x:c r="U8" s="64" t="str">
        <x:f t="shared" si="16"/>
        <x:v>웹&amp;콘텐츠 서비스 개발</x:v>
      </x:c>
      <x:c r="V8" s="64" t="str">
        <x:f t="shared" si="16"/>
        <x:v>SQL 및 데이터 모델링</x:v>
      </x:c>
      <x:c r="W8" s="64" t="str">
        <x:f t="shared" si="16"/>
        <x:v>SQL 및 데이터 모델링</x:v>
      </x:c>
      <x:c r="X8" s="64" t="str">
        <x:f t="shared" si="16"/>
        <x:v>SQL 및 데이터 모델링</x:v>
      </x:c>
      <x:c r="Y8" s="64" t="str">
        <x:f t="shared" si="16"/>
        <x:v>SQL 및 데이터 모델링</x:v>
      </x:c>
      <x:c r="Z8" s="64" t="str">
        <x:f t="shared" si="16"/>
        <x:v>SQL 및 데이터 모델링</x:v>
      </x:c>
      <x:c r="AA8" s="64" t="str">
        <x:f t="shared" si="16"/>
        <x:v>SQL 및 데이터 모델링</x:v>
      </x:c>
      <x:c r="AB8" s="64" t="str">
        <x:f t="shared" si="16"/>
        <x:v>SQL 및 데이터 모델링</x:v>
      </x:c>
      <x:c r="AC8" s="64" t="str">
        <x:f t="shared" si="16"/>
        <x:v>SQL 및 데이터 모델링</x:v>
      </x:c>
      <x:c r="AD8" s="64" t="str">
        <x:f t="shared" si="16"/>
        <x:v>SQL 및 데이터 모델링</x:v>
      </x:c>
      <x:c r="AE8" s="64" t="str">
        <x:f t="shared" si="16"/>
        <x:v>AI개발 기초</x:v>
      </x:c>
      <x:c r="AF8" s="64" t="str">
        <x:f t="shared" si="16"/>
        <x:v>AI개발 기초</x:v>
      </x:c>
      <x:c r="AG8" s="64" t="str">
        <x:f t="shared" si="16"/>
        <x:v>AI개발 기초</x:v>
      </x:c>
      <x:c r="AH8" s="64" t="str">
        <x:f t="shared" si="16"/>
        <x:v>AI개발 기초</x:v>
      </x:c>
      <x:c r="AI8" s="64" t="str">
        <x:f t="shared" si="16"/>
        <x:v>AI개발 기초</x:v>
      </x:c>
      <x:c r="AJ8" s="64" t="str">
        <x:f t="shared" si="16"/>
        <x:v>AI개발 기초</x:v>
      </x:c>
      <x:c r="AK8" s="64" t="str">
        <x:f t="shared" si="16"/>
        <x:v>AI개발 기초</x:v>
      </x:c>
      <x:c r="AL8" s="64" t="str">
        <x:f t="shared" si="16"/>
        <x:v>AI개발 기초</x:v>
      </x:c>
      <x:c r="AM8" s="64" t="str">
        <x:f t="shared" si="16"/>
        <x:v>AI개발 기초</x:v>
      </x:c>
      <x:c r="AN8" s="64" t="str">
        <x:f t="shared" si="16"/>
        <x:v>AI개발 기초</x:v>
      </x:c>
      <x:c r="AO8" s="64" t="str">
        <x:f t="shared" si="16"/>
        <x:v>AI개발 기초</x:v>
      </x:c>
      <x:c r="AP8" s="64" t="str">
        <x:f t="shared" si="16"/>
        <x:v>AI개발 기초</x:v>
      </x:c>
      <x:c r="AQ8" s="64" t="str">
        <x:f t="shared" si="16"/>
        <x:v>AI개발 기초</x:v>
      </x:c>
      <x:c r="AR8" s="64" t="str">
        <x:f t="shared" si="16"/>
        <x:v>인공지능 프로그래밍</x:v>
      </x:c>
      <x:c r="AS8" s="64" t="str">
        <x:f t="shared" si="16"/>
        <x:v>인공지능 프로그래밍</x:v>
      </x:c>
      <x:c r="AT8" s="64" t="str">
        <x:f t="shared" si="16"/>
        <x:v>인공지능 프로그래밍</x:v>
      </x:c>
      <x:c r="AU8" s="64" t="str">
        <x:f t="shared" si="16"/>
        <x:v>인공지능 프로그래밍</x:v>
      </x:c>
      <x:c r="AV8" s="64" t="str">
        <x:f t="shared" si="16"/>
        <x:v>인공지능 프로그래밍</x:v>
      </x:c>
      <x:c r="AW8" s="64" t="str">
        <x:f t="shared" si="16"/>
        <x:v>인공지능 프로그래밍</x:v>
      </x:c>
      <x:c r="AX8" s="64" t="str">
        <x:f t="shared" si="16"/>
        <x:v>인공지능 프로그래밍</x:v>
      </x:c>
      <x:c r="AY8" s="64" t="str">
        <x:f t="shared" si="16"/>
        <x:v>인공지능 프로그래밍</x:v>
      </x:c>
      <x:c r="AZ8" s="64" t="str">
        <x:f t="shared" si="16"/>
        <x:v>인공지능 프로그래밍</x:v>
      </x:c>
      <x:c r="BA8" s="64" t="str">
        <x:f t="shared" si="16"/>
        <x:v>인공지능 프로그래밍</x:v>
      </x:c>
      <x:c r="BB8" s="64" t="str">
        <x:f t="shared" si="16"/>
        <x:v>인공지능 프로그래밍</x:v>
      </x:c>
      <x:c r="BC8" s="64" t="str">
        <x:f t="shared" si="16"/>
        <x:v>인공지능 프로그래밍</x:v>
      </x:c>
      <x:c r="BD8" s="64" t="str">
        <x:f t="shared" si="16"/>
        <x:v>인공지능 프로그래밍</x:v>
      </x:c>
      <x:c r="BE8" s="64" t="str">
        <x:f t="shared" si="16"/>
        <x:v>인공지능 프로그래밍</x:v>
      </x:c>
      <x:c r="BF8" s="64" t="str">
        <x:f t="shared" si="16"/>
        <x:v>인공지능 프로그래밍</x:v>
      </x:c>
      <x:c r="BG8" s="64" t="str">
        <x:f t="shared" si="16"/>
        <x:v>인공지능 프로그래밍</x:v>
      </x:c>
      <x:c r="BH8" s="64" t="str">
        <x:f t="shared" si="16"/>
        <x:v>Advanced 프로젝트</x:v>
      </x:c>
      <x:c r="BI8" s="64" t="str">
        <x:f t="shared" si="16"/>
        <x:v>Advanced 프로젝트</x:v>
      </x:c>
      <x:c r="BJ8" s="64" t="str">
        <x:f t="shared" si="16"/>
        <x:v>Advanced 프로젝트</x:v>
      </x:c>
      <x:c r="BK8" s="64" t="str">
        <x:f t="shared" si="16"/>
        <x:v>Advanced 프로젝트</x:v>
      </x:c>
      <x:c r="BL8" s="64" t="str">
        <x:f t="shared" si="16"/>
        <x:v>Advanced 프로젝트</x:v>
      </x:c>
      <x:c r="BM8" s="64" t="str">
        <x:f t="shared" si="16"/>
        <x:v>Advanced 프로젝트</x:v>
      </x:c>
      <x:c r="BN8" s="64" t="str">
        <x:f t="shared" si="16"/>
        <x:v>Advanced 프로젝트</x:v>
      </x:c>
      <x:c r="BO8" s="64" t="str">
        <x:f t="shared" ref="BO8:DZ8" si="17">BO7</x:f>
        <x:v>Advanced 프로젝트</x:v>
      </x:c>
      <x:c r="BP8" s="64" t="str">
        <x:f t="shared" si="17"/>
        <x:v>Advanced 프로젝트</x:v>
      </x:c>
      <x:c r="BQ8" s="64" t="str">
        <x:f t="shared" si="17"/>
        <x:v>Advanced 프로젝트</x:v>
      </x:c>
      <x:c r="BR8" s="64" t="str">
        <x:f t="shared" si="17"/>
        <x:v/>
      </x:c>
      <x:c r="BS8" s="64" t="str">
        <x:f t="shared" si="17"/>
        <x:v>Advanced 프로젝트</x:v>
      </x:c>
      <x:c r="BT8" s="64" t="str">
        <x:f t="shared" si="17"/>
        <x:v>Advanced 프로젝트</x:v>
      </x:c>
      <x:c r="BU8" s="64" t="str">
        <x:f t="shared" si="17"/>
        <x:v>Advanced 프로젝트</x:v>
      </x:c>
      <x:c r="BV8" s="64" t="str">
        <x:f t="shared" si="17"/>
        <x:v>빅데이터 분석 및 시각화</x:v>
      </x:c>
      <x:c r="BW8" s="64" t="str">
        <x:f t="shared" si="17"/>
        <x:v/>
      </x:c>
      <x:c r="BX8" s="64" t="str">
        <x:f t="shared" si="17"/>
        <x:v>빅데이터 분석 및 시각화</x:v>
      </x:c>
      <x:c r="BY8" s="64" t="str">
        <x:f t="shared" si="17"/>
        <x:v>빅데이터 분석 및 시각화</x:v>
      </x:c>
      <x:c r="BZ8" s="64" t="str">
        <x:f t="shared" si="17"/>
        <x:v>빅데이터 분석 및 시각화</x:v>
      </x:c>
      <x:c r="CA8" s="64" t="str">
        <x:f t="shared" si="17"/>
        <x:v>빅데이터 분석 및 시각화</x:v>
      </x:c>
      <x:c r="CB8" s="64" t="str">
        <x:f t="shared" si="17"/>
        <x:v>빅데이터 시스템 구축</x:v>
      </x:c>
      <x:c r="CC8" s="64" t="str">
        <x:f t="shared" si="17"/>
        <x:v>빅데이터 시스템 구축</x:v>
      </x:c>
      <x:c r="CD8" s="64" t="str">
        <x:f t="shared" si="17"/>
        <x:v>빅데이터 시스템 구축</x:v>
      </x:c>
      <x:c r="CE8" s="64" t="str">
        <x:f t="shared" si="17"/>
        <x:v>빅데이터 시스템 구축</x:v>
      </x:c>
      <x:c r="CF8" s="64" t="str">
        <x:f t="shared" si="17"/>
        <x:v>빅데이터 시스템 구축</x:v>
      </x:c>
      <x:c r="CG8" s="64" t="str">
        <x:f t="shared" si="17"/>
        <x:v>빅데이터 시스템 구축</x:v>
      </x:c>
      <x:c r="CH8" s="64" t="str">
        <x:f t="shared" si="17"/>
        <x:v>빅데이터 시스템 구축</x:v>
      </x:c>
      <x:c r="CI8" s="64" t="str">
        <x:f t="shared" si="17"/>
        <x:v>빅데이터 시스템 구축</x:v>
      </x:c>
      <x:c r="CJ8" s="64" t="str">
        <x:f t="shared" si="17"/>
        <x:v>빅데이터 시스템 구축</x:v>
      </x:c>
      <x:c r="CK8" s="64" t="str">
        <x:f t="shared" si="17"/>
        <x:v>빅데이터 시스템 구축</x:v>
      </x:c>
      <x:c r="CL8" s="64" t="str">
        <x:f t="shared" si="17"/>
        <x:v>빅데이터 플랫폼 개발</x:v>
      </x:c>
      <x:c r="CM8" s="64" t="str">
        <x:f t="shared" si="17"/>
        <x:v>빅데이터 플랫폼 개발</x:v>
      </x:c>
      <x:c r="CN8" s="64" t="str">
        <x:f t="shared" si="17"/>
        <x:v>빅데이터 플랫폼 개발</x:v>
      </x:c>
      <x:c r="CO8" s="64" t="str">
        <x:f t="shared" si="17"/>
        <x:v>빅데이터 플랫폼 개발</x:v>
      </x:c>
      <x:c r="CP8" s="64" t="str">
        <x:f t="shared" si="17"/>
        <x:v>빅데이터 플랫폼 개발</x:v>
      </x:c>
      <x:c r="CQ8" s="64" t="str">
        <x:f t="shared" si="17"/>
        <x:v>빅데이터 플랫폼 개발</x:v>
      </x:c>
      <x:c r="CR8" s="64" t="str">
        <x:f t="shared" si="17"/>
        <x:v>빅데이터 플랫폼 개발</x:v>
      </x:c>
      <x:c r="CS8" s="64" t="str">
        <x:f t="shared" si="17"/>
        <x:v>Final 프로젝트</x:v>
      </x:c>
      <x:c r="CT8" s="64" t="str">
        <x:f t="shared" si="17"/>
        <x:v>Final 프로젝트</x:v>
      </x:c>
      <x:c r="CU8" s="64" t="str">
        <x:f t="shared" si="17"/>
        <x:v>Final 프로젝트</x:v>
      </x:c>
      <x:c r="CV8" s="64" t="str">
        <x:f t="shared" si="17"/>
        <x:v>Final 프로젝트</x:v>
      </x:c>
      <x:c r="CW8" s="64" t="str">
        <x:f t="shared" si="17"/>
        <x:v>Final 프로젝트</x:v>
      </x:c>
      <x:c r="CX8" s="64" t="str">
        <x:f t="shared" si="17"/>
        <x:v>Final 프로젝트</x:v>
      </x:c>
      <x:c r="CY8" s="64" t="str">
        <x:f t="shared" si="17"/>
        <x:v>Final 프로젝트</x:v>
      </x:c>
      <x:c r="CZ8" s="64" t="str">
        <x:f t="shared" si="17"/>
        <x:v>Final 프로젝트</x:v>
      </x:c>
      <x:c r="DA8" s="64" t="str">
        <x:f t="shared" si="17"/>
        <x:v>Final 프로젝트</x:v>
      </x:c>
      <x:c r="DB8" s="64" t="str">
        <x:f t="shared" si="17"/>
        <x:v>Final 프로젝트</x:v>
      </x:c>
      <x:c r="DC8" s="64" t="str">
        <x:f t="shared" si="17"/>
        <x:v/>
      </x:c>
      <x:c r="DD8" s="64" t="str">
        <x:f t="shared" si="17"/>
        <x:v/>
      </x:c>
      <x:c r="DE8" s="64" t="str">
        <x:f t="shared" si="17"/>
        <x:v/>
      </x:c>
      <x:c r="DF8" s="64" t="str">
        <x:f t="shared" si="17"/>
        <x:v>Final 프로젝트</x:v>
      </x:c>
      <x:c r="DG8" s="64" t="str">
        <x:f t="shared" si="17"/>
        <x:v>Final 프로젝트</x:v>
      </x:c>
      <x:c r="DH8" s="64" t="str">
        <x:f t="shared" si="17"/>
        <x:v>Final 프로젝트</x:v>
      </x:c>
      <x:c r="DI8" s="64" t="str">
        <x:f t="shared" si="17"/>
        <x:v>Final 프로젝트</x:v>
      </x:c>
      <x:c r="DJ8" s="64" t="str">
        <x:f t="shared" si="17"/>
        <x:v>Final 프로젝트</x:v>
      </x:c>
      <x:c r="DK8" s="64" t="str">
        <x:f t="shared" si="17"/>
        <x:v>Final 프로젝트</x:v>
      </x:c>
      <x:c r="DL8" s="64" t="str">
        <x:f t="shared" si="17"/>
        <x:v>Final 프로젝트</x:v>
      </x:c>
      <x:c r="DM8" s="64" t="str">
        <x:f t="shared" si="17"/>
        <x:v/>
      </x:c>
      <x:c r="DN8" s="64" t="str">
        <x:f t="shared" si="17"/>
        <x:v>Final 프로젝트</x:v>
      </x:c>
      <x:c r="DO8" s="64" t="str">
        <x:f t="shared" si="17"/>
        <x:v>Final 프로젝트</x:v>
      </x:c>
      <x:c r="DP8" s="64" t="str">
        <x:f t="shared" si="17"/>
        <x:v>Final 프로젝트</x:v>
      </x:c>
      <x:c r="DQ8" s="64" t="str">
        <x:f t="shared" si="17"/>
        <x:v>Final 프로젝트</x:v>
      </x:c>
      <x:c r="DR8" s="64" t="str">
        <x:f t="shared" si="17"/>
        <x:v>Final 프로젝트</x:v>
      </x:c>
      <x:c r="DS8" s="64" t="str">
        <x:f t="shared" si="17"/>
        <x:v>Final 프로젝트</x:v>
      </x:c>
      <x:c r="DT8" s="64" t="str">
        <x:f t="shared" si="17"/>
        <x:v>Final 프로젝트</x:v>
      </x:c>
      <x:c r="DU8" s="64" t="str">
        <x:f t="shared" si="17"/>
        <x:v>Final 프로젝트</x:v>
      </x:c>
      <x:c r="DV8" s="64" t="str">
        <x:f t="shared" si="17"/>
        <x:v>Final 프로젝트</x:v>
      </x:c>
      <x:c r="DW8" s="64" t="str">
        <x:f t="shared" si="17"/>
        <x:v>Final 프로젝트</x:v>
      </x:c>
      <x:c r="DX8" s="64" t="str">
        <x:f t="shared" si="17"/>
        <x:v>Final 프로젝트</x:v>
      </x:c>
      <x:c r="DY8" s="64" t="str">
        <x:f t="shared" si="17"/>
        <x:v>Final 프로젝트</x:v>
      </x:c>
      <x:c r="DZ8" s="64" t="str">
        <x:f t="shared" si="17"/>
        <x:v>Final 프로젝트</x:v>
      </x:c>
      <x:c r="EA8" s="64" t="str">
        <x:f t="shared" ref="EA8:EK8" si="18">EA7</x:f>
        <x:v>Final 프로젝트</x:v>
      </x:c>
      <x:c r="EB8" s="64" t="str">
        <x:f t="shared" si="18"/>
        <x:v>Final 프로젝트</x:v>
      </x:c>
      <x:c r="EC8" s="64" t="str">
        <x:f t="shared" si="18"/>
        <x:v>산업체특강 , 프로젝트 발표(시연), 수료식</x:v>
      </x:c>
      <x:c r="ED8" s="64" t="str">
        <x:f t="shared" si="18"/>
        <x:v>취업특강 및 모의면접</x:v>
      </x:c>
      <x:c r="EE8" s="64" t="str">
        <x:f t="shared" si="18"/>
        <x:v/>
      </x:c>
      <x:c r="EF8" s="64" t="str">
        <x:f t="shared" si="18"/>
        <x:v/>
      </x:c>
      <x:c r="EG8" s="64" t="str">
        <x:f t="shared" si="18"/>
        <x:v/>
      </x:c>
      <x:c r="EH8" s="64" t="str">
        <x:f t="shared" si="18"/>
        <x:v/>
      </x:c>
      <x:c r="EI8" s="64" t="str">
        <x:f t="shared" si="18"/>
        <x:v/>
      </x:c>
      <x:c r="EJ8" s="64" t="str">
        <x:f t="shared" si="18"/>
        <x:v/>
      </x:c>
      <x:c r="EK8" s="64" t="str">
        <x:f t="shared" si="18"/>
        <x:v/>
      </x:c>
      <x:c r="EL8" s="60" t="str">
        <x:f>EL7</x:f>
        <x:v/>
      </x:c>
      <x:c r="EM8" s="58" t="str">
        <x:f>EM7</x:f>
        <x:v/>
      </x:c>
      <x:c r="EN8" s="58" t="str">
        <x:f>EN7</x:f>
        <x:v/>
      </x:c>
      <x:c r="EO8" s="58" t="str">
        <x:f>EO7</x:f>
        <x:v/>
      </x:c>
      <x:c r="EP8" s="59" t="str">
        <x:f>EP7</x:f>
        <x:v/>
      </x:c>
    </x:row>
    <x:row r="9" spans="1:146" s="47" customFormat="1" ht="15" customHeight="1">
      <x:c r="A9" s="278"/>
      <x:c r="B9" s="65" t="str">
        <x:f>IF(OR(B4&lt;0,B4=A4,ISERROR(INDEX(세부시간표!$A$3:$L$1183,9*B4-8,11))),"",LEFT(INDEX(세부시간표!$A$3:$L$1183,9*B4-8,11),4))</x:f>
        <x:v>1교육실</x:v>
      </x:c>
      <x:c r="C9" s="65" t="str">
        <x:f>IF(OR(C4&lt;0,C4=B4,ISERROR(INDEX(세부시간표!$A$3:$L$1183,9*C4-8,11))),"",LEFT(INDEX(세부시간표!$A$3:$L$1183,9*C4-8,11),4))</x:f>
        <x:v>1교육실</x:v>
      </x:c>
      <x:c r="D9" s="65" t="str">
        <x:f>IF(OR(D4&lt;0,D4=C4,ISERROR(INDEX(세부시간표!$A$3:$L$1183,9*D4-8,11))),"",LEFT(INDEX(세부시간표!$A$3:$L$1183,9*D4-8,11),4))</x:f>
        <x:v>1교육실</x:v>
      </x:c>
      <x:c r="E9" s="65" t="str">
        <x:f>IF(OR(E4&lt;0,E4=D4,ISERROR(INDEX(세부시간표!$A$3:$L$1183,9*E4-8,11))),"",LEFT(INDEX(세부시간표!$A$3:$L$1183,9*E4-8,11),4))</x:f>
        <x:v>1교육실</x:v>
      </x:c>
      <x:c r="F9" s="65" t="str">
        <x:f>IF(OR(F4&lt;0,F4=E4,ISERROR(INDEX(세부시간표!$A$3:$L$1183,9*F4-8,11))),"",LEFT(INDEX(세부시간표!$A$3:$L$1183,9*F4-8,11),4))</x:f>
        <x:v>1교육실</x:v>
      </x:c>
      <x:c r="G9" s="65" t="str">
        <x:f>IF(OR(G4&lt;0,G4=F4,ISERROR(INDEX(세부시간표!$A$3:$L$1183,9*G4-8,11))),"",LEFT(INDEX(세부시간표!$A$3:$L$1183,9*G4-8,11),4))</x:f>
        <x:v>1교육실</x:v>
      </x:c>
      <x:c r="H9" s="65" t="str">
        <x:f>IF(OR(H4&lt;0,H4=G4,ISERROR(INDEX(세부시간표!$A$3:$L$1183,9*H4-8,11))),"",LEFT(INDEX(세부시간표!$A$3:$L$1183,9*H4-8,11),4))</x:f>
        <x:v>1교육실</x:v>
      </x:c>
      <x:c r="I9" s="65" t="str">
        <x:f>IF(OR(I4&lt;0,I4=H4,ISERROR(INDEX(세부시간표!$A$3:$L$1183,9*I4-8,11))),"",LEFT(INDEX(세부시간표!$A$3:$L$1183,9*I4-8,11),4))</x:f>
        <x:v>1교육실</x:v>
      </x:c>
      <x:c r="J9" s="65" t="str">
        <x:f>IF(OR(J4&lt;0,J4=I4,ISERROR(INDEX(세부시간표!$A$3:$L$1183,9*J4-8,11))),"",LEFT(INDEX(세부시간표!$A$3:$L$1183,9*J4-8,11),4))</x:f>
        <x:v>1교육실</x:v>
      </x:c>
      <x:c r="K9" s="65" t="str">
        <x:f>IF(OR(K4&lt;0,K4=J4,ISERROR(INDEX(세부시간표!$A$3:$L$1183,9*K4-8,11))),"",LEFT(INDEX(세부시간표!$A$3:$L$1183,9*K4-8,11),4))</x:f>
        <x:v/>
      </x:c>
      <x:c r="L9" s="65" t="str">
        <x:f>IF(OR(L4&lt;0,L4=K4,ISERROR(INDEX(세부시간표!$A$3:$L$1183,9*L4-8,11))),"",LEFT(INDEX(세부시간표!$A$3:$L$1183,9*L4-8,11),4))</x:f>
        <x:v/>
      </x:c>
      <x:c r="M9" s="65" t="str">
        <x:f>IF(OR(M4&lt;0,M4=L4,ISERROR(INDEX(세부시간표!$A$3:$L$1183,9*M4-8,11))),"",LEFT(INDEX(세부시간표!$A$3:$L$1183,9*M4-8,11),4))</x:f>
        <x:v/>
      </x:c>
      <x:c r="N9" s="65" t="str">
        <x:f>IF(OR(N4&lt;0,N4=M4,ISERROR(INDEX(세부시간표!$A$3:$L$1183,9*N4-8,11))),"",LEFT(INDEX(세부시간표!$A$3:$L$1183,9*N4-8,11),4))</x:f>
        <x:v/>
      </x:c>
      <x:c r="O9" s="65" t="str">
        <x:f>IF(OR(O4&lt;0,O4=N4,ISERROR(INDEX(세부시간표!$A$3:$L$1183,9*O4-8,11))),"",LEFT(INDEX(세부시간표!$A$3:$L$1183,9*O4-8,11),4))</x:f>
        <x:v/>
      </x:c>
      <x:c r="P9" s="65" t="str">
        <x:f>IF(OR(P4&lt;0,P4=O4,ISERROR(INDEX(세부시간표!$A$3:$L$1183,9*P4-8,11))),"",LEFT(INDEX(세부시간표!$A$3:$L$1183,9*P4-8,11),4))</x:f>
        <x:v>1교육실</x:v>
      </x:c>
      <x:c r="Q9" s="65" t="str">
        <x:f>IF(OR(Q4&lt;0,Q4=P4,ISERROR(INDEX(세부시간표!$A$3:$L$1183,9*Q4-8,11))),"",LEFT(INDEX(세부시간표!$A$3:$L$1183,9*Q4-8,11),4))</x:f>
        <x:v>1교육실</x:v>
      </x:c>
      <x:c r="R9" s="65" t="str">
        <x:f>IF(OR(R4&lt;0,R4=Q4,ISERROR(INDEX(세부시간표!$A$3:$L$1183,9*R4-8,11))),"",LEFT(INDEX(세부시간표!$A$3:$L$1183,9*R4-8,11),4))</x:f>
        <x:v>1교육실</x:v>
      </x:c>
      <x:c r="S9" s="65" t="str">
        <x:f>IF(OR(S4&lt;0,S4=R4,ISERROR(INDEX(세부시간표!$A$3:$L$1183,9*S4-8,11))),"",LEFT(INDEX(세부시간표!$A$3:$L$1183,9*S4-8,11),4))</x:f>
        <x:v>1교육실</x:v>
      </x:c>
      <x:c r="T9" s="65" t="str">
        <x:f>IF(OR(T4&lt;0,T4=S4,ISERROR(INDEX(세부시간표!$A$3:$L$1183,9*T4-8,11))),"",LEFT(INDEX(세부시간표!$A$3:$L$1183,9*T4-8,11),4))</x:f>
        <x:v>1교육실</x:v>
      </x:c>
      <x:c r="U9" s="65" t="str">
        <x:f>IF(OR(U4&lt;0,U4=T4,ISERROR(INDEX(세부시간표!$A$3:$L$1183,9*U4-8,11))),"",LEFT(INDEX(세부시간표!$A$3:$L$1183,9*U4-8,11),4))</x:f>
        <x:v>1교육실</x:v>
      </x:c>
      <x:c r="V9" s="65" t="str">
        <x:f>IF(OR(V4&lt;0,V4=U4,ISERROR(INDEX(세부시간표!$A$3:$L$1183,9*V4-8,11))),"",LEFT(INDEX(세부시간표!$A$3:$L$1183,9*V4-8,11),4))</x:f>
        <x:v>1교육실</x:v>
      </x:c>
      <x:c r="W9" s="65" t="str">
        <x:f>IF(OR(W4&lt;0,W4=V4,ISERROR(INDEX(세부시간표!$A$3:$L$1183,9*W4-8,11))),"",LEFT(INDEX(세부시간표!$A$3:$L$1183,9*W4-8,11),4))</x:f>
        <x:v>1교육실</x:v>
      </x:c>
      <x:c r="X9" s="65" t="str">
        <x:f>IF(OR(X4&lt;0,X4=W4,ISERROR(INDEX(세부시간표!$A$3:$L$1183,9*X4-8,11))),"",LEFT(INDEX(세부시간표!$A$3:$L$1183,9*X4-8,11),4))</x:f>
        <x:v>1교육실</x:v>
      </x:c>
      <x:c r="Y9" s="65" t="str">
        <x:f>IF(OR(Y4&lt;0,Y4=X4,ISERROR(INDEX(세부시간표!$A$3:$L$1183,9*Y4-8,11))),"",LEFT(INDEX(세부시간표!$A$3:$L$1183,9*Y4-8,11),4))</x:f>
        <x:v>1교육실</x:v>
      </x:c>
      <x:c r="Z9" s="65" t="str">
        <x:f>IF(OR(Z4&lt;0,Z4=Y4,ISERROR(INDEX(세부시간표!$A$3:$L$1183,9*Z4-8,11))),"",LEFT(INDEX(세부시간표!$A$3:$L$1183,9*Z4-8,11),4))</x:f>
        <x:v>1교육실</x:v>
      </x:c>
      <x:c r="AA9" s="65" t="str">
        <x:f>IF(OR(AA4&lt;0,AA4=Z4,ISERROR(INDEX(세부시간표!$A$3:$L$1183,9*AA4-8,11))),"",LEFT(INDEX(세부시간표!$A$3:$L$1183,9*AA4-8,11),4))</x:f>
        <x:v>1교육실</x:v>
      </x:c>
      <x:c r="AB9" s="65" t="str">
        <x:f>IF(OR(AB4&lt;0,AB4=AA4,ISERROR(INDEX(세부시간표!$A$3:$L$1183,9*AB4-8,11))),"",LEFT(INDEX(세부시간표!$A$3:$L$1183,9*AB4-8,11),4))</x:f>
        <x:v>1교육실</x:v>
      </x:c>
      <x:c r="AC9" s="65" t="str">
        <x:f>IF(OR(AC4&lt;0,AC4=AB4,ISERROR(INDEX(세부시간표!$A$3:$L$1183,9*AC4-8,11))),"",LEFT(INDEX(세부시간표!$A$3:$L$1183,9*AC4-8,11),4))</x:f>
        <x:v>1교육실</x:v>
      </x:c>
      <x:c r="AD9" s="65" t="str">
        <x:f>IF(OR(AD4&lt;0,AD4=AC4,ISERROR(INDEX(세부시간표!$A$3:$L$1183,9*AD4-8,11))),"",LEFT(INDEX(세부시간표!$A$3:$L$1183,9*AD4-8,11),4))</x:f>
        <x:v>1교육실</x:v>
      </x:c>
      <x:c r="AE9" s="65" t="str">
        <x:f>IF(OR(AE4&lt;0,AE4=AD4,ISERROR(INDEX(세부시간표!$A$3:$L$1183,9*AE4-8,11))),"",LEFT(INDEX(세부시간표!$A$3:$L$1183,9*AE4-8,11),4))</x:f>
        <x:v>1교육실</x:v>
      </x:c>
      <x:c r="AF9" s="65" t="str">
        <x:f>IF(OR(AF4&lt;0,AF4=AE4,ISERROR(INDEX(세부시간표!$A$3:$L$1183,9*AF4-8,11))),"",LEFT(INDEX(세부시간표!$A$3:$L$1183,9*AF4-8,11),4))</x:f>
        <x:v>1교육실</x:v>
      </x:c>
      <x:c r="AG9" s="65" t="str">
        <x:f>IF(OR(AG4&lt;0,AG4=AF4,ISERROR(INDEX(세부시간표!$A$3:$L$1183,9*AG4-8,11))),"",LEFT(INDEX(세부시간표!$A$3:$L$1183,9*AG4-8,11),4))</x:f>
        <x:v>1교육실</x:v>
      </x:c>
      <x:c r="AH9" s="65" t="str">
        <x:f>IF(OR(AH4&lt;0,AH4=AG4,ISERROR(INDEX(세부시간표!$A$3:$L$1183,9*AH4-8,11))),"",LEFT(INDEX(세부시간표!$A$3:$L$1183,9*AH4-8,11),4))</x:f>
        <x:v>1교육실</x:v>
      </x:c>
      <x:c r="AI9" s="65" t="str">
        <x:f>IF(OR(AI4&lt;0,AI4=AH4,ISERROR(INDEX(세부시간표!$A$3:$L$1183,9*AI4-8,11))),"",LEFT(INDEX(세부시간표!$A$3:$L$1183,9*AI4-8,11),4))</x:f>
        <x:v>1교육실</x:v>
      </x:c>
      <x:c r="AJ9" s="65" t="str">
        <x:f>IF(OR(AJ4&lt;0,AJ4=AI4,ISERROR(INDEX(세부시간표!$A$3:$L$1183,9*AJ4-8,11))),"",LEFT(INDEX(세부시간표!$A$3:$L$1183,9*AJ4-8,11),4))</x:f>
        <x:v>1교육실</x:v>
      </x:c>
      <x:c r="AK9" s="65" t="str">
        <x:f>IF(OR(AK4&lt;0,AK4=AJ4,ISERROR(INDEX(세부시간표!$A$3:$L$1183,9*AK4-8,11))),"",LEFT(INDEX(세부시간표!$A$3:$L$1183,9*AK4-8,11),4))</x:f>
        <x:v>1교육실</x:v>
      </x:c>
      <x:c r="AL9" s="65" t="str">
        <x:f>IF(OR(AL4&lt;0,AL4=AK4,ISERROR(INDEX(세부시간표!$A$3:$L$1183,9*AL4-8,11))),"",LEFT(INDEX(세부시간표!$A$3:$L$1183,9*AL4-8,11),4))</x:f>
        <x:v>1교육실</x:v>
      </x:c>
      <x:c r="AM9" s="65" t="str">
        <x:f>IF(OR(AM4&lt;0,AM4=AL4,ISERROR(INDEX(세부시간표!$A$3:$L$1183,9*AM4-8,11))),"",LEFT(INDEX(세부시간표!$A$3:$L$1183,9*AM4-8,11),4))</x:f>
        <x:v>1교육실</x:v>
      </x:c>
      <x:c r="AN9" s="65" t="str">
        <x:f>IF(OR(AN4&lt;0,AN4=AM4,ISERROR(INDEX(세부시간표!$A$3:$L$1183,9*AN4-8,11))),"",LEFT(INDEX(세부시간표!$A$3:$L$1183,9*AN4-8,11),4))</x:f>
        <x:v>1교육실</x:v>
      </x:c>
      <x:c r="AO9" s="65" t="str">
        <x:f>IF(OR(AO4&lt;0,AO4=AN4,ISERROR(INDEX(세부시간표!$A$3:$L$1183,9*AO4-8,11))),"",LEFT(INDEX(세부시간표!$A$3:$L$1183,9*AO4-8,11),4))</x:f>
        <x:v>1교육실</x:v>
      </x:c>
      <x:c r="AP9" s="65" t="str">
        <x:f>IF(OR(AP4&lt;0,AP4=AO4,ISERROR(INDEX(세부시간표!$A$3:$L$1183,9*AP4-8,11))),"",LEFT(INDEX(세부시간표!$A$3:$L$1183,9*AP4-8,11),4))</x:f>
        <x:v>1교육실</x:v>
      </x:c>
      <x:c r="AQ9" s="65" t="str">
        <x:f>IF(OR(AQ4&lt;0,AQ4=AP4,ISERROR(INDEX(세부시간표!$A$3:$L$1183,9*AQ4-8,11))),"",LEFT(INDEX(세부시간표!$A$3:$L$1183,9*AQ4-8,11),4))</x:f>
        <x:v>1교육실</x:v>
      </x:c>
      <x:c r="AR9" s="65" t="str">
        <x:f>IF(OR(AR4&lt;0,AR4=AQ4,ISERROR(INDEX(세부시간표!$A$3:$L$1183,9*AR4-8,11))),"",LEFT(INDEX(세부시간표!$A$3:$L$1183,9*AR4-8,11),4))</x:f>
        <x:v>1교육실</x:v>
      </x:c>
      <x:c r="AS9" s="65" t="str">
        <x:f>IF(OR(AS4&lt;0,AS4=AR4,ISERROR(INDEX(세부시간표!$A$3:$L$1183,9*AS4-8,11))),"",LEFT(INDEX(세부시간표!$A$3:$L$1183,9*AS4-8,11),4))</x:f>
        <x:v>1교육실</x:v>
      </x:c>
      <x:c r="AT9" s="65" t="str">
        <x:f>IF(OR(AT4&lt;0,AT4=AS4,ISERROR(INDEX(세부시간표!$A$3:$L$1183,9*AT4-8,11))),"",LEFT(INDEX(세부시간표!$A$3:$L$1183,9*AT4-8,11),4))</x:f>
        <x:v>1교육실</x:v>
      </x:c>
      <x:c r="AU9" s="65" t="str">
        <x:f>IF(OR(AU4&lt;0,AU4=AT4,ISERROR(INDEX(세부시간표!$A$3:$L$1183,9*AU4-8,11))),"",LEFT(INDEX(세부시간표!$A$3:$L$1183,9*AU4-8,11),4))</x:f>
        <x:v>1교육실</x:v>
      </x:c>
      <x:c r="AV9" s="65" t="str">
        <x:f>IF(OR(AV4&lt;0,AV4=AU4,ISERROR(INDEX(세부시간표!$A$3:$L$1183,9*AV4-8,11))),"",LEFT(INDEX(세부시간표!$A$3:$L$1183,9*AV4-8,11),4))</x:f>
        <x:v>1교육실</x:v>
      </x:c>
      <x:c r="AW9" s="65" t="str">
        <x:f>IF(OR(AW4&lt;0,AW4=AV4,ISERROR(INDEX(세부시간표!$A$3:$L$1183,9*AW4-8,11))),"",LEFT(INDEX(세부시간표!$A$3:$L$1183,9*AW4-8,11),4))</x:f>
        <x:v>1교육실</x:v>
      </x:c>
      <x:c r="AX9" s="65" t="str">
        <x:f>IF(OR(AX4&lt;0,AX4=AW4,ISERROR(INDEX(세부시간표!$A$3:$L$1183,9*AX4-8,11))),"",LEFT(INDEX(세부시간표!$A$3:$L$1183,9*AX4-8,11),4))</x:f>
        <x:v>1교육실</x:v>
      </x:c>
      <x:c r="AY9" s="65" t="str">
        <x:f>IF(OR(AY4&lt;0,AY4=AX4,ISERROR(INDEX(세부시간표!$A$3:$L$1183,9*AY4-8,11))),"",LEFT(INDEX(세부시간표!$A$3:$L$1183,9*AY4-8,11),4))</x:f>
        <x:v>1교육실</x:v>
      </x:c>
      <x:c r="AZ9" s="65" t="str">
        <x:f>IF(OR(AZ4&lt;0,AZ4=AY4,ISERROR(INDEX(세부시간표!$A$3:$L$1183,9*AZ4-8,11))),"",LEFT(INDEX(세부시간표!$A$3:$L$1183,9*AZ4-8,11),4))</x:f>
        <x:v>1교육실</x:v>
      </x:c>
      <x:c r="BA9" s="65" t="str">
        <x:f>IF(OR(BA4&lt;0,BA4=AZ4,ISERROR(INDEX(세부시간표!$A$3:$L$1183,9*BA4-8,11))),"",LEFT(INDEX(세부시간표!$A$3:$L$1183,9*BA4-8,11),4))</x:f>
        <x:v>1교육실</x:v>
      </x:c>
      <x:c r="BB9" s="65" t="str">
        <x:f>IF(OR(BB4&lt;0,BB4=BA4,ISERROR(INDEX(세부시간표!$A$3:$L$1183,9*BB4-8,11))),"",LEFT(INDEX(세부시간표!$A$3:$L$1183,9*BB4-8,11),4))</x:f>
        <x:v>1교육실</x:v>
      </x:c>
      <x:c r="BC9" s="65" t="str">
        <x:f>IF(OR(BC4&lt;0,BC4=BB4,ISERROR(INDEX(세부시간표!$A$3:$L$1183,9*BC4-8,11))),"",LEFT(INDEX(세부시간표!$A$3:$L$1183,9*BC4-8,11),4))</x:f>
        <x:v>1교육실</x:v>
      </x:c>
      <x:c r="BD9" s="65" t="str">
        <x:f>IF(OR(BD4&lt;0,BD4=BC4,ISERROR(INDEX(세부시간표!$A$3:$L$1183,9*BD4-8,11))),"",LEFT(INDEX(세부시간표!$A$3:$L$1183,9*BD4-8,11),4))</x:f>
        <x:v>1교육실</x:v>
      </x:c>
      <x:c r="BE9" s="65" t="str">
        <x:f>IF(OR(BE4&lt;0,BE4=BD4,ISERROR(INDEX(세부시간표!$A$3:$L$1183,9*BE4-8,11))),"",LEFT(INDEX(세부시간표!$A$3:$L$1183,9*BE4-8,11),4))</x:f>
        <x:v>1교육실</x:v>
      </x:c>
      <x:c r="BF9" s="65" t="str">
        <x:f>IF(OR(BF4&lt;0,BF4=BE4,ISERROR(INDEX(세부시간표!$A$3:$L$1183,9*BF4-8,11))),"",LEFT(INDEX(세부시간표!$A$3:$L$1183,9*BF4-8,11),4))</x:f>
        <x:v>1교육실</x:v>
      </x:c>
      <x:c r="BG9" s="65" t="str">
        <x:f>IF(OR(BG4&lt;0,BG4=BF4,ISERROR(INDEX(세부시간표!$A$3:$L$1183,9*BG4-8,11))),"",LEFT(INDEX(세부시간표!$A$3:$L$1183,9*BG4-8,11),4))</x:f>
        <x:v>1교육실</x:v>
      </x:c>
      <x:c r="BH9" s="65" t="str">
        <x:f>IF(OR(BH4&lt;0,BH4=BG4,ISERROR(INDEX(세부시간표!$A$3:$L$1183,9*BH4-8,11))),"",LEFT(INDEX(세부시간표!$A$3:$L$1183,9*BH4-8,11),4))</x:f>
        <x:v>1교육실</x:v>
      </x:c>
      <x:c r="BI9" s="65" t="str">
        <x:f>IF(OR(BI4&lt;0,BI4=BH4,ISERROR(INDEX(세부시간표!$A$3:$L$1183,9*BI4-8,11))),"",LEFT(INDEX(세부시간표!$A$3:$L$1183,9*BI4-8,11),4))</x:f>
        <x:v>1교육실</x:v>
      </x:c>
      <x:c r="BJ9" s="65" t="str">
        <x:f>IF(OR(BJ4&lt;0,BJ4=BI4,ISERROR(INDEX(세부시간표!$A$3:$L$1183,9*BJ4-8,11))),"",LEFT(INDEX(세부시간표!$A$3:$L$1183,9*BJ4-8,11),4))</x:f>
        <x:v>1교육실</x:v>
      </x:c>
      <x:c r="BK9" s="65" t="str">
        <x:f>IF(OR(BK4&lt;0,BK4=BJ4,ISERROR(INDEX(세부시간표!$A$3:$L$1183,9*BK4-8,11))),"",LEFT(INDEX(세부시간표!$A$3:$L$1183,9*BK4-8,11),4))</x:f>
        <x:v>1교육실</x:v>
      </x:c>
      <x:c r="BL9" s="65" t="str">
        <x:f>IF(OR(BL4&lt;0,BL4=BK4,ISERROR(INDEX(세부시간표!$A$3:$L$1183,9*BL4-8,11))),"",LEFT(INDEX(세부시간표!$A$3:$L$1183,9*BL4-8,11),4))</x:f>
        <x:v>1교육실</x:v>
      </x:c>
      <x:c r="BM9" s="65" t="str">
        <x:f>IF(OR(BM4&lt;0,BM4=BL4,ISERROR(INDEX(세부시간표!$A$3:$L$1183,9*BM4-8,11))),"",LEFT(INDEX(세부시간표!$A$3:$L$1183,9*BM4-8,11),4))</x:f>
        <x:v>1교육실</x:v>
      </x:c>
      <x:c r="BN9" s="65" t="str">
        <x:f>IF(OR(BN4&lt;0,BN4=BM4,ISERROR(INDEX(세부시간표!$A$3:$L$1183,9*BN4-8,11))),"",LEFT(INDEX(세부시간표!$A$3:$L$1183,9*BN4-8,11),4))</x:f>
        <x:v>1교육실</x:v>
      </x:c>
      <x:c r="BO9" s="65" t="str">
        <x:f>IF(OR(BO4&lt;0,BO4=BN4,ISERROR(INDEX(세부시간표!$A$3:$L$1183,9*BO4-8,11))),"",LEFT(INDEX(세부시간표!$A$3:$L$1183,9*BO4-8,11),4))</x:f>
        <x:v>1교육실</x:v>
      </x:c>
      <x:c r="BP9" s="65" t="str">
        <x:f>IF(OR(BP4&lt;0,BP4=BO4,ISERROR(INDEX(세부시간표!$A$3:$L$1183,9*BP4-8,11))),"",LEFT(INDEX(세부시간표!$A$3:$L$1183,9*BP4-8,11),4))</x:f>
        <x:v>1교육실</x:v>
      </x:c>
      <x:c r="BQ9" s="65" t="str">
        <x:f>IF(OR(BQ4&lt;0,BQ4=BP4,ISERROR(INDEX(세부시간표!$A$3:$L$1183,9*BQ4-8,11))),"",LEFT(INDEX(세부시간표!$A$3:$L$1183,9*BQ4-8,11),4))</x:f>
        <x:v>1교육실</x:v>
      </x:c>
      <x:c r="BR9" s="65" t="str">
        <x:f>IF(OR(BR4&lt;0,BR4=BQ4,ISERROR(INDEX(세부시간표!$A$3:$L$1183,9*BR4-8,11))),"",LEFT(INDEX(세부시간표!$A$3:$L$1183,9*BR4-8,11),4))</x:f>
        <x:v/>
      </x:c>
      <x:c r="BS9" s="65" t="str">
        <x:f>IF(OR(BS4&lt;0,BS4=BR4,ISERROR(INDEX(세부시간표!$A$3:$L$1183,9*BS4-8,11))),"",LEFT(INDEX(세부시간표!$A$3:$L$1183,9*BS4-8,11),4))</x:f>
        <x:v>1교육실</x:v>
      </x:c>
      <x:c r="BT9" s="65" t="str">
        <x:f>IF(OR(BT4&lt;0,BT4=BS4,ISERROR(INDEX(세부시간표!$A$3:$L$1183,9*BT4-8,11))),"",LEFT(INDEX(세부시간표!$A$3:$L$1183,9*BT4-8,11),4))</x:f>
        <x:v>1교육실</x:v>
      </x:c>
      <x:c r="BU9" s="65" t="str">
        <x:f>IF(OR(BU4&lt;0,BU4=BT4,ISERROR(INDEX(세부시간표!$A$3:$L$1183,9*BU4-8,11))),"",LEFT(INDEX(세부시간표!$A$3:$L$1183,9*BU4-8,11),4))</x:f>
        <x:v>1교육실</x:v>
      </x:c>
      <x:c r="BV9" s="65" t="str">
        <x:f>IF(OR(BV4&lt;0,BV4=BU4,ISERROR(INDEX(세부시간표!$A$3:$L$1183,9*BV4-8,11))),"",LEFT(INDEX(세부시간표!$A$3:$L$1183,9*BV4-8,11),4))</x:f>
        <x:v>1교육실</x:v>
      </x:c>
      <x:c r="BW9" s="65" t="str">
        <x:f>IF(OR(BW4&lt;0,BW4=BV4,ISERROR(INDEX(세부시간표!$A$3:$L$1183,9*BW4-8,11))),"",LEFT(INDEX(세부시간표!$A$3:$L$1183,9*BW4-8,11),4))</x:f>
        <x:v/>
      </x:c>
      <x:c r="BX9" s="65" t="str">
        <x:f>IF(OR(BX4&lt;0,BX4=BW4,ISERROR(INDEX(세부시간표!$A$3:$L$1183,9*BX4-8,11))),"",LEFT(INDEX(세부시간표!$A$3:$L$1183,9*BX4-8,11),4))</x:f>
        <x:v>1교육실</x:v>
      </x:c>
      <x:c r="BY9" s="65" t="str">
        <x:f>IF(OR(BY4&lt;0,BY4=BX4,ISERROR(INDEX(세부시간표!$A$3:$L$1183,9*BY4-8,11))),"",LEFT(INDEX(세부시간표!$A$3:$L$1183,9*BY4-8,11),4))</x:f>
        <x:v>1교육실</x:v>
      </x:c>
      <x:c r="BZ9" s="65" t="str">
        <x:f>IF(OR(BZ4&lt;0,BZ4=BY4,ISERROR(INDEX(세부시간표!$A$3:$L$1183,9*BZ4-8,11))),"",LEFT(INDEX(세부시간표!$A$3:$L$1183,9*BZ4-8,11),4))</x:f>
        <x:v>1교육실</x:v>
      </x:c>
      <x:c r="CA9" s="65" t="str">
        <x:f>IF(OR(CA4&lt;0,CA4=BZ4,ISERROR(INDEX(세부시간표!$A$3:$L$1183,9*CA4-8,11))),"",LEFT(INDEX(세부시간표!$A$3:$L$1183,9*CA4-8,11),4))</x:f>
        <x:v>1교육실</x:v>
      </x:c>
      <x:c r="CB9" s="65" t="str">
        <x:f>IF(OR(CB4&lt;0,CB4=CA4,ISERROR(INDEX(세부시간표!$A$3:$L$1183,9*CB4-8,11))),"",LEFT(INDEX(세부시간표!$A$3:$L$1183,9*CB4-8,11),4))</x:f>
        <x:v>1교육실</x:v>
      </x:c>
      <x:c r="CC9" s="65" t="str">
        <x:f>IF(OR(CC4&lt;0,CC4=CB4,ISERROR(INDEX(세부시간표!$A$3:$L$1183,9*CC4-8,11))),"",LEFT(INDEX(세부시간표!$A$3:$L$1183,9*CC4-8,11),4))</x:f>
        <x:v>1교육실</x:v>
      </x:c>
      <x:c r="CD9" s="65" t="str">
        <x:f>IF(OR(CD4&lt;0,CD4=CC4,ISERROR(INDEX(세부시간표!$A$3:$L$1183,9*CD4-8,11))),"",LEFT(INDEX(세부시간표!$A$3:$L$1183,9*CD4-8,11),4))</x:f>
        <x:v>1교육실</x:v>
      </x:c>
      <x:c r="CE9" s="65" t="str">
        <x:f>IF(OR(CE4&lt;0,CE4=CD4,ISERROR(INDEX(세부시간표!$A$3:$L$1183,9*CE4-8,11))),"",LEFT(INDEX(세부시간표!$A$3:$L$1183,9*CE4-8,11),4))</x:f>
        <x:v>1교육실</x:v>
      </x:c>
      <x:c r="CF9" s="65" t="str">
        <x:f>IF(OR(CF4&lt;0,CF4=CE4,ISERROR(INDEX(세부시간표!$A$3:$L$1183,9*CF4-8,11))),"",LEFT(INDEX(세부시간표!$A$3:$L$1183,9*CF4-8,11),4))</x:f>
        <x:v>1교육실</x:v>
      </x:c>
      <x:c r="CG9" s="65" t="str">
        <x:f>IF(OR(CG4&lt;0,CG4=CF4,ISERROR(INDEX(세부시간표!$A$3:$L$1183,9*CG4-8,11))),"",LEFT(INDEX(세부시간표!$A$3:$L$1183,9*CG4-8,11),4))</x:f>
        <x:v>1교육실</x:v>
      </x:c>
      <x:c r="CH9" s="65" t="str">
        <x:f>IF(OR(CH4&lt;0,CH4=CG4,ISERROR(INDEX(세부시간표!$A$3:$L$1183,9*CH4-8,11))),"",LEFT(INDEX(세부시간표!$A$3:$L$1183,9*CH4-8,11),4))</x:f>
        <x:v>1교육실</x:v>
      </x:c>
      <x:c r="CI9" s="65" t="str">
        <x:f>IF(OR(CI4&lt;0,CI4=CH4,ISERROR(INDEX(세부시간표!$A$3:$L$1183,9*CI4-8,11))),"",LEFT(INDEX(세부시간표!$A$3:$L$1183,9*CI4-8,11),4))</x:f>
        <x:v>1교육실</x:v>
      </x:c>
      <x:c r="CJ9" s="65" t="str">
        <x:f>IF(OR(CJ4&lt;0,CJ4=CI4,ISERROR(INDEX(세부시간표!$A$3:$L$1183,9*CJ4-8,11))),"",LEFT(INDEX(세부시간표!$A$3:$L$1183,9*CJ4-8,11),4))</x:f>
        <x:v>1교육실</x:v>
      </x:c>
      <x:c r="CK9" s="65" t="str">
        <x:f>IF(OR(CK4&lt;0,CK4=CJ4,ISERROR(INDEX(세부시간표!$A$3:$L$1183,9*CK4-8,11))),"",LEFT(INDEX(세부시간표!$A$3:$L$1183,9*CK4-8,11),4))</x:f>
        <x:v>1교육실</x:v>
      </x:c>
      <x:c r="CL9" s="65" t="str">
        <x:f>IF(OR(CL4&lt;0,CL4=CK4,ISERROR(INDEX(세부시간표!$A$3:$L$1183,9*CL4-8,11))),"",LEFT(INDEX(세부시간표!$A$3:$L$1183,9*CL4-8,11),4))</x:f>
        <x:v>1교육실</x:v>
      </x:c>
      <x:c r="CM9" s="65" t="str">
        <x:f>IF(OR(CM4&lt;0,CM4=CL4,ISERROR(INDEX(세부시간표!$A$3:$L$1183,9*CM4-8,11))),"",LEFT(INDEX(세부시간표!$A$3:$L$1183,9*CM4-8,11),4))</x:f>
        <x:v>1교육실</x:v>
      </x:c>
      <x:c r="CN9" s="65" t="str">
        <x:f>IF(OR(CN4&lt;0,CN4=CM4,ISERROR(INDEX(세부시간표!$A$3:$L$1183,9*CN4-8,11))),"",LEFT(INDEX(세부시간표!$A$3:$L$1183,9*CN4-8,11),4))</x:f>
        <x:v>1교육실</x:v>
      </x:c>
      <x:c r="CO9" s="65" t="str">
        <x:f>IF(OR(CO4&lt;0,CO4=CN4,ISERROR(INDEX(세부시간표!$A$3:$L$1183,9*CO4-8,11))),"",LEFT(INDEX(세부시간표!$A$3:$L$1183,9*CO4-8,11),4))</x:f>
        <x:v>1교육실</x:v>
      </x:c>
      <x:c r="CP9" s="65" t="str">
        <x:f>IF(OR(CP4&lt;0,CP4=CO4,ISERROR(INDEX(세부시간표!$A$3:$L$1183,9*CP4-8,11))),"",LEFT(INDEX(세부시간표!$A$3:$L$1183,9*CP4-8,11),4))</x:f>
        <x:v>1교육실</x:v>
      </x:c>
      <x:c r="CQ9" s="65" t="str">
        <x:f>IF(OR(CQ4&lt;0,CQ4=CP4,ISERROR(INDEX(세부시간표!$A$3:$L$1183,9*CQ4-8,11))),"",LEFT(INDEX(세부시간표!$A$3:$L$1183,9*CQ4-8,11),4))</x:f>
        <x:v>1교육실</x:v>
      </x:c>
      <x:c r="CR9" s="65" t="str">
        <x:f>IF(OR(CR4&lt;0,CR4=CQ4,ISERROR(INDEX(세부시간표!$A$3:$L$1183,9*CR4-8,11))),"",LEFT(INDEX(세부시간표!$A$3:$L$1183,9*CR4-8,11),4))</x:f>
        <x:v>1교육실</x:v>
      </x:c>
      <x:c r="CS9" s="65" t="str">
        <x:f>IF(OR(CS4&lt;0,CS4=CR4,ISERROR(INDEX(세부시간표!$A$3:$L$1183,9*CS4-8,11))),"",LEFT(INDEX(세부시간표!$A$3:$L$1183,9*CS4-8,11),4))</x:f>
        <x:v>1교육실</x:v>
      </x:c>
      <x:c r="CT9" s="65" t="str">
        <x:f>IF(OR(CT4&lt;0,CT4=CS4,ISERROR(INDEX(세부시간표!$A$3:$L$1183,9*CT4-8,11))),"",LEFT(INDEX(세부시간표!$A$3:$L$1183,9*CT4-8,11),4))</x:f>
        <x:v>1교육실</x:v>
      </x:c>
      <x:c r="CU9" s="65" t="str">
        <x:f>IF(OR(CU4&lt;0,CU4=CT4,ISERROR(INDEX(세부시간표!$A$3:$L$1183,9*CU4-8,11))),"",LEFT(INDEX(세부시간표!$A$3:$L$1183,9*CU4-8,11),4))</x:f>
        <x:v>1교육실</x:v>
      </x:c>
      <x:c r="CV9" s="65" t="str">
        <x:f>IF(OR(CV4&lt;0,CV4=CU4,ISERROR(INDEX(세부시간표!$A$3:$L$1183,9*CV4-8,11))),"",LEFT(INDEX(세부시간표!$A$3:$L$1183,9*CV4-8,11),4))</x:f>
        <x:v>1교육실</x:v>
      </x:c>
      <x:c r="CW9" s="65" t="str">
        <x:f>IF(OR(CW4&lt;0,CW4=CV4,ISERROR(INDEX(세부시간표!$A$3:$L$1183,9*CW4-8,11))),"",LEFT(INDEX(세부시간표!$A$3:$L$1183,9*CW4-8,11),4))</x:f>
        <x:v>1교육실</x:v>
      </x:c>
      <x:c r="CX9" s="65" t="str">
        <x:f>IF(OR(CX4&lt;0,CX4=CW4,ISERROR(INDEX(세부시간표!$A$3:$L$1183,9*CX4-8,11))),"",LEFT(INDEX(세부시간표!$A$3:$L$1183,9*CX4-8,11),4))</x:f>
        <x:v>1교육실</x:v>
      </x:c>
      <x:c r="CY9" s="65" t="str">
        <x:f>IF(OR(CY4&lt;0,CY4=CX4,ISERROR(INDEX(세부시간표!$A$3:$L$1183,9*CY4-8,11))),"",LEFT(INDEX(세부시간표!$A$3:$L$1183,9*CY4-8,11),4))</x:f>
        <x:v>1교육실</x:v>
      </x:c>
      <x:c r="CZ9" s="65" t="str">
        <x:f>IF(OR(CZ4&lt;0,CZ4=CY4,ISERROR(INDEX(세부시간표!$A$3:$L$1183,9*CZ4-8,11))),"",LEFT(INDEX(세부시간표!$A$3:$L$1183,9*CZ4-8,11),4))</x:f>
        <x:v>1교육실</x:v>
      </x:c>
      <x:c r="DA9" s="65" t="str">
        <x:f>IF(OR(DA4&lt;0,DA4=CZ4,ISERROR(INDEX(세부시간표!$A$3:$L$1183,9*DA4-8,11))),"",LEFT(INDEX(세부시간표!$A$3:$L$1183,9*DA4-8,11),4))</x:f>
        <x:v>1교육실</x:v>
      </x:c>
      <x:c r="DB9" s="65" t="str">
        <x:f>IF(OR(DB4&lt;0,DB4=DA4,ISERROR(INDEX(세부시간표!$A$3:$L$1183,9*DB4-8,11))),"",LEFT(INDEX(세부시간표!$A$3:$L$1183,9*DB4-8,11),4))</x:f>
        <x:v>1교육실</x:v>
      </x:c>
      <x:c r="DC9" s="65" t="str">
        <x:f>IF(OR(DC4&lt;0,DC4=DB4,ISERROR(INDEX(세부시간표!$A$3:$L$1183,9*DC4-8,11))),"",LEFT(INDEX(세부시간표!$A$3:$L$1183,9*DC4-8,11),4))</x:f>
        <x:v/>
      </x:c>
      <x:c r="DD9" s="65" t="str">
        <x:f>IF(OR(DD4&lt;0,DD4=DC4,ISERROR(INDEX(세부시간표!$A$3:$L$1183,9*DD4-8,11))),"",LEFT(INDEX(세부시간표!$A$3:$L$1183,9*DD4-8,11),4))</x:f>
        <x:v/>
      </x:c>
      <x:c r="DE9" s="65" t="str">
        <x:f>IF(OR(DE4&lt;0,DE4=DD4,ISERROR(INDEX(세부시간표!$A$3:$L$1183,9*DE4-8,11))),"",LEFT(INDEX(세부시간표!$A$3:$L$1183,9*DE4-8,11),4))</x:f>
        <x:v/>
      </x:c>
      <x:c r="DF9" s="65" t="str">
        <x:f>IF(OR(DF4&lt;0,DF4=DE4,ISERROR(INDEX(세부시간표!$A$3:$L$1183,9*DF4-8,11))),"",LEFT(INDEX(세부시간표!$A$3:$L$1183,9*DF4-8,11),4))</x:f>
        <x:v>1교육실</x:v>
      </x:c>
      <x:c r="DG9" s="65" t="str">
        <x:f>IF(OR(DG4&lt;0,DG4=DF4,ISERROR(INDEX(세부시간표!$A$3:$L$1183,9*DG4-8,11))),"",LEFT(INDEX(세부시간표!$A$3:$L$1183,9*DG4-8,11),4))</x:f>
        <x:v>1교육실</x:v>
      </x:c>
      <x:c r="DH9" s="65" t="str">
        <x:f>IF(OR(DH4&lt;0,DH4=DG4,ISERROR(INDEX(세부시간표!$A$3:$L$1183,9*DH4-8,11))),"",LEFT(INDEX(세부시간표!$A$3:$L$1183,9*DH4-8,11),4))</x:f>
        <x:v>1교육실</x:v>
      </x:c>
      <x:c r="DI9" s="65" t="str">
        <x:f>IF(OR(DI4&lt;0,DI4=DH4,ISERROR(INDEX(세부시간표!$A$3:$L$1183,9*DI4-8,11))),"",LEFT(INDEX(세부시간표!$A$3:$L$1183,9*DI4-8,11),4))</x:f>
        <x:v>1교육실</x:v>
      </x:c>
      <x:c r="DJ9" s="65" t="str">
        <x:f>IF(OR(DJ4&lt;0,DJ4=DI4,ISERROR(INDEX(세부시간표!$A$3:$L$1183,9*DJ4-8,11))),"",LEFT(INDEX(세부시간표!$A$3:$L$1183,9*DJ4-8,11),4))</x:f>
        <x:v>1교육실</x:v>
      </x:c>
      <x:c r="DK9" s="65" t="str">
        <x:f>IF(OR(DK4&lt;0,DK4=DJ4,ISERROR(INDEX(세부시간표!$A$3:$L$1183,9*DK4-8,11))),"",LEFT(INDEX(세부시간표!$A$3:$L$1183,9*DK4-8,11),4))</x:f>
        <x:v>1교육실</x:v>
      </x:c>
      <x:c r="DL9" s="65" t="str">
        <x:f>IF(OR(DL4&lt;0,DL4=DK4,ISERROR(INDEX(세부시간표!$A$3:$L$1183,9*DL4-8,11))),"",LEFT(INDEX(세부시간표!$A$3:$L$1183,9*DL4-8,11),4))</x:f>
        <x:v>1교육실</x:v>
      </x:c>
      <x:c r="DM9" s="65" t="str">
        <x:f>IF(OR(DM4&lt;0,DM4=DL4,ISERROR(INDEX(세부시간표!$A$3:$L$1183,9*DM4-8,11))),"",LEFT(INDEX(세부시간표!$A$3:$L$1183,9*DM4-8,11),4))</x:f>
        <x:v/>
      </x:c>
      <x:c r="DN9" s="65" t="str">
        <x:f>IF(OR(DN4&lt;0,DN4=DM4,ISERROR(INDEX(세부시간표!$A$3:$L$1183,9*DN4-8,11))),"",LEFT(INDEX(세부시간표!$A$3:$L$1183,9*DN4-8,11),4))</x:f>
        <x:v>1교육실</x:v>
      </x:c>
      <x:c r="DO9" s="65" t="str">
        <x:f>IF(OR(DO4&lt;0,DO4=DN4,ISERROR(INDEX(세부시간표!$A$3:$L$1183,9*DO4-8,11))),"",LEFT(INDEX(세부시간표!$A$3:$L$1183,9*DO4-8,11),4))</x:f>
        <x:v>1교육실</x:v>
      </x:c>
      <x:c r="DP9" s="65" t="str">
        <x:f>IF(OR(DP4&lt;0,DP4=DO4,ISERROR(INDEX(세부시간표!$A$3:$L$1183,9*DP4-8,11))),"",LEFT(INDEX(세부시간표!$A$3:$L$1183,9*DP4-8,11),4))</x:f>
        <x:v>1교육실</x:v>
      </x:c>
      <x:c r="DQ9" s="65" t="str">
        <x:f>IF(OR(DQ4&lt;0,DQ4=DP4,ISERROR(INDEX(세부시간표!$A$3:$L$1183,9*DQ4-8,11))),"",LEFT(INDEX(세부시간표!$A$3:$L$1183,9*DQ4-8,11),4))</x:f>
        <x:v>1교육실</x:v>
      </x:c>
      <x:c r="DR9" s="65" t="str">
        <x:f>IF(OR(DR4&lt;0,DR4=DQ4,ISERROR(INDEX(세부시간표!$A$3:$L$1183,9*DR4-8,11))),"",LEFT(INDEX(세부시간표!$A$3:$L$1183,9*DR4-8,11),4))</x:f>
        <x:v>1교육실</x:v>
      </x:c>
      <x:c r="DS9" s="65" t="str">
        <x:f>IF(OR(DS4&lt;0,DS4=DR4,ISERROR(INDEX(세부시간표!$A$3:$L$1183,9*DS4-8,11))),"",LEFT(INDEX(세부시간표!$A$3:$L$1183,9*DS4-8,11),4))</x:f>
        <x:v>1교육실</x:v>
      </x:c>
      <x:c r="DT9" s="65" t="str">
        <x:f>IF(OR(DT4&lt;0,DT4=DS4,ISERROR(INDEX(세부시간표!$A$3:$L$1183,9*DT4-8,11))),"",LEFT(INDEX(세부시간표!$A$3:$L$1183,9*DT4-8,11),4))</x:f>
        <x:v>1교육실</x:v>
      </x:c>
      <x:c r="DU9" s="65" t="str">
        <x:f>IF(OR(DU4&lt;0,DU4=DT4,ISERROR(INDEX(세부시간표!$A$3:$L$1183,9*DU4-8,11))),"",LEFT(INDEX(세부시간표!$A$3:$L$1183,9*DU4-8,11),4))</x:f>
        <x:v>1교육실</x:v>
      </x:c>
      <x:c r="DV9" s="65" t="str">
        <x:f>IF(OR(DV4&lt;0,DV4=DU4,ISERROR(INDEX(세부시간표!$A$3:$L$1183,9*DV4-8,11))),"",LEFT(INDEX(세부시간표!$A$3:$L$1183,9*DV4-8,11),4))</x:f>
        <x:v>1교육실</x:v>
      </x:c>
      <x:c r="DW9" s="65" t="str">
        <x:f>IF(OR(DW4&lt;0,DW4=DV4,ISERROR(INDEX(세부시간표!$A$3:$L$1183,9*DW4-8,11))),"",LEFT(INDEX(세부시간표!$A$3:$L$1183,9*DW4-8,11),4))</x:f>
        <x:v>1교육실</x:v>
      </x:c>
      <x:c r="DX9" s="65" t="str">
        <x:f>IF(OR(DX4&lt;0,DX4=DW4,ISERROR(INDEX(세부시간표!$A$3:$L$1183,9*DX4-8,11))),"",LEFT(INDEX(세부시간표!$A$3:$L$1183,9*DX4-8,11),4))</x:f>
        <x:v>1교육실</x:v>
      </x:c>
      <x:c r="DY9" s="65" t="str">
        <x:f>IF(OR(DY4&lt;0,DY4=DX4,ISERROR(INDEX(세부시간표!$A$3:$L$1183,9*DY4-8,11))),"",LEFT(INDEX(세부시간표!$A$3:$L$1183,9*DY4-8,11),4))</x:f>
        <x:v>1교육실</x:v>
      </x:c>
      <x:c r="DZ9" s="65" t="str">
        <x:f>IF(OR(DZ4&lt;0,DZ4=DY4,ISERROR(INDEX(세부시간표!$A$3:$L$1183,9*DZ4-8,11))),"",LEFT(INDEX(세부시간표!$A$3:$L$1183,9*DZ4-8,11),4))</x:f>
        <x:v>1교육실</x:v>
      </x:c>
      <x:c r="EA9" s="65" t="str">
        <x:f>IF(OR(EA4&lt;0,EA4=DZ4,ISERROR(INDEX(세부시간표!$A$3:$L$1183,9*EA4-8,11))),"",LEFT(INDEX(세부시간표!$A$3:$L$1183,9*EA4-8,11),4))</x:f>
        <x:v>1교육실</x:v>
      </x:c>
      <x:c r="EB9" s="65" t="str">
        <x:f>IF(OR(EB4&lt;0,EB4=EA4,ISERROR(INDEX(세부시간표!$A$3:$L$1183,9*EB4-8,11))),"",LEFT(INDEX(세부시간표!$A$3:$L$1183,9*EB4-8,11),4))</x:f>
        <x:v>1교육실</x:v>
      </x:c>
      <x:c r="EC9" s="65" t="str">
        <x:f>IF(OR(EC4&lt;0,EC4=EB4,ISERROR(INDEX(세부시간표!$A$3:$L$1183,9*EC4-8,11))),"",LEFT(INDEX(세부시간표!$A$3:$L$1183,9*EC4-8,11),4))</x:f>
        <x:v>1교육실</x:v>
      </x:c>
      <x:c r="ED9" s="65" t="str">
        <x:f>IF(OR(ED4&lt;0,ED4=EC4,ISERROR(INDEX(세부시간표!$A$3:$L$1183,9*ED4-8,11))),"",LEFT(INDEX(세부시간표!$A$3:$L$1183,9*ED4-8,11),4))</x:f>
        <x:v>1교육실</x:v>
      </x:c>
      <x:c r="EE9" s="65" t="str">
        <x:f>IF(OR(EE4&lt;0,EE4=ED4,ISERROR(INDEX(세부시간표!$A$3:$L$1183,9*EE4-8,11))),"",LEFT(INDEX(세부시간표!$A$3:$L$1183,9*EE4-8,11),4))</x:f>
        <x:v/>
      </x:c>
      <x:c r="EF9" s="65" t="str">
        <x:f>IF(OR(EF4&lt;0,EF4=EE4,ISERROR(INDEX(세부시간표!$A$3:$L$1183,9*EF4-8,11))),"",LEFT(INDEX(세부시간표!$A$3:$L$1183,9*EF4-8,11),4))</x:f>
        <x:v/>
      </x:c>
      <x:c r="EG9" s="65" t="str">
        <x:f>IF(OR(EG4&lt;0,EG4=EF4,ISERROR(INDEX(세부시간표!$A$3:$L$1183,9*EG4-8,11))),"",LEFT(INDEX(세부시간표!$A$3:$L$1183,9*EG4-8,11),4))</x:f>
        <x:v/>
      </x:c>
      <x:c r="EH9" s="65" t="str">
        <x:f>IF(OR(EH4&lt;0,EH4=EG4,ISERROR(INDEX(세부시간표!$A$3:$L$1183,9*EH4-8,11))),"",LEFT(INDEX(세부시간표!$A$3:$L$1183,9*EH4-8,11),4))</x:f>
        <x:v/>
      </x:c>
      <x:c r="EI9" s="65" t="str">
        <x:f>IF(OR(EI4&lt;0,EI4=EH4,ISERROR(INDEX(세부시간표!$A$3:$L$1183,9*EI4-8,11))),"",LEFT(INDEX(세부시간표!$A$3:$L$1183,9*EI4-8,11),4))</x:f>
        <x:v/>
      </x:c>
      <x:c r="EJ9" s="65" t="str">
        <x:f>IF(OR(EJ4&lt;0,EJ4=EI4,ISERROR(INDEX(세부시간표!$A$3:$L$1183,9*EJ4-8,11))),"",LEFT(INDEX(세부시간표!$A$3:$L$1183,9*EJ4-8,11),4))</x:f>
        <x:v/>
      </x:c>
      <x:c r="EK9" s="65" t="str">
        <x:f>IF(OR(EK4&lt;0,EK4=EJ4,ISERROR(INDEX(세부시간표!$A$3:$L$1183,9*EK4-8,11))),"",LEFT(INDEX(세부시간표!$A$3:$L$1183,9*EK4-8,11),4))</x:f>
        <x:v/>
      </x:c>
      <x:c r="EL9" s="49" t="str">
        <x:f>IF(OR(EL4&lt;0,EL4=EK4,ISERROR(INDEX(세부시간표!$A$3:$L$1183,9*EL4-8,11))),"",INDEX(세부시간표!$A$3:$L$1183,9*EL4-8,11))</x:f>
        <x:v/>
      </x:c>
      <x:c r="EM9" s="48" t="str">
        <x:f>IF(OR(EM4&lt;0,EM4=EL4,ISERROR(INDEX(세부시간표!$A$3:$L$1183,9*EM4-8,11))),"",INDEX(세부시간표!$A$3:$L$1183,9*EM4-8,11))</x:f>
        <x:v/>
      </x:c>
      <x:c r="EN9" s="48" t="str">
        <x:f>IF(OR(EN4&lt;0,EN4=EM4,ISERROR(INDEX(세부시간표!$A$3:$L$1183,9*EN4-8,11))),"",INDEX(세부시간표!$A$3:$L$1183,9*EN4-8,11))</x:f>
        <x:v/>
      </x:c>
      <x:c r="EO9" s="48" t="str">
        <x:f>IF(OR(EO4&lt;0,EO4=EN4,ISERROR(INDEX(세부시간표!$A$3:$L$1183,9*EO4-8,11))),"",INDEX(세부시간표!$A$3:$L$1183,9*EO4-8,11))</x:f>
        <x:v/>
      </x:c>
      <x:c r="EP9" s="50" t="str">
        <x:f>IF(OR(EP4&lt;0,EP4=EO4,ISERROR(INDEX(세부시간표!$A$3:$L$1183,9*EP4-8,11))),"",INDEX(세부시간표!$A$3:$L$1183,9*EP4-8,11))</x:f>
        <x:v/>
      </x:c>
    </x:row>
    <x:row r="10" spans="1:146" s="47" customFormat="1" ht="15" customHeight="1">
      <x:c r="A10" s="279"/>
      <x:c r="B10" s="66" t="str">
        <x:f>IF(OR(B4&lt;0,B4=A4,ISERROR(INDEX(세부시간표!$A$3:$L$1183,9*B4-8,12))),"",INDEX(세부시간표!$A$3:$L$1183,9*B4-8,12))</x:f>
        <x:v>양현수</x:v>
      </x:c>
      <x:c r="C10" s="66" t="str">
        <x:f>IF(OR(C4&lt;0,C4=B4,ISERROR(INDEX(세부시간표!$A$3:$L$1183,9*C4-8,12))),"",INDEX(세부시간표!$A$3:$L$1183,9*C4-8,12))</x:f>
        <x:v>양현수</x:v>
      </x:c>
      <x:c r="D10" s="66" t="str">
        <x:f>IF(OR(D4&lt;0,D4=C4,ISERROR(INDEX(세부시간표!$A$3:$L$1183,9*D4-8,12))),"",INDEX(세부시간표!$A$3:$L$1183,9*D4-8,12))</x:f>
        <x:v>양현수</x:v>
      </x:c>
      <x:c r="E10" s="66" t="str">
        <x:f>IF(OR(E4&lt;0,E4=D4,ISERROR(INDEX(세부시간표!$A$3:$L$1183,9*E4-8,12))),"",INDEX(세부시간표!$A$3:$L$1183,9*E4-8,12))</x:f>
        <x:v>양현수</x:v>
      </x:c>
      <x:c r="F10" s="66" t="str">
        <x:f>IF(OR(F4&lt;0,F4=E4,ISERROR(INDEX(세부시간표!$A$3:$L$1183,9*F4-8,12))),"",INDEX(세부시간표!$A$3:$L$1183,9*F4-8,12))</x:f>
        <x:v>양현수</x:v>
      </x:c>
      <x:c r="G10" s="66" t="str">
        <x:f>IF(OR(G4&lt;0,G4=F4,ISERROR(INDEX(세부시간표!$A$3:$L$1183,9*G4-8,12))),"",INDEX(세부시간표!$A$3:$L$1183,9*G4-8,12))</x:f>
        <x:v>양현수</x:v>
      </x:c>
      <x:c r="H10" s="66" t="str">
        <x:f>IF(OR(H4&lt;0,H4=G4,ISERROR(INDEX(세부시간표!$A$3:$L$1183,9*H4-8,12))),"",INDEX(세부시간표!$A$3:$L$1183,9*H4-8,12))</x:f>
        <x:v>양현수</x:v>
      </x:c>
      <x:c r="I10" s="66" t="str">
        <x:f>IF(OR(I4&lt;0,I4=H4,ISERROR(INDEX(세부시간표!$A$3:$L$1183,9*I4-8,12))),"",INDEX(세부시간표!$A$3:$L$1183,9*I4-8,12))</x:f>
        <x:v>양현수</x:v>
      </x:c>
      <x:c r="J10" s="66" t="str">
        <x:f>IF(OR(J4&lt;0,J4=I4,ISERROR(INDEX(세부시간표!$A$3:$L$1183,9*J4-8,12))),"",INDEX(세부시간표!$A$3:$L$1183,9*J4-8,12))</x:f>
        <x:v>양현수</x:v>
      </x:c>
      <x:c r="K10" s="66" t="str">
        <x:f>IF(OR(K4&lt;0,K4=J4,ISERROR(INDEX(세부시간표!$A$3:$L$1183,9*K4-8,12))),"",INDEX(세부시간표!$A$3:$L$1183,9*K4-8,12))</x:f>
        <x:v/>
      </x:c>
      <x:c r="L10" s="66" t="str">
        <x:f>IF(OR(L4&lt;0,L4=K4,ISERROR(INDEX(세부시간표!$A$3:$L$1183,9*L4-8,12))),"",INDEX(세부시간표!$A$3:$L$1183,9*L4-8,12))</x:f>
        <x:v/>
      </x:c>
      <x:c r="M10" s="66" t="str">
        <x:f>IF(OR(M4&lt;0,M4=L4,ISERROR(INDEX(세부시간표!$A$3:$L$1183,9*M4-8,12))),"",INDEX(세부시간표!$A$3:$L$1183,9*M4-8,12))</x:f>
        <x:v/>
      </x:c>
      <x:c r="N10" s="66" t="str">
        <x:f>IF(OR(N4&lt;0,N4=M4,ISERROR(INDEX(세부시간표!$A$3:$L$1183,9*N4-8,12))),"",INDEX(세부시간표!$A$3:$L$1183,9*N4-8,12))</x:f>
        <x:v/>
      </x:c>
      <x:c r="O10" s="66" t="str">
        <x:f>IF(OR(O4&lt;0,O4=N4,ISERROR(INDEX(세부시간표!$A$3:$L$1183,9*O4-8,12))),"",INDEX(세부시간표!$A$3:$L$1183,9*O4-8,12))</x:f>
        <x:v/>
      </x:c>
      <x:c r="P10" s="66" t="str">
        <x:f>IF(OR(P4&lt;0,P4=O4,ISERROR(INDEX(세부시간표!$A$3:$L$1183,9*P4-8,12))),"",INDEX(세부시간표!$A$3:$L$1183,9*P4-8,12))</x:f>
        <x:v>양현수</x:v>
      </x:c>
      <x:c r="Q10" s="66" t="str">
        <x:f>IF(OR(Q4&lt;0,Q4=P4,ISERROR(INDEX(세부시간표!$A$3:$L$1183,9*Q4-8,12))),"",INDEX(세부시간표!$A$3:$L$1183,9*Q4-8,12))</x:f>
        <x:v>양현수</x:v>
      </x:c>
      <x:c r="R10" s="66" t="str">
        <x:f>IF(OR(R4&lt;0,R4=Q4,ISERROR(INDEX(세부시간표!$A$3:$L$1183,9*R4-8,12))),"",INDEX(세부시간표!$A$3:$L$1183,9*R4-8,12))</x:f>
        <x:v>양현수</x:v>
      </x:c>
      <x:c r="S10" s="66" t="str">
        <x:f>IF(OR(S4&lt;0,S4=R4,ISERROR(INDEX(세부시간표!$A$3:$L$1183,9*S4-8,12))),"",INDEX(세부시간표!$A$3:$L$1183,9*S4-8,12))</x:f>
        <x:v>양현수</x:v>
      </x:c>
      <x:c r="T10" s="66" t="str">
        <x:f>IF(OR(T4&lt;0,T4=S4,ISERROR(INDEX(세부시간표!$A$3:$L$1183,9*T4-8,12))),"",INDEX(세부시간표!$A$3:$L$1183,9*T4-8,12))</x:f>
        <x:v>양현수</x:v>
      </x:c>
      <x:c r="U10" s="66" t="str">
        <x:f>IF(OR(U4&lt;0,U4=T4,ISERROR(INDEX(세부시간표!$A$3:$L$1183,9*U4-8,12))),"",INDEX(세부시간표!$A$3:$L$1183,9*U4-8,12))</x:f>
        <x:v>양현수</x:v>
      </x:c>
      <x:c r="V10" s="66" t="str">
        <x:f>IF(OR(V4&lt;0,V4=U4,ISERROR(INDEX(세부시간표!$A$3:$L$1183,9*V4-8,12))),"",INDEX(세부시간표!$A$3:$L$1183,9*V4-8,12))</x:f>
        <x:v>양현수</x:v>
      </x:c>
      <x:c r="W10" s="66" t="str">
        <x:f>IF(OR(W4&lt;0,W4=V4,ISERROR(INDEX(세부시간표!$A$3:$L$1183,9*W4-8,12))),"",INDEX(세부시간표!$A$3:$L$1183,9*W4-8,12))</x:f>
        <x:v>양현수</x:v>
      </x:c>
      <x:c r="X10" s="66" t="str">
        <x:f>IF(OR(X4&lt;0,X4=W4,ISERROR(INDEX(세부시간표!$A$3:$L$1183,9*X4-8,12))),"",INDEX(세부시간표!$A$3:$L$1183,9*X4-8,12))</x:f>
        <x:v>양현수</x:v>
      </x:c>
      <x:c r="Y10" s="66" t="str">
        <x:f>IF(OR(Y4&lt;0,Y4=X4,ISERROR(INDEX(세부시간표!$A$3:$L$1183,9*Y4-8,12))),"",INDEX(세부시간표!$A$3:$L$1183,9*Y4-8,12))</x:f>
        <x:v>양현수</x:v>
      </x:c>
      <x:c r="Z10" s="66" t="str">
        <x:f>IF(OR(Z4&lt;0,Z4=Y4,ISERROR(INDEX(세부시간표!$A$3:$L$1183,9*Z4-8,12))),"",INDEX(세부시간표!$A$3:$L$1183,9*Z4-8,12))</x:f>
        <x:v>양현수</x:v>
      </x:c>
      <x:c r="AA10" s="66" t="str">
        <x:f>IF(OR(AA4&lt;0,AA4=Z4,ISERROR(INDEX(세부시간표!$A$3:$L$1183,9*AA4-8,12))),"",INDEX(세부시간표!$A$3:$L$1183,9*AA4-8,12))</x:f>
        <x:v>양현수</x:v>
      </x:c>
      <x:c r="AB10" s="66" t="str">
        <x:f>IF(OR(AB4&lt;0,AB4=AA4,ISERROR(INDEX(세부시간표!$A$3:$L$1183,9*AB4-8,12))),"",INDEX(세부시간표!$A$3:$L$1183,9*AB4-8,12))</x:f>
        <x:v>양현수</x:v>
      </x:c>
      <x:c r="AC10" s="66" t="str">
        <x:f>IF(OR(AC4&lt;0,AC4=AB4,ISERROR(INDEX(세부시간표!$A$3:$L$1183,9*AC4-8,12))),"",INDEX(세부시간표!$A$3:$L$1183,9*AC4-8,12))</x:f>
        <x:v>양현수</x:v>
      </x:c>
      <x:c r="AD10" s="66" t="str">
        <x:f>IF(OR(AD4&lt;0,AD4=AC4,ISERROR(INDEX(세부시간표!$A$3:$L$1183,9*AD4-8,12))),"",INDEX(세부시간표!$A$3:$L$1183,9*AD4-8,12))</x:f>
        <x:v>양현수</x:v>
      </x:c>
      <x:c r="AE10" s="66" t="str">
        <x:f>IF(OR(AE4&lt;0,AE4=AD4,ISERROR(INDEX(세부시간표!$A$3:$L$1183,9*AE4-8,12))),"",INDEX(세부시간표!$A$3:$L$1183,9*AE4-8,12))</x:f>
        <x:v>양현수</x:v>
      </x:c>
      <x:c r="AF10" s="66" t="str">
        <x:f>IF(OR(AF4&lt;0,AF4=AE4,ISERROR(INDEX(세부시간표!$A$3:$L$1183,9*AF4-8,12))),"",INDEX(세부시간표!$A$3:$L$1183,9*AF4-8,12))</x:f>
        <x:v>양현수</x:v>
      </x:c>
      <x:c r="AG10" s="66" t="str">
        <x:f>IF(OR(AG4&lt;0,AG4=AF4,ISERROR(INDEX(세부시간표!$A$3:$L$1183,9*AG4-8,12))),"",INDEX(세부시간표!$A$3:$L$1183,9*AG4-8,12))</x:f>
        <x:v>양현수</x:v>
      </x:c>
      <x:c r="AH10" s="66" t="str">
        <x:f>IF(OR(AH4&lt;0,AH4=AG4,ISERROR(INDEX(세부시간표!$A$3:$L$1183,9*AH4-8,12))),"",INDEX(세부시간표!$A$3:$L$1183,9*AH4-8,12))</x:f>
        <x:v>양현수</x:v>
      </x:c>
      <x:c r="AI10" s="66" t="str">
        <x:f>IF(OR(AI4&lt;0,AI4=AH4,ISERROR(INDEX(세부시간표!$A$3:$L$1183,9*AI4-8,12))),"",INDEX(세부시간표!$A$3:$L$1183,9*AI4-8,12))</x:f>
        <x:v>양현수</x:v>
      </x:c>
      <x:c r="AJ10" s="66" t="str">
        <x:f>IF(OR(AJ4&lt;0,AJ4=AI4,ISERROR(INDEX(세부시간표!$A$3:$L$1183,9*AJ4-8,12))),"",INDEX(세부시간표!$A$3:$L$1183,9*AJ4-8,12))</x:f>
        <x:v>양현수</x:v>
      </x:c>
      <x:c r="AK10" s="66" t="str">
        <x:f>IF(OR(AK4&lt;0,AK4=AJ4,ISERROR(INDEX(세부시간표!$A$3:$L$1183,9*AK4-8,12))),"",INDEX(세부시간표!$A$3:$L$1183,9*AK4-8,12))</x:f>
        <x:v>양현수</x:v>
      </x:c>
      <x:c r="AL10" s="66" t="str">
        <x:f>IF(OR(AL4&lt;0,AL4=AK4,ISERROR(INDEX(세부시간표!$A$3:$L$1183,9*AL4-8,12))),"",INDEX(세부시간표!$A$3:$L$1183,9*AL4-8,12))</x:f>
        <x:v>양현수</x:v>
      </x:c>
      <x:c r="AM10" s="66" t="str">
        <x:f>IF(OR(AM4&lt;0,AM4=AL4,ISERROR(INDEX(세부시간표!$A$3:$L$1183,9*AM4-8,12))),"",INDEX(세부시간표!$A$3:$L$1183,9*AM4-8,12))</x:f>
        <x:v>양현수</x:v>
      </x:c>
      <x:c r="AN10" s="66" t="str">
        <x:f>IF(OR(AN4&lt;0,AN4=AM4,ISERROR(INDEX(세부시간표!$A$3:$L$1183,9*AN4-8,12))),"",INDEX(세부시간표!$A$3:$L$1183,9*AN4-8,12))</x:f>
        <x:v>양현수</x:v>
      </x:c>
      <x:c r="AO10" s="66" t="str">
        <x:f>IF(OR(AO4&lt;0,AO4=AN4,ISERROR(INDEX(세부시간표!$A$3:$L$1183,9*AO4-8,12))),"",INDEX(세부시간표!$A$3:$L$1183,9*AO4-8,12))</x:f>
        <x:v>양현수</x:v>
      </x:c>
      <x:c r="AP10" s="66" t="str">
        <x:f>IF(OR(AP4&lt;0,AP4=AO4,ISERROR(INDEX(세부시간표!$A$3:$L$1183,9*AP4-8,12))),"",INDEX(세부시간표!$A$3:$L$1183,9*AP4-8,12))</x:f>
        <x:v>양현수</x:v>
      </x:c>
      <x:c r="AQ10" s="66" t="str">
        <x:f>IF(OR(AQ4&lt;0,AQ4=AP4,ISERROR(INDEX(세부시간표!$A$3:$L$1183,9*AQ4-8,12))),"",INDEX(세부시간표!$A$3:$L$1183,9*AQ4-8,12))</x:f>
        <x:v>양현수</x:v>
      </x:c>
      <x:c r="AR10" s="66" t="str">
        <x:f>IF(OR(AR4&lt;0,AR4=AQ4,ISERROR(INDEX(세부시간표!$A$3:$L$1183,9*AR4-8,12))),"",INDEX(세부시간표!$A$3:$L$1183,9*AR4-8,12))</x:f>
        <x:v>양현수</x:v>
      </x:c>
      <x:c r="AS10" s="66" t="str">
        <x:f>IF(OR(AS4&lt;0,AS4=AR4,ISERROR(INDEX(세부시간표!$A$3:$L$1183,9*AS4-8,12))),"",INDEX(세부시간표!$A$3:$L$1183,9*AS4-8,12))</x:f>
        <x:v>양현수</x:v>
      </x:c>
      <x:c r="AT10" s="66" t="str">
        <x:f>IF(OR(AT4&lt;0,AT4=AS4,ISERROR(INDEX(세부시간표!$A$3:$L$1183,9*AT4-8,12))),"",INDEX(세부시간표!$A$3:$L$1183,9*AT4-8,12))</x:f>
        <x:v>양현수</x:v>
      </x:c>
      <x:c r="AU10" s="66" t="str">
        <x:f>IF(OR(AU4&lt;0,AU4=AT4,ISERROR(INDEX(세부시간표!$A$3:$L$1183,9*AU4-8,12))),"",INDEX(세부시간표!$A$3:$L$1183,9*AU4-8,12))</x:f>
        <x:v>양현수</x:v>
      </x:c>
      <x:c r="AV10" s="66" t="str">
        <x:f>IF(OR(AV4&lt;0,AV4=AU4,ISERROR(INDEX(세부시간표!$A$3:$L$1183,9*AV4-8,12))),"",INDEX(세부시간표!$A$3:$L$1183,9*AV4-8,12))</x:f>
        <x:v>양현수</x:v>
      </x:c>
      <x:c r="AW10" s="66" t="str">
        <x:f>IF(OR(AW4&lt;0,AW4=AV4,ISERROR(INDEX(세부시간표!$A$3:$L$1183,9*AW4-8,12))),"",INDEX(세부시간표!$A$3:$L$1183,9*AW4-8,12))</x:f>
        <x:v>양현수</x:v>
      </x:c>
      <x:c r="AX10" s="66" t="str">
        <x:f>IF(OR(AX4&lt;0,AX4=AW4,ISERROR(INDEX(세부시간표!$A$3:$L$1183,9*AX4-8,12))),"",INDEX(세부시간표!$A$3:$L$1183,9*AX4-8,12))</x:f>
        <x:v>양현수</x:v>
      </x:c>
      <x:c r="AY10" s="66" t="str">
        <x:f>IF(OR(AY4&lt;0,AY4=AX4,ISERROR(INDEX(세부시간표!$A$3:$L$1183,9*AY4-8,12))),"",INDEX(세부시간표!$A$3:$L$1183,9*AY4-8,12))</x:f>
        <x:v>양현수</x:v>
      </x:c>
      <x:c r="AZ10" s="66" t="str">
        <x:f>IF(OR(AZ4&lt;0,AZ4=AY4,ISERROR(INDEX(세부시간표!$A$3:$L$1183,9*AZ4-8,12))),"",INDEX(세부시간표!$A$3:$L$1183,9*AZ4-8,12))</x:f>
        <x:v>양현수</x:v>
      </x:c>
      <x:c r="BA10" s="66" t="str">
        <x:f>IF(OR(BA4&lt;0,BA4=AZ4,ISERROR(INDEX(세부시간표!$A$3:$L$1183,9*BA4-8,12))),"",INDEX(세부시간표!$A$3:$L$1183,9*BA4-8,12))</x:f>
        <x:v>양현수</x:v>
      </x:c>
      <x:c r="BB10" s="66" t="str">
        <x:f>IF(OR(BB4&lt;0,BB4=BA4,ISERROR(INDEX(세부시간표!$A$3:$L$1183,9*BB4-8,12))),"",INDEX(세부시간표!$A$3:$L$1183,9*BB4-8,12))</x:f>
        <x:v>양현수</x:v>
      </x:c>
      <x:c r="BC10" s="66" t="str">
        <x:f>IF(OR(BC4&lt;0,BC4=BB4,ISERROR(INDEX(세부시간표!$A$3:$L$1183,9*BC4-8,12))),"",INDEX(세부시간표!$A$3:$L$1183,9*BC4-8,12))</x:f>
        <x:v>양현수</x:v>
      </x:c>
      <x:c r="BD10" s="66" t="str">
        <x:f>IF(OR(BD4&lt;0,BD4=BC4,ISERROR(INDEX(세부시간표!$A$3:$L$1183,9*BD4-8,12))),"",INDEX(세부시간표!$A$3:$L$1183,9*BD4-8,12))</x:f>
        <x:v>양현수</x:v>
      </x:c>
      <x:c r="BE10" s="66" t="str">
        <x:f>IF(OR(BE4&lt;0,BE4=BD4,ISERROR(INDEX(세부시간표!$A$3:$L$1183,9*BE4-8,12))),"",INDEX(세부시간표!$A$3:$L$1183,9*BE4-8,12))</x:f>
        <x:v>양현수</x:v>
      </x:c>
      <x:c r="BF10" s="66" t="str">
        <x:f>IF(OR(BF4&lt;0,BF4=BE4,ISERROR(INDEX(세부시간표!$A$3:$L$1183,9*BF4-8,12))),"",INDEX(세부시간표!$A$3:$L$1183,9*BF4-8,12))</x:f>
        <x:v>양현수</x:v>
      </x:c>
      <x:c r="BG10" s="66" t="str">
        <x:f>IF(OR(BG4&lt;0,BG4=BF4,ISERROR(INDEX(세부시간표!$A$3:$L$1183,9*BG4-8,12))),"",INDEX(세부시간표!$A$3:$L$1183,9*BG4-8,12))</x:f>
        <x:v>양현수</x:v>
      </x:c>
      <x:c r="BH10" s="66" t="str">
        <x:f>IF(OR(BH4&lt;0,BH4=BG4,ISERROR(INDEX(세부시간표!$A$3:$L$1183,9*BH4-8,12))),"",INDEX(세부시간표!$A$3:$L$1183,9*BH4-8,12))</x:f>
        <x:v>양현수</x:v>
      </x:c>
      <x:c r="BI10" s="66" t="str">
        <x:f>IF(OR(BI4&lt;0,BI4=BH4,ISERROR(INDEX(세부시간표!$A$3:$L$1183,9*BI4-8,12))),"",INDEX(세부시간표!$A$3:$L$1183,9*BI4-8,12))</x:f>
        <x:v>양현수</x:v>
      </x:c>
      <x:c r="BJ10" s="66" t="str">
        <x:f>IF(OR(BJ4&lt;0,BJ4=BI4,ISERROR(INDEX(세부시간표!$A$3:$L$1183,9*BJ4-8,12))),"",INDEX(세부시간표!$A$3:$L$1183,9*BJ4-8,12))</x:f>
        <x:v>양현수</x:v>
      </x:c>
      <x:c r="BK10" s="66" t="str">
        <x:f>IF(OR(BK4&lt;0,BK4=BJ4,ISERROR(INDEX(세부시간표!$A$3:$L$1183,9*BK4-8,12))),"",INDEX(세부시간표!$A$3:$L$1183,9*BK4-8,12))</x:f>
        <x:v>양현수</x:v>
      </x:c>
      <x:c r="BL10" s="66" t="str">
        <x:f>IF(OR(BL4&lt;0,BL4=BK4,ISERROR(INDEX(세부시간표!$A$3:$L$1183,9*BL4-8,12))),"",INDEX(세부시간표!$A$3:$L$1183,9*BL4-8,12))</x:f>
        <x:v>양현수</x:v>
      </x:c>
      <x:c r="BM10" s="66" t="str">
        <x:f>IF(OR(BM4&lt;0,BM4=BL4,ISERROR(INDEX(세부시간표!$A$3:$L$1183,9*BM4-8,12))),"",INDEX(세부시간표!$A$3:$L$1183,9*BM4-8,12))</x:f>
        <x:v>양현수</x:v>
      </x:c>
      <x:c r="BN10" s="66" t="str">
        <x:f>IF(OR(BN4&lt;0,BN4=BM4,ISERROR(INDEX(세부시간표!$A$3:$L$1183,9*BN4-8,12))),"",INDEX(세부시간표!$A$3:$L$1183,9*BN4-8,12))</x:f>
        <x:v>양현수</x:v>
      </x:c>
      <x:c r="BO10" s="66" t="str">
        <x:f>IF(OR(BO4&lt;0,BO4=BN4,ISERROR(INDEX(세부시간표!$A$3:$L$1183,9*BO4-8,12))),"",INDEX(세부시간표!$A$3:$L$1183,9*BO4-8,12))</x:f>
        <x:v>양현수</x:v>
      </x:c>
      <x:c r="BP10" s="66" t="str">
        <x:f>IF(OR(BP4&lt;0,BP4=BO4,ISERROR(INDEX(세부시간표!$A$3:$L$1183,9*BP4-8,12))),"",INDEX(세부시간표!$A$3:$L$1183,9*BP4-8,12))</x:f>
        <x:v>양현수</x:v>
      </x:c>
      <x:c r="BQ10" s="66" t="str">
        <x:f>IF(OR(BQ4&lt;0,BQ4=BP4,ISERROR(INDEX(세부시간표!$A$3:$L$1183,9*BQ4-8,12))),"",INDEX(세부시간표!$A$3:$L$1183,9*BQ4-8,12))</x:f>
        <x:v>양현수</x:v>
      </x:c>
      <x:c r="BR10" s="66" t="str">
        <x:f>IF(OR(BR4&lt;0,BR4=BQ4,ISERROR(INDEX(세부시간표!$A$3:$L$1183,9*BR4-8,12))),"",INDEX(세부시간표!$A$3:$L$1183,9*BR4-8,12))</x:f>
        <x:v/>
      </x:c>
      <x:c r="BS10" s="66" t="str">
        <x:f>IF(OR(BS4&lt;0,BS4=BR4,ISERROR(INDEX(세부시간표!$A$3:$L$1183,9*BS4-8,12))),"",INDEX(세부시간표!$A$3:$L$1183,9*BS4-8,12))</x:f>
        <x:v>양현수</x:v>
      </x:c>
      <x:c r="BT10" s="66" t="str">
        <x:f>IF(OR(BT4&lt;0,BT4=BS4,ISERROR(INDEX(세부시간표!$A$3:$L$1183,9*BT4-8,12))),"",INDEX(세부시간표!$A$3:$L$1183,9*BT4-8,12))</x:f>
        <x:v>양현수</x:v>
      </x:c>
      <x:c r="BU10" s="66" t="str">
        <x:f>IF(OR(BU4&lt;0,BU4=BT4,ISERROR(INDEX(세부시간표!$A$3:$L$1183,9*BU4-8,12))),"",INDEX(세부시간표!$A$3:$L$1183,9*BU4-8,12))</x:f>
        <x:v>양현수</x:v>
      </x:c>
      <x:c r="BV10" s="66" t="str">
        <x:f>IF(OR(BV4&lt;0,BV4=BU4,ISERROR(INDEX(세부시간표!$A$3:$L$1183,9*BV4-8,12))),"",INDEX(세부시간표!$A$3:$L$1183,9*BV4-8,12))</x:f>
        <x:v>양현수</x:v>
      </x:c>
      <x:c r="BW10" s="66" t="str">
        <x:f>IF(OR(BW4&lt;0,BW4=BV4,ISERROR(INDEX(세부시간표!$A$3:$L$1183,9*BW4-8,12))),"",INDEX(세부시간표!$A$3:$L$1183,9*BW4-8,12))</x:f>
        <x:v/>
      </x:c>
      <x:c r="BX10" s="66" t="str">
        <x:f>IF(OR(BX4&lt;0,BX4=BW4,ISERROR(INDEX(세부시간표!$A$3:$L$1183,9*BX4-8,12))),"",INDEX(세부시간표!$A$3:$L$1183,9*BX4-8,12))</x:f>
        <x:v>양현수</x:v>
      </x:c>
      <x:c r="BY10" s="66" t="str">
        <x:f>IF(OR(BY4&lt;0,BY4=BX4,ISERROR(INDEX(세부시간표!$A$3:$L$1183,9*BY4-8,12))),"",INDEX(세부시간표!$A$3:$L$1183,9*BY4-8,12))</x:f>
        <x:v>양현수</x:v>
      </x:c>
      <x:c r="BZ10" s="66" t="str">
        <x:f>IF(OR(BZ4&lt;0,BZ4=BY4,ISERROR(INDEX(세부시간표!$A$3:$L$1183,9*BZ4-8,12))),"",INDEX(세부시간표!$A$3:$L$1183,9*BZ4-8,12))</x:f>
        <x:v>양현수</x:v>
      </x:c>
      <x:c r="CA10" s="66" t="str">
        <x:f>IF(OR(CA4&lt;0,CA4=BZ4,ISERROR(INDEX(세부시간표!$A$3:$L$1183,9*CA4-8,12))),"",INDEX(세부시간표!$A$3:$L$1183,9*CA4-8,12))</x:f>
        <x:v>양현수</x:v>
      </x:c>
      <x:c r="CB10" s="66" t="str">
        <x:f>IF(OR(CB4&lt;0,CB4=CA4,ISERROR(INDEX(세부시간표!$A$3:$L$1183,9*CB4-8,12))),"",INDEX(세부시간표!$A$3:$L$1183,9*CB4-8,12))</x:f>
        <x:v>양현수</x:v>
      </x:c>
      <x:c r="CC10" s="66" t="str">
        <x:f>IF(OR(CC4&lt;0,CC4=CB4,ISERROR(INDEX(세부시간표!$A$3:$L$1183,9*CC4-8,12))),"",INDEX(세부시간표!$A$3:$L$1183,9*CC4-8,12))</x:f>
        <x:v>양현수</x:v>
      </x:c>
      <x:c r="CD10" s="66" t="str">
        <x:f>IF(OR(CD4&lt;0,CD4=CC4,ISERROR(INDEX(세부시간표!$A$3:$L$1183,9*CD4-8,12))),"",INDEX(세부시간표!$A$3:$L$1183,9*CD4-8,12))</x:f>
        <x:v>양현수</x:v>
      </x:c>
      <x:c r="CE10" s="66" t="str">
        <x:f>IF(OR(CE4&lt;0,CE4=CD4,ISERROR(INDEX(세부시간표!$A$3:$L$1183,9*CE4-8,12))),"",INDEX(세부시간표!$A$3:$L$1183,9*CE4-8,12))</x:f>
        <x:v>양현수</x:v>
      </x:c>
      <x:c r="CF10" s="66" t="str">
        <x:f>IF(OR(CF4&lt;0,CF4=CE4,ISERROR(INDEX(세부시간표!$A$3:$L$1183,9*CF4-8,12))),"",INDEX(세부시간표!$A$3:$L$1183,9*CF4-8,12))</x:f>
        <x:v>양현수</x:v>
      </x:c>
      <x:c r="CG10" s="66" t="str">
        <x:f>IF(OR(CG4&lt;0,CG4=CF4,ISERROR(INDEX(세부시간표!$A$3:$L$1183,9*CG4-8,12))),"",INDEX(세부시간표!$A$3:$L$1183,9*CG4-8,12))</x:f>
        <x:v>양현수</x:v>
      </x:c>
      <x:c r="CH10" s="66" t="str">
        <x:f>IF(OR(CH4&lt;0,CH4=CG4,ISERROR(INDEX(세부시간표!$A$3:$L$1183,9*CH4-8,12))),"",INDEX(세부시간표!$A$3:$L$1183,9*CH4-8,12))</x:f>
        <x:v>양현수</x:v>
      </x:c>
      <x:c r="CI10" s="66" t="str">
        <x:f>IF(OR(CI4&lt;0,CI4=CH4,ISERROR(INDEX(세부시간표!$A$3:$L$1183,9*CI4-8,12))),"",INDEX(세부시간표!$A$3:$L$1183,9*CI4-8,12))</x:f>
        <x:v>양현수</x:v>
      </x:c>
      <x:c r="CJ10" s="66" t="str">
        <x:f>IF(OR(CJ4&lt;0,CJ4=CI4,ISERROR(INDEX(세부시간표!$A$3:$L$1183,9*CJ4-8,12))),"",INDEX(세부시간표!$A$3:$L$1183,9*CJ4-8,12))</x:f>
        <x:v>양현수</x:v>
      </x:c>
      <x:c r="CK10" s="66" t="str">
        <x:f>IF(OR(CK4&lt;0,CK4=CJ4,ISERROR(INDEX(세부시간표!$A$3:$L$1183,9*CK4-8,12))),"",INDEX(세부시간표!$A$3:$L$1183,9*CK4-8,12))</x:f>
        <x:v>양현수</x:v>
      </x:c>
      <x:c r="CL10" s="66" t="str">
        <x:f>IF(OR(CL4&lt;0,CL4=CK4,ISERROR(INDEX(세부시간표!$A$3:$L$1183,9*CL4-8,12))),"",INDEX(세부시간표!$A$3:$L$1183,9*CL4-8,12))</x:f>
        <x:v>양현수</x:v>
      </x:c>
      <x:c r="CM10" s="66" t="str">
        <x:f>IF(OR(CM4&lt;0,CM4=CL4,ISERROR(INDEX(세부시간표!$A$3:$L$1183,9*CM4-8,12))),"",INDEX(세부시간표!$A$3:$L$1183,9*CM4-8,12))</x:f>
        <x:v>양현수</x:v>
      </x:c>
      <x:c r="CN10" s="66" t="str">
        <x:f>IF(OR(CN4&lt;0,CN4=CM4,ISERROR(INDEX(세부시간표!$A$3:$L$1183,9*CN4-8,12))),"",INDEX(세부시간표!$A$3:$L$1183,9*CN4-8,12))</x:f>
        <x:v>양현수</x:v>
      </x:c>
      <x:c r="CO10" s="66" t="str">
        <x:f>IF(OR(CO4&lt;0,CO4=CN4,ISERROR(INDEX(세부시간표!$A$3:$L$1183,9*CO4-8,12))),"",INDEX(세부시간표!$A$3:$L$1183,9*CO4-8,12))</x:f>
        <x:v>양현수</x:v>
      </x:c>
      <x:c r="CP10" s="66" t="str">
        <x:f>IF(OR(CP4&lt;0,CP4=CO4,ISERROR(INDEX(세부시간표!$A$3:$L$1183,9*CP4-8,12))),"",INDEX(세부시간표!$A$3:$L$1183,9*CP4-8,12))</x:f>
        <x:v>양현수</x:v>
      </x:c>
      <x:c r="CQ10" s="66" t="str">
        <x:f>IF(OR(CQ4&lt;0,CQ4=CP4,ISERROR(INDEX(세부시간표!$A$3:$L$1183,9*CQ4-8,12))),"",INDEX(세부시간표!$A$3:$L$1183,9*CQ4-8,12))</x:f>
        <x:v>양현수</x:v>
      </x:c>
      <x:c r="CR10" s="66" t="str">
        <x:f>IF(OR(CR4&lt;0,CR4=CQ4,ISERROR(INDEX(세부시간표!$A$3:$L$1183,9*CR4-8,12))),"",INDEX(세부시간표!$A$3:$L$1183,9*CR4-8,12))</x:f>
        <x:v>양현수</x:v>
      </x:c>
      <x:c r="CS10" s="66" t="str">
        <x:f>IF(OR(CS4&lt;0,CS4=CR4,ISERROR(INDEX(세부시간표!$A$3:$L$1183,9*CS4-8,12))),"",INDEX(세부시간표!$A$3:$L$1183,9*CS4-8,12))</x:f>
        <x:v>양현수</x:v>
      </x:c>
      <x:c r="CT10" s="66" t="str">
        <x:f>IF(OR(CT4&lt;0,CT4=CS4,ISERROR(INDEX(세부시간표!$A$3:$L$1183,9*CT4-8,12))),"",INDEX(세부시간표!$A$3:$L$1183,9*CT4-8,12))</x:f>
        <x:v>양현수</x:v>
      </x:c>
      <x:c r="CU10" s="66" t="str">
        <x:f>IF(OR(CU4&lt;0,CU4=CT4,ISERROR(INDEX(세부시간표!$A$3:$L$1183,9*CU4-8,12))),"",INDEX(세부시간표!$A$3:$L$1183,9*CU4-8,12))</x:f>
        <x:v>양현수</x:v>
      </x:c>
      <x:c r="CV10" s="66" t="str">
        <x:f>IF(OR(CV4&lt;0,CV4=CU4,ISERROR(INDEX(세부시간표!$A$3:$L$1183,9*CV4-8,12))),"",INDEX(세부시간표!$A$3:$L$1183,9*CV4-8,12))</x:f>
        <x:v>양현수</x:v>
      </x:c>
      <x:c r="CW10" s="66" t="str">
        <x:f>IF(OR(CW4&lt;0,CW4=CV4,ISERROR(INDEX(세부시간표!$A$3:$L$1183,9*CW4-8,12))),"",INDEX(세부시간표!$A$3:$L$1183,9*CW4-8,12))</x:f>
        <x:v>양현수</x:v>
      </x:c>
      <x:c r="CX10" s="66" t="str">
        <x:f>IF(OR(CX4&lt;0,CX4=CW4,ISERROR(INDEX(세부시간표!$A$3:$L$1183,9*CX4-8,12))),"",INDEX(세부시간표!$A$3:$L$1183,9*CX4-8,12))</x:f>
        <x:v>양현수</x:v>
      </x:c>
      <x:c r="CY10" s="66" t="str">
        <x:f>IF(OR(CY4&lt;0,CY4=CX4,ISERROR(INDEX(세부시간표!$A$3:$L$1183,9*CY4-8,12))),"",INDEX(세부시간표!$A$3:$L$1183,9*CY4-8,12))</x:f>
        <x:v>양현수</x:v>
      </x:c>
      <x:c r="CZ10" s="66" t="str">
        <x:f>IF(OR(CZ4&lt;0,CZ4=CY4,ISERROR(INDEX(세부시간표!$A$3:$L$1183,9*CZ4-8,12))),"",INDEX(세부시간표!$A$3:$L$1183,9*CZ4-8,12))</x:f>
        <x:v>양현수</x:v>
      </x:c>
      <x:c r="DA10" s="66" t="str">
        <x:f>IF(OR(DA4&lt;0,DA4=CZ4,ISERROR(INDEX(세부시간표!$A$3:$L$1183,9*DA4-8,12))),"",INDEX(세부시간표!$A$3:$L$1183,9*DA4-8,12))</x:f>
        <x:v>양현수</x:v>
      </x:c>
      <x:c r="DB10" s="66" t="str">
        <x:f>IF(OR(DB4&lt;0,DB4=DA4,ISERROR(INDEX(세부시간표!$A$3:$L$1183,9*DB4-8,12))),"",INDEX(세부시간표!$A$3:$L$1183,9*DB4-8,12))</x:f>
        <x:v>양현수</x:v>
      </x:c>
      <x:c r="DC10" s="66" t="str">
        <x:f>IF(OR(DC4&lt;0,DC4=DB4,ISERROR(INDEX(세부시간표!$A$3:$L$1183,9*DC4-8,12))),"",INDEX(세부시간표!$A$3:$L$1183,9*DC4-8,12))</x:f>
        <x:v/>
      </x:c>
      <x:c r="DD10" s="66" t="str">
        <x:f>IF(OR(DD4&lt;0,DD4=DC4,ISERROR(INDEX(세부시간표!$A$3:$L$1183,9*DD4-8,12))),"",INDEX(세부시간표!$A$3:$L$1183,9*DD4-8,12))</x:f>
        <x:v/>
      </x:c>
      <x:c r="DE10" s="66" t="str">
        <x:f>IF(OR(DE4&lt;0,DE4=DD4,ISERROR(INDEX(세부시간표!$A$3:$L$1183,9*DE4-8,12))),"",INDEX(세부시간표!$A$3:$L$1183,9*DE4-8,12))</x:f>
        <x:v/>
      </x:c>
      <x:c r="DF10" s="66" t="str">
        <x:f>IF(OR(DF4&lt;0,DF4=DE4,ISERROR(INDEX(세부시간표!$A$3:$L$1183,9*DF4-8,12))),"",INDEX(세부시간표!$A$3:$L$1183,9*DF4-8,12))</x:f>
        <x:v>양현수</x:v>
      </x:c>
      <x:c r="DG10" s="66" t="str">
        <x:f>IF(OR(DG4&lt;0,DG4=DF4,ISERROR(INDEX(세부시간표!$A$3:$L$1183,9*DG4-8,12))),"",INDEX(세부시간표!$A$3:$L$1183,9*DG4-8,12))</x:f>
        <x:v>양현수</x:v>
      </x:c>
      <x:c r="DH10" s="66" t="str">
        <x:f>IF(OR(DH4&lt;0,DH4=DG4,ISERROR(INDEX(세부시간표!$A$3:$L$1183,9*DH4-8,12))),"",INDEX(세부시간표!$A$3:$L$1183,9*DH4-8,12))</x:f>
        <x:v>양현수</x:v>
      </x:c>
      <x:c r="DI10" s="66" t="str">
        <x:f>IF(OR(DI4&lt;0,DI4=DH4,ISERROR(INDEX(세부시간표!$A$3:$L$1183,9*DI4-8,12))),"",INDEX(세부시간표!$A$3:$L$1183,9*DI4-8,12))</x:f>
        <x:v>양현수</x:v>
      </x:c>
      <x:c r="DJ10" s="66" t="str">
        <x:f>IF(OR(DJ4&lt;0,DJ4=DI4,ISERROR(INDEX(세부시간표!$A$3:$L$1183,9*DJ4-8,12))),"",INDEX(세부시간표!$A$3:$L$1183,9*DJ4-8,12))</x:f>
        <x:v>양현수</x:v>
      </x:c>
      <x:c r="DK10" s="66" t="str">
        <x:f>IF(OR(DK4&lt;0,DK4=DJ4,ISERROR(INDEX(세부시간표!$A$3:$L$1183,9*DK4-8,12))),"",INDEX(세부시간표!$A$3:$L$1183,9*DK4-8,12))</x:f>
        <x:v>양현수</x:v>
      </x:c>
      <x:c r="DL10" s="66" t="str">
        <x:f>IF(OR(DL4&lt;0,DL4=DK4,ISERROR(INDEX(세부시간표!$A$3:$L$1183,9*DL4-8,12))),"",INDEX(세부시간표!$A$3:$L$1183,9*DL4-8,12))</x:f>
        <x:v>양현수</x:v>
      </x:c>
      <x:c r="DM10" s="66" t="str">
        <x:f>IF(OR(DM4&lt;0,DM4=DL4,ISERROR(INDEX(세부시간표!$A$3:$L$1183,9*DM4-8,12))),"",INDEX(세부시간표!$A$3:$L$1183,9*DM4-8,12))</x:f>
        <x:v/>
      </x:c>
      <x:c r="DN10" s="66" t="str">
        <x:f>IF(OR(DN4&lt;0,DN4=DM4,ISERROR(INDEX(세부시간표!$A$3:$L$1183,9*DN4-8,12))),"",INDEX(세부시간표!$A$3:$L$1183,9*DN4-8,12))</x:f>
        <x:v>양현수</x:v>
      </x:c>
      <x:c r="DO10" s="66" t="str">
        <x:f>IF(OR(DO4&lt;0,DO4=DN4,ISERROR(INDEX(세부시간표!$A$3:$L$1183,9*DO4-8,12))),"",INDEX(세부시간표!$A$3:$L$1183,9*DO4-8,12))</x:f>
        <x:v>양현수</x:v>
      </x:c>
      <x:c r="DP10" s="66" t="str">
        <x:f>IF(OR(DP4&lt;0,DP4=DO4,ISERROR(INDEX(세부시간표!$A$3:$L$1183,9*DP4-8,12))),"",INDEX(세부시간표!$A$3:$L$1183,9*DP4-8,12))</x:f>
        <x:v>양현수</x:v>
      </x:c>
      <x:c r="DQ10" s="66" t="str">
        <x:f>IF(OR(DQ4&lt;0,DQ4=DP4,ISERROR(INDEX(세부시간표!$A$3:$L$1183,9*DQ4-8,12))),"",INDEX(세부시간표!$A$3:$L$1183,9*DQ4-8,12))</x:f>
        <x:v>양현수</x:v>
      </x:c>
      <x:c r="DR10" s="66" t="str">
        <x:f>IF(OR(DR4&lt;0,DR4=DQ4,ISERROR(INDEX(세부시간표!$A$3:$L$1183,9*DR4-8,12))),"",INDEX(세부시간표!$A$3:$L$1183,9*DR4-8,12))</x:f>
        <x:v>양현수</x:v>
      </x:c>
      <x:c r="DS10" s="66" t="str">
        <x:f>IF(OR(DS4&lt;0,DS4=DR4,ISERROR(INDEX(세부시간표!$A$3:$L$1183,9*DS4-8,12))),"",INDEX(세부시간표!$A$3:$L$1183,9*DS4-8,12))</x:f>
        <x:v>양현수</x:v>
      </x:c>
      <x:c r="DT10" s="66" t="str">
        <x:f>IF(OR(DT4&lt;0,DT4=DS4,ISERROR(INDEX(세부시간표!$A$3:$L$1183,9*DT4-8,12))),"",INDEX(세부시간표!$A$3:$L$1183,9*DT4-8,12))</x:f>
        <x:v>양현수</x:v>
      </x:c>
      <x:c r="DU10" s="66" t="str">
        <x:f>IF(OR(DU4&lt;0,DU4=DT4,ISERROR(INDEX(세부시간표!$A$3:$L$1183,9*DU4-8,12))),"",INDEX(세부시간표!$A$3:$L$1183,9*DU4-8,12))</x:f>
        <x:v>양현수</x:v>
      </x:c>
      <x:c r="DV10" s="66" t="str">
        <x:f>IF(OR(DV4&lt;0,DV4=DU4,ISERROR(INDEX(세부시간표!$A$3:$L$1183,9*DV4-8,12))),"",INDEX(세부시간표!$A$3:$L$1183,9*DV4-8,12))</x:f>
        <x:v>양현수</x:v>
      </x:c>
      <x:c r="DW10" s="66" t="str">
        <x:f>IF(OR(DW4&lt;0,DW4=DV4,ISERROR(INDEX(세부시간표!$A$3:$L$1183,9*DW4-8,12))),"",INDEX(세부시간표!$A$3:$L$1183,9*DW4-8,12))</x:f>
        <x:v>양현수</x:v>
      </x:c>
      <x:c r="DX10" s="66" t="str">
        <x:f>IF(OR(DX4&lt;0,DX4=DW4,ISERROR(INDEX(세부시간표!$A$3:$L$1183,9*DX4-8,12))),"",INDEX(세부시간표!$A$3:$L$1183,9*DX4-8,12))</x:f>
        <x:v>양현수</x:v>
      </x:c>
      <x:c r="DY10" s="66" t="str">
        <x:f>IF(OR(DY4&lt;0,DY4=DX4,ISERROR(INDEX(세부시간표!$A$3:$L$1183,9*DY4-8,12))),"",INDEX(세부시간표!$A$3:$L$1183,9*DY4-8,12))</x:f>
        <x:v>양현수</x:v>
      </x:c>
      <x:c r="DZ10" s="66" t="str">
        <x:f>IF(OR(DZ4&lt;0,DZ4=DY4,ISERROR(INDEX(세부시간표!$A$3:$L$1183,9*DZ4-8,12))),"",INDEX(세부시간표!$A$3:$L$1183,9*DZ4-8,12))</x:f>
        <x:v>양현수</x:v>
      </x:c>
      <x:c r="EA10" s="66" t="str">
        <x:f>IF(OR(EA4&lt;0,EA4=DZ4,ISERROR(INDEX(세부시간표!$A$3:$L$1183,9*EA4-8,12))),"",INDEX(세부시간표!$A$3:$L$1183,9*EA4-8,12))</x:f>
        <x:v>양현수</x:v>
      </x:c>
      <x:c r="EB10" s="66" t="str">
        <x:f>IF(OR(EB4&lt;0,EB4=EA4,ISERROR(INDEX(세부시간표!$A$3:$L$1183,9*EB4-8,12))),"",INDEX(세부시간표!$A$3:$L$1183,9*EB4-8,12))</x:f>
        <x:v>양현수</x:v>
      </x:c>
      <x:c r="EC10" s="66" t="str">
        <x:f>IF(OR(EC4&lt;0,EC4=EB4,ISERROR(INDEX(세부시간표!$A$3:$L$1183,9*EC4-8,12))),"",INDEX(세부시간표!$A$3:$L$1183,9*EC4-8,12))</x:f>
        <x:v>양현수</x:v>
      </x:c>
      <x:c r="ED10" s="66" t="str">
        <x:f>IF(OR(ED4&lt;0,ED4=EC4,ISERROR(INDEX(세부시간표!$A$3:$L$1183,9*ED4-8,12))),"",INDEX(세부시간표!$A$3:$L$1183,9*ED4-8,12))</x:f>
        <x:v>양현수</x:v>
      </x:c>
      <x:c r="EE10" s="66" t="str">
        <x:f>IF(OR(EE4&lt;0,EE4=ED4,ISERROR(INDEX(세부시간표!$A$3:$L$1183,9*EE4-8,12))),"",INDEX(세부시간표!$A$3:$L$1183,9*EE4-8,12))</x:f>
        <x:v/>
      </x:c>
      <x:c r="EF10" s="66" t="str">
        <x:f>IF(OR(EF4&lt;0,EF4=EE4,ISERROR(INDEX(세부시간표!$A$3:$L$1183,9*EF4-8,12))),"",INDEX(세부시간표!$A$3:$L$1183,9*EF4-8,12))</x:f>
        <x:v/>
      </x:c>
      <x:c r="EG10" s="66" t="str">
        <x:f>IF(OR(EG4&lt;0,EG4=EF4,ISERROR(INDEX(세부시간표!$A$3:$L$1183,9*EG4-8,12))),"",INDEX(세부시간표!$A$3:$L$1183,9*EG4-8,12))</x:f>
        <x:v/>
      </x:c>
      <x:c r="EH10" s="66" t="str">
        <x:f>IF(OR(EH4&lt;0,EH4=EG4,ISERROR(INDEX(세부시간표!$A$3:$L$1183,9*EH4-8,12))),"",INDEX(세부시간표!$A$3:$L$1183,9*EH4-8,12))</x:f>
        <x:v/>
      </x:c>
      <x:c r="EI10" s="66" t="str">
        <x:f>IF(OR(EI4&lt;0,EI4=EH4,ISERROR(INDEX(세부시간표!$A$3:$L$1183,9*EI4-8,12))),"",INDEX(세부시간표!$A$3:$L$1183,9*EI4-8,12))</x:f>
        <x:v/>
      </x:c>
      <x:c r="EJ10" s="66" t="str">
        <x:f>IF(OR(EJ4&lt;0,EJ4=EI4,ISERROR(INDEX(세부시간표!$A$3:$L$1183,9*EJ4-8,12))),"",INDEX(세부시간표!$A$3:$L$1183,9*EJ4-8,12))</x:f>
        <x:v/>
      </x:c>
      <x:c r="EK10" s="66" t="str">
        <x:f>IF(OR(EK4&lt;0,EK4=EJ4,ISERROR(INDEX(세부시간표!$A$3:$L$1183,9*EK4-8,12))),"",INDEX(세부시간표!$A$3:$L$1183,9*EK4-8,12))</x:f>
        <x:v/>
      </x:c>
      <x:c r="EL10" s="57" t="str">
        <x:f>IF(OR(EL4&lt;0,EL4=EK4,ISERROR(INDEX(세부시간표!$A$3:$L$1183,9*EL4-8,12))),"",INDEX(세부시간표!$A$3:$L$1183,9*EL4-8,12))</x:f>
        <x:v/>
      </x:c>
      <x:c r="EM10" s="55" t="str">
        <x:f>IF(OR(EM4&lt;0,EM4=EL4,ISERROR(INDEX(세부시간표!$A$3:$L$1183,9*EM4-8,12))),"",INDEX(세부시간표!$A$3:$L$1183,9*EM4-8,12))</x:f>
        <x:v/>
      </x:c>
      <x:c r="EN10" s="55" t="str">
        <x:f>IF(OR(EN4&lt;0,EN4=EM4,ISERROR(INDEX(세부시간표!$A$3:$L$1183,9*EN4-8,12))),"",INDEX(세부시간표!$A$3:$L$1183,9*EN4-8,12))</x:f>
        <x:v/>
      </x:c>
      <x:c r="EO10" s="55" t="str">
        <x:f>IF(OR(EO4&lt;0,EO4=EN4,ISERROR(INDEX(세부시간표!$A$3:$L$1183,9*EO4-8,12))),"",INDEX(세부시간표!$A$3:$L$1183,9*EO4-8,12))</x:f>
        <x:v/>
      </x:c>
      <x:c r="EP10" s="56" t="str">
        <x:f>IF(OR(EP4&lt;0,EP4=EO4,ISERROR(INDEX(세부시간표!$A$3:$L$1183,9*EP4-8,12))),"",INDEX(세부시간표!$A$3:$L$1183,9*EP4-8,12))</x:f>
        <x:v/>
      </x:c>
    </x:row>
    <x:row r="11" spans="1:146" s="86" customFormat="1" ht="15" customHeight="1">
      <x:c r="A11" s="277" t="s">
        <x:v>44</x:v>
      </x:c>
      <x:c r="B11" s="87" t="str">
        <x:f>IF(OR(B4&lt;0,B4=A4,ISERROR(INDEX(세부시간표!$A$3:LI$1183,9*B4-7,10))),"",INDEX(세부시간표!$A$3:LI$1183,9*B4-7,10))</x:f>
        <x:v>웹 애플리케이션 개발</x:v>
      </x:c>
      <x:c r="C11" s="87" t="str">
        <x:f>IF(OR(C4&lt;0,C4=B4,ISERROR(INDEX(세부시간표!$A$3:LJ$1183,9*C4-7,10))),"",INDEX(세부시간표!$A$3:LJ$1183,9*C4-7,10))</x:f>
        <x:v>웹 애플리케이션 개발</x:v>
      </x:c>
      <x:c r="D11" s="87" t="str">
        <x:f>IF(OR(D4&lt;0,D4=C4,ISERROR(INDEX(세부시간표!$A$3:LK$1183,9*D4-7,10))),"",INDEX(세부시간표!$A$3:LK$1183,9*D4-7,10))</x:f>
        <x:v>웹 애플리케이션 개발</x:v>
      </x:c>
      <x:c r="E11" s="87" t="str">
        <x:f>IF(OR(E4&lt;0,E4=D4,ISERROR(INDEX(세부시간표!$A$3:LL$1183,9*E4-7,10))),"",INDEX(세부시간표!$A$3:LL$1183,9*E4-7,10))</x:f>
        <x:v>웹 애플리케이션 개발</x:v>
      </x:c>
      <x:c r="F11" s="87" t="str">
        <x:f>IF(OR(F4&lt;0,F4=E4,ISERROR(INDEX(세부시간표!$A$3:LM$1183,9*F4-7,10))),"",INDEX(세부시간표!$A$3:LM$1183,9*F4-7,10))</x:f>
        <x:v>웹 애플리케이션 개발</x:v>
      </x:c>
      <x:c r="G11" s="87" t="str">
        <x:f>IF(OR(G4&lt;0,G4=F4,ISERROR(INDEX(세부시간표!$A$3:LN$1183,9*G4-7,10))),"",INDEX(세부시간표!$A$3:LN$1183,9*G4-7,10))</x:f>
        <x:v>웹 애플리케이션 개발</x:v>
      </x:c>
      <x:c r="H11" s="87" t="str">
        <x:f>IF(OR(H4&lt;0,H4=G4,ISERROR(INDEX(세부시간표!$A$3:LO$1183,9*H4-7,10))),"",INDEX(세부시간표!$A$3:LO$1183,9*H4-7,10))</x:f>
        <x:v>웹 애플리케이션 개발</x:v>
      </x:c>
      <x:c r="I11" s="87" t="str">
        <x:f>IF(OR(I4&lt;0,I4=H4,ISERROR(INDEX(세부시간표!$A$3:LP$1183,9*I4-7,10))),"",INDEX(세부시간표!$A$3:LP$1183,9*I4-7,10))</x:f>
        <x:v>웹 애플리케이션 개발</x:v>
      </x:c>
      <x:c r="J11" s="87" t="str">
        <x:f>IF(OR(J4&lt;0,J4=I4,ISERROR(INDEX(세부시간표!$A$3:LQ$1183,9*J4-7,10))),"",INDEX(세부시간표!$A$3:LQ$1183,9*J4-7,10))</x:f>
        <x:v>웹 애플리케이션 개발</x:v>
      </x:c>
      <x:c r="K11" s="87" t="str">
        <x:f>IF(OR(K4&lt;0,K4=J4,ISERROR(INDEX(세부시간표!$A$3:LR$1183,9*K4-7,10))),"",INDEX(세부시간표!$A$3:LR$1183,9*K4-7,10))</x:f>
        <x:v/>
      </x:c>
      <x:c r="L11" s="87" t="str">
        <x:f>IF(OR(L4&lt;0,L4=K4,ISERROR(INDEX(세부시간표!$A$3:LS$1183,9*L4-7,10))),"",INDEX(세부시간표!$A$3:LS$1183,9*L4-7,10))</x:f>
        <x:v/>
      </x:c>
      <x:c r="M11" s="87" t="str">
        <x:f>IF(OR(M4&lt;0,M4=L4,ISERROR(INDEX(세부시간표!$A$3:LT$1183,9*M4-7,10))),"",INDEX(세부시간표!$A$3:LT$1183,9*M4-7,10))</x:f>
        <x:v/>
      </x:c>
      <x:c r="N11" s="87" t="str">
        <x:f>IF(OR(N4&lt;0,N4=M4,ISERROR(INDEX(세부시간표!$A$3:LU$1183,9*N4-7,10))),"",INDEX(세부시간표!$A$3:LU$1183,9*N4-7,10))</x:f>
        <x:v/>
      </x:c>
      <x:c r="O11" s="87" t="str">
        <x:f>IF(OR(O4&lt;0,O4=N4,ISERROR(INDEX(세부시간표!$A$3:LV$1183,9*O4-7,10))),"",INDEX(세부시간표!$A$3:LV$1183,9*O4-7,10))</x:f>
        <x:v/>
      </x:c>
      <x:c r="P11" s="87" t="str">
        <x:f>IF(OR(P4&lt;0,P4=O4,ISERROR(INDEX(세부시간표!$A$3:LW$1183,9*P4-7,10))),"",INDEX(세부시간표!$A$3:LW$1183,9*P4-7,10))</x:f>
        <x:v>웹 애플리케이션 개발</x:v>
      </x:c>
      <x:c r="Q11" s="87" t="str">
        <x:f>IF(OR(Q4&lt;0,Q4=P4,ISERROR(INDEX(세부시간표!$A$3:LX$1183,9*Q4-7,10))),"",INDEX(세부시간표!$A$3:LX$1183,9*Q4-7,10))</x:f>
        <x:v>웹&amp;콘텐츠 서비스 개발</x:v>
      </x:c>
      <x:c r="R11" s="87" t="str">
        <x:f>IF(OR(R4&lt;0,R4=Q4,ISERROR(INDEX(세부시간표!$A$3:LY$1183,9*R4-7,10))),"",INDEX(세부시간표!$A$3:LY$1183,9*R4-7,10))</x:f>
        <x:v>웹&amp;콘텐츠 서비스 개발</x:v>
      </x:c>
      <x:c r="S11" s="87" t="str">
        <x:f>IF(OR(S4&lt;0,S4=R4,ISERROR(INDEX(세부시간표!$A$3:LZ$1183,9*S4-7,10))),"",INDEX(세부시간표!$A$3:LZ$1183,9*S4-7,10))</x:f>
        <x:v>웹&amp;콘텐츠 서비스 개발</x:v>
      </x:c>
      <x:c r="T11" s="87" t="str">
        <x:f>IF(OR(T4&lt;0,T4=S4,ISERROR(INDEX(세부시간표!$A$3:MA$1183,9*T4-7,10))),"",INDEX(세부시간표!$A$3:MA$1183,9*T4-7,10))</x:f>
        <x:v>웹&amp;콘텐츠 서비스 개발</x:v>
      </x:c>
      <x:c r="U11" s="87" t="str">
        <x:f>IF(OR(U4&lt;0,U4=T4,ISERROR(INDEX(세부시간표!$A$3:MB$1183,9*U4-7,10))),"",INDEX(세부시간표!$A$3:MB$1183,9*U4-7,10))</x:f>
        <x:v>웹&amp;콘텐츠 서비스 개발</x:v>
      </x:c>
      <x:c r="V11" s="87" t="str">
        <x:f>IF(OR(V4&lt;0,V4=U4,ISERROR(INDEX(세부시간표!$A$3:MC$1183,9*V4-7,10))),"",INDEX(세부시간표!$A$3:MC$1183,9*V4-7,10))</x:f>
        <x:v>SQL 및 데이터 모델링</x:v>
      </x:c>
      <x:c r="W11" s="87" t="str">
        <x:f>IF(OR(W4&lt;0,W4=V4,ISERROR(INDEX(세부시간표!$A$3:MD$1183,9*W4-7,10))),"",INDEX(세부시간표!$A$3:MD$1183,9*W4-7,10))</x:f>
        <x:v>SQL 및 데이터 모델링</x:v>
      </x:c>
      <x:c r="X11" s="87" t="str">
        <x:f>IF(OR(X4&lt;0,X4=W4,ISERROR(INDEX(세부시간표!$A$3:ME$1183,9*X4-7,10))),"",INDEX(세부시간표!$A$3:ME$1183,9*X4-7,10))</x:f>
        <x:v>SQL 및 데이터 모델링</x:v>
      </x:c>
      <x:c r="Y11" s="87" t="str">
        <x:f>IF(OR(Y4&lt;0,Y4=X4,ISERROR(INDEX(세부시간표!$A$3:MF$1183,9*Y4-7,10))),"",INDEX(세부시간표!$A$3:MF$1183,9*Y4-7,10))</x:f>
        <x:v>SQL 및 데이터 모델링</x:v>
      </x:c>
      <x:c r="Z11" s="87" t="str">
        <x:f>IF(OR(Z4&lt;0,Z4=Y4,ISERROR(INDEX(세부시간표!$A$3:MG$1183,9*Z4-7,10))),"",INDEX(세부시간표!$A$3:MG$1183,9*Z4-7,10))</x:f>
        <x:v>SQL 및 데이터 모델링</x:v>
      </x:c>
      <x:c r="AA11" s="87" t="str">
        <x:f>IF(OR(AA4&lt;0,AA4=Z4,ISERROR(INDEX(세부시간표!$A$3:MH$1183,9*AA4-7,10))),"",INDEX(세부시간표!$A$3:MH$1183,9*AA4-7,10))</x:f>
        <x:v>SQL 및 데이터 모델링</x:v>
      </x:c>
      <x:c r="AB11" s="87" t="str">
        <x:f>IF(OR(AB4&lt;0,AB4=AA4,ISERROR(INDEX(세부시간표!$A$3:MI$1183,9*AB4-7,10))),"",INDEX(세부시간표!$A$3:MI$1183,9*AB4-7,10))</x:f>
        <x:v>SQL 및 데이터 모델링</x:v>
      </x:c>
      <x:c r="AC11" s="87" t="str">
        <x:f>IF(OR(AC4&lt;0,AC4=AB4,ISERROR(INDEX(세부시간표!$A$3:MJ$1183,9*AC4-7,10))),"",INDEX(세부시간표!$A$3:MJ$1183,9*AC4-7,10))</x:f>
        <x:v>SQL 및 데이터 모델링</x:v>
      </x:c>
      <x:c r="AD11" s="87" t="str">
        <x:f>IF(OR(AD4&lt;0,AD4=AC4,ISERROR(INDEX(세부시간표!$A$3:MK$1183,9*AD4-7,10))),"",INDEX(세부시간표!$A$3:MK$1183,9*AD4-7,10))</x:f>
        <x:v>SQL 및 데이터 모델링</x:v>
      </x:c>
      <x:c r="AE11" s="87" t="str">
        <x:f>IF(OR(AE4&lt;0,AE4=AD4,ISERROR(INDEX(세부시간표!$A$3:ML$1183,9*AE4-7,10))),"",INDEX(세부시간표!$A$3:ML$1183,9*AE4-7,10))</x:f>
        <x:v>AI개발 기초</x:v>
      </x:c>
      <x:c r="AF11" s="87" t="str">
        <x:f>IF(OR(AF4&lt;0,AF4=AE4,ISERROR(INDEX(세부시간표!$A$3:MM$1183,9*AF4-7,10))),"",INDEX(세부시간표!$A$3:MM$1183,9*AF4-7,10))</x:f>
        <x:v>AI개발 기초</x:v>
      </x:c>
      <x:c r="AG11" s="87" t="str">
        <x:f>IF(OR(AG4&lt;0,AG4=AF4,ISERROR(INDEX(세부시간표!$A$3:MN$1183,9*AG4-7,10))),"",INDEX(세부시간표!$A$3:MN$1183,9*AG4-7,10))</x:f>
        <x:v>AI개발 기초</x:v>
      </x:c>
      <x:c r="AH11" s="87" t="str">
        <x:f>IF(OR(AH4&lt;0,AH4=AG4,ISERROR(INDEX(세부시간표!$A$3:MO$1183,9*AH4-7,10))),"",INDEX(세부시간표!$A$3:MO$1183,9*AH4-7,10))</x:f>
        <x:v>AI개발 기초</x:v>
      </x:c>
      <x:c r="AI11" s="87" t="str">
        <x:f>IF(OR(AI4&lt;0,AI4=AH4,ISERROR(INDEX(세부시간표!$A$3:MP$1183,9*AI4-7,10))),"",INDEX(세부시간표!$A$3:MP$1183,9*AI4-7,10))</x:f>
        <x:v>AI개발 기초</x:v>
      </x:c>
      <x:c r="AJ11" s="87" t="str">
        <x:f>IF(OR(AJ4&lt;0,AJ4=AI4,ISERROR(INDEX(세부시간표!$A$3:MQ$1183,9*AJ4-7,10))),"",INDEX(세부시간표!$A$3:MQ$1183,9*AJ4-7,10))</x:f>
        <x:v>AI개발 기초</x:v>
      </x:c>
      <x:c r="AK11" s="87" t="str">
        <x:f>IF(OR(AK4&lt;0,AK4=AJ4,ISERROR(INDEX(세부시간표!$A$3:MR$1183,9*AK4-7,10))),"",INDEX(세부시간표!$A$3:MR$1183,9*AK4-7,10))</x:f>
        <x:v>AI개발 기초</x:v>
      </x:c>
      <x:c r="AL11" s="87" t="str">
        <x:f>IF(OR(AL4&lt;0,AL4=AK4,ISERROR(INDEX(세부시간표!$A$3:MS$1183,9*AL4-7,10))),"",INDEX(세부시간표!$A$3:MS$1183,9*AL4-7,10))</x:f>
        <x:v>AI개발 기초</x:v>
      </x:c>
      <x:c r="AM11" s="87" t="str">
        <x:f>IF(OR(AM4&lt;0,AM4=AL4,ISERROR(INDEX(세부시간표!$A$3:MT$1183,9*AM4-7,10))),"",INDEX(세부시간표!$A$3:MT$1183,9*AM4-7,10))</x:f>
        <x:v>AI개발 기초</x:v>
      </x:c>
      <x:c r="AN11" s="87" t="str">
        <x:f>IF(OR(AN4&lt;0,AN4=AM4,ISERROR(INDEX(세부시간표!$A$3:MU$1183,9*AN4-7,10))),"",INDEX(세부시간표!$A$3:MU$1183,9*AN4-7,10))</x:f>
        <x:v>AI개발 기초</x:v>
      </x:c>
      <x:c r="AO11" s="87" t="str">
        <x:f>IF(OR(AO4&lt;0,AO4=AN4,ISERROR(INDEX(세부시간표!$A$3:MV$1183,9*AO4-7,10))),"",INDEX(세부시간표!$A$3:MV$1183,9*AO4-7,10))</x:f>
        <x:v>AI개발 기초</x:v>
      </x:c>
      <x:c r="AP11" s="87" t="str">
        <x:f>IF(OR(AP4&lt;0,AP4=AO4,ISERROR(INDEX(세부시간표!$A$3:MW$1183,9*AP4-7,10))),"",INDEX(세부시간표!$A$3:MW$1183,9*AP4-7,10))</x:f>
        <x:v>AI개발 기초</x:v>
      </x:c>
      <x:c r="AQ11" s="87" t="str">
        <x:f>IF(OR(AQ4&lt;0,AQ4=AP4,ISERROR(INDEX(세부시간표!$A$3:MX$1183,9*AQ4-7,10))),"",INDEX(세부시간표!$A$3:MX$1183,9*AQ4-7,10))</x:f>
        <x:v>AI개발 기초</x:v>
      </x:c>
      <x:c r="AR11" s="87" t="str">
        <x:f>IF(OR(AR4&lt;0,AR4=AQ4,ISERROR(INDEX(세부시간표!$A$3:MY$1183,9*AR4-7,10))),"",INDEX(세부시간표!$A$3:MY$1183,9*AR4-7,10))</x:f>
        <x:v>인공지능 프로그래밍</x:v>
      </x:c>
      <x:c r="AS11" s="87" t="str">
        <x:f>IF(OR(AS4&lt;0,AS4=AR4,ISERROR(INDEX(세부시간표!$A$3:MZ$1183,9*AS4-7,10))),"",INDEX(세부시간표!$A$3:MZ$1183,9*AS4-7,10))</x:f>
        <x:v>인공지능 프로그래밍</x:v>
      </x:c>
      <x:c r="AT11" s="87" t="str">
        <x:f>IF(OR(AT4&lt;0,AT4=AS4,ISERROR(INDEX(세부시간표!$A$3:NA$1183,9*AT4-7,10))),"",INDEX(세부시간표!$A$3:NA$1183,9*AT4-7,10))</x:f>
        <x:v>인공지능 프로그래밍</x:v>
      </x:c>
      <x:c r="AU11" s="87" t="str">
        <x:f>IF(OR(AU4&lt;0,AU4=AT4,ISERROR(INDEX(세부시간표!$A$3:NB$1183,9*AU4-7,10))),"",INDEX(세부시간표!$A$3:NB$1183,9*AU4-7,10))</x:f>
        <x:v>인공지능 프로그래밍</x:v>
      </x:c>
      <x:c r="AV11" s="87" t="str">
        <x:f>IF(OR(AV4&lt;0,AV4=AU4,ISERROR(INDEX(세부시간표!$A$3:NC$1183,9*AV4-7,10))),"",INDEX(세부시간표!$A$3:NC$1183,9*AV4-7,10))</x:f>
        <x:v>인공지능 프로그래밍</x:v>
      </x:c>
      <x:c r="AW11" s="87" t="str">
        <x:f>IF(OR(AW4&lt;0,AW4=AV4,ISERROR(INDEX(세부시간표!$A$3:ND$1183,9*AW4-7,10))),"",INDEX(세부시간표!$A$3:ND$1183,9*AW4-7,10))</x:f>
        <x:v>인공지능 프로그래밍</x:v>
      </x:c>
      <x:c r="AX11" s="87" t="str">
        <x:f>IF(OR(AX4&lt;0,AX4=AW4,ISERROR(INDEX(세부시간표!$A$3:NE$1183,9*AX4-7,10))),"",INDEX(세부시간표!$A$3:NE$1183,9*AX4-7,10))</x:f>
        <x:v>인공지능 프로그래밍</x:v>
      </x:c>
      <x:c r="AY11" s="87" t="str">
        <x:f>IF(OR(AY4&lt;0,AY4=AX4,ISERROR(INDEX(세부시간표!$A$3:NF$1183,9*AY4-7,10))),"",INDEX(세부시간표!$A$3:NF$1183,9*AY4-7,10))</x:f>
        <x:v>인공지능 프로그래밍</x:v>
      </x:c>
      <x:c r="AZ11" s="87" t="str">
        <x:f>IF(OR(AZ4&lt;0,AZ4=AY4,ISERROR(INDEX(세부시간표!$A$3:NG$1183,9*AZ4-7,10))),"",INDEX(세부시간표!$A$3:NG$1183,9*AZ4-7,10))</x:f>
        <x:v>인공지능 프로그래밍</x:v>
      </x:c>
      <x:c r="BA11" s="87" t="str">
        <x:f>IF(OR(BA4&lt;0,BA4=AZ4,ISERROR(INDEX(세부시간표!$A$3:NH$1183,9*BA4-7,10))),"",INDEX(세부시간표!$A$3:NH$1183,9*BA4-7,10))</x:f>
        <x:v>인공지능 프로그래밍</x:v>
      </x:c>
      <x:c r="BB11" s="87" t="str">
        <x:f>IF(OR(BB4&lt;0,BB4=BA4,ISERROR(INDEX(세부시간표!$A$3:NI$1183,9*BB4-7,10))),"",INDEX(세부시간표!$A$3:NI$1183,9*BB4-7,10))</x:f>
        <x:v>인공지능 프로그래밍</x:v>
      </x:c>
      <x:c r="BC11" s="87" t="str">
        <x:f>IF(OR(BC4&lt;0,BC4=BB4,ISERROR(INDEX(세부시간표!$A$3:NJ$1183,9*BC4-7,10))),"",INDEX(세부시간표!$A$3:NJ$1183,9*BC4-7,10))</x:f>
        <x:v>인공지능 프로그래밍</x:v>
      </x:c>
      <x:c r="BD11" s="87" t="str">
        <x:f>IF(OR(BD4&lt;0,BD4=BC4,ISERROR(INDEX(세부시간표!$A$3:NK$1183,9*BD4-7,10))),"",INDEX(세부시간표!$A$3:NK$1183,9*BD4-7,10))</x:f>
        <x:v>인공지능 프로그래밍</x:v>
      </x:c>
      <x:c r="BE11" s="87" t="str">
        <x:f>IF(OR(BE4&lt;0,BE4=BD4,ISERROR(INDEX(세부시간표!$A$3:NL$1183,9*BE4-7,10))),"",INDEX(세부시간표!$A$3:NL$1183,9*BE4-7,10))</x:f>
        <x:v>인공지능 프로그래밍</x:v>
      </x:c>
      <x:c r="BF11" s="87" t="str">
        <x:f>IF(OR(BF4&lt;0,BF4=BE4,ISERROR(INDEX(세부시간표!$A$3:NM$1183,9*BF4-7,10))),"",INDEX(세부시간표!$A$3:NM$1183,9*BF4-7,10))</x:f>
        <x:v>인공지능 프로그래밍</x:v>
      </x:c>
      <x:c r="BG11" s="87" t="str">
        <x:f>IF(OR(BG4&lt;0,BG4=BF4,ISERROR(INDEX(세부시간표!$A$3:NN$1183,9*BG4-7,10))),"",INDEX(세부시간표!$A$3:NN$1183,9*BG4-7,10))</x:f>
        <x:v>인공지능 프로그래밍</x:v>
      </x:c>
      <x:c r="BH11" s="87" t="str">
        <x:f>IF(OR(BH4&lt;0,BH4=BG4,ISERROR(INDEX(세부시간표!$A$3:NO$1183,9*BH4-7,10))),"",INDEX(세부시간표!$A$3:NO$1183,9*BH4-7,10))</x:f>
        <x:v>Advanced 프로젝트</x:v>
      </x:c>
      <x:c r="BI11" s="87" t="str">
        <x:f>IF(OR(BI4&lt;0,BI4=BH4,ISERROR(INDEX(세부시간표!$A$3:NP$1183,9*BI4-7,10))),"",INDEX(세부시간표!$A$3:NP$1183,9*BI4-7,10))</x:f>
        <x:v>Advanced 프로젝트</x:v>
      </x:c>
      <x:c r="BJ11" s="87" t="str">
        <x:f>IF(OR(BJ4&lt;0,BJ4=BI4,ISERROR(INDEX(세부시간표!$A$3:NQ$1183,9*BJ4-7,10))),"",INDEX(세부시간표!$A$3:NQ$1183,9*BJ4-7,10))</x:f>
        <x:v>Advanced 프로젝트</x:v>
      </x:c>
      <x:c r="BK11" s="87" t="str">
        <x:f>IF(OR(BK4&lt;0,BK4=BJ4,ISERROR(INDEX(세부시간표!$A$3:NR$1183,9*BK4-7,10))),"",INDEX(세부시간표!$A$3:NR$1183,9*BK4-7,10))</x:f>
        <x:v>Advanced 프로젝트</x:v>
      </x:c>
      <x:c r="BL11" s="87" t="str">
        <x:f>IF(OR(BL4&lt;0,BL4=BK4,ISERROR(INDEX(세부시간표!$A$3:NS$1183,9*BL4-7,10))),"",INDEX(세부시간표!$A$3:NS$1183,9*BL4-7,10))</x:f>
        <x:v>Advanced 프로젝트</x:v>
      </x:c>
      <x:c r="BM11" s="87" t="str">
        <x:f>IF(OR(BM4&lt;0,BM4=BL4,ISERROR(INDEX(세부시간표!$A$3:NT$1183,9*BM4-7,10))),"",INDEX(세부시간표!$A$3:NT$1183,9*BM4-7,10))</x:f>
        <x:v>Advanced 프로젝트</x:v>
      </x:c>
      <x:c r="BN11" s="87" t="str">
        <x:f>IF(OR(BN4&lt;0,BN4=BM4,ISERROR(INDEX(세부시간표!$A$3:NU$1183,9*BN4-7,10))),"",INDEX(세부시간표!$A$3:NU$1183,9*BN4-7,10))</x:f>
        <x:v>Advanced 프로젝트</x:v>
      </x:c>
      <x:c r="BO11" s="87" t="str">
        <x:f>IF(OR(BO4&lt;0,BO4=BN4,ISERROR(INDEX(세부시간표!$A$3:NV$1183,9*BO4-7,10))),"",INDEX(세부시간표!$A$3:NV$1183,9*BO4-7,10))</x:f>
        <x:v>Advanced 프로젝트</x:v>
      </x:c>
      <x:c r="BP11" s="87" t="str">
        <x:f>IF(OR(BP4&lt;0,BP4=BO4,ISERROR(INDEX(세부시간표!$A$3:NW$1183,9*BP4-7,10))),"",INDEX(세부시간표!$A$3:NW$1183,9*BP4-7,10))</x:f>
        <x:v>Advanced 프로젝트</x:v>
      </x:c>
      <x:c r="BQ11" s="87" t="str">
        <x:f>IF(OR(BQ4&lt;0,BQ4=BP4,ISERROR(INDEX(세부시간표!$A$3:NX$1183,9*BQ4-7,10))),"",INDEX(세부시간표!$A$3:NX$1183,9*BQ4-7,10))</x:f>
        <x:v>Advanced 프로젝트</x:v>
      </x:c>
      <x:c r="BR11" s="87" t="str">
        <x:f>IF(OR(BR4&lt;0,BR4=BQ4,ISERROR(INDEX(세부시간표!$A$3:NY$1183,9*BR4-7,10))),"",INDEX(세부시간표!$A$3:NY$1183,9*BR4-7,10))</x:f>
        <x:v/>
      </x:c>
      <x:c r="BS11" s="87" t="str">
        <x:f>IF(OR(BS4&lt;0,BS4=BR4,ISERROR(INDEX(세부시간표!$A$3:NZ$1183,9*BS4-7,10))),"",INDEX(세부시간표!$A$3:NZ$1183,9*BS4-7,10))</x:f>
        <x:v>Advanced 프로젝트</x:v>
      </x:c>
      <x:c r="BT11" s="87" t="str">
        <x:f>IF(OR(BT4&lt;0,BT4=BS4,ISERROR(INDEX(세부시간표!$A$3:OA$1183,9*BT4-7,10))),"",INDEX(세부시간표!$A$3:OA$1183,9*BT4-7,10))</x:f>
        <x:v>Advanced 프로젝트</x:v>
      </x:c>
      <x:c r="BU11" s="87" t="str">
        <x:f>IF(OR(BU4&lt;0,BU4=BT4,ISERROR(INDEX(세부시간표!$A$3:OB$1183,9*BU4-7,10))),"",INDEX(세부시간표!$A$3:OB$1183,9*BU4-7,10))</x:f>
        <x:v>Advanced 프로젝트</x:v>
      </x:c>
      <x:c r="BV11" s="87" t="str">
        <x:f>IF(OR(BV4&lt;0,BV4=BU4,ISERROR(INDEX(세부시간표!$A$3:OC$1183,9*BV4-7,10))),"",INDEX(세부시간표!$A$3:OC$1183,9*BV4-7,10))</x:f>
        <x:v>빅데이터 분석 및 시각화</x:v>
      </x:c>
      <x:c r="BW11" s="87" t="str">
        <x:f>IF(OR(BW4&lt;0,BW4=BV4,ISERROR(INDEX(세부시간표!$A$3:OD$1183,9*BW4-7,10))),"",INDEX(세부시간표!$A$3:OD$1183,9*BW4-7,10))</x:f>
        <x:v/>
      </x:c>
      <x:c r="BX11" s="87" t="str">
        <x:f>IF(OR(BX4&lt;0,BX4=BW4,ISERROR(INDEX(세부시간표!$A$3:OE$1183,9*BX4-7,10))),"",INDEX(세부시간표!$A$3:OE$1183,9*BX4-7,10))</x:f>
        <x:v>빅데이터 분석 및 시각화</x:v>
      </x:c>
      <x:c r="BY11" s="87" t="str">
        <x:f>IF(OR(BY4&lt;0,BY4=BX4,ISERROR(INDEX(세부시간표!$A$3:OF$1183,9*BY4-7,10))),"",INDEX(세부시간표!$A$3:OF$1183,9*BY4-7,10))</x:f>
        <x:v>빅데이터 분석 및 시각화</x:v>
      </x:c>
      <x:c r="BZ11" s="87" t="str">
        <x:f>IF(OR(BZ4&lt;0,BZ4=BY4,ISERROR(INDEX(세부시간표!$A$3:OG$1183,9*BZ4-7,10))),"",INDEX(세부시간표!$A$3:OG$1183,9*BZ4-7,10))</x:f>
        <x:v>빅데이터 분석 및 시각화</x:v>
      </x:c>
      <x:c r="CA11" s="87" t="str">
        <x:f>IF(OR(CA4&lt;0,CA4=BZ4,ISERROR(INDEX(세부시간표!$A$3:OH$1183,9*CA4-7,10))),"",INDEX(세부시간표!$A$3:OH$1183,9*CA4-7,10))</x:f>
        <x:v>빅데이터 분석 및 시각화</x:v>
      </x:c>
      <x:c r="CB11" s="87" t="str">
        <x:f>IF(OR(CB4&lt;0,CB4=CA4,ISERROR(INDEX(세부시간표!$A$3:OI$1183,9*CB4-7,10))),"",INDEX(세부시간표!$A$3:OI$1183,9*CB4-7,10))</x:f>
        <x:v>빅데이터 시스템 구축</x:v>
      </x:c>
      <x:c r="CC11" s="87" t="str">
        <x:f>IF(OR(CC4&lt;0,CC4=CB4,ISERROR(INDEX(세부시간표!$A$3:OJ$1183,9*CC4-7,10))),"",INDEX(세부시간표!$A$3:OJ$1183,9*CC4-7,10))</x:f>
        <x:v>빅데이터 시스템 구축</x:v>
      </x:c>
      <x:c r="CD11" s="87" t="str">
        <x:f>IF(OR(CD4&lt;0,CD4=CC4,ISERROR(INDEX(세부시간표!$A$3:OK$1183,9*CD4-7,10))),"",INDEX(세부시간표!$A$3:OK$1183,9*CD4-7,10))</x:f>
        <x:v>빅데이터 시스템 구축</x:v>
      </x:c>
      <x:c r="CE11" s="87" t="str">
        <x:f>IF(OR(CE4&lt;0,CE4=CD4,ISERROR(INDEX(세부시간표!$A$3:OL$1183,9*CE4-7,10))),"",INDEX(세부시간표!$A$3:OL$1183,9*CE4-7,10))</x:f>
        <x:v>빅데이터 시스템 구축</x:v>
      </x:c>
      <x:c r="CF11" s="87" t="str">
        <x:f>IF(OR(CF4&lt;0,CF4=CE4,ISERROR(INDEX(세부시간표!$A$3:OM$1183,9*CF4-7,10))),"",INDEX(세부시간표!$A$3:OM$1183,9*CF4-7,10))</x:f>
        <x:v>빅데이터 시스템 구축</x:v>
      </x:c>
      <x:c r="CG11" s="87" t="str">
        <x:f>IF(OR(CG4&lt;0,CG4=CF4,ISERROR(INDEX(세부시간표!$A$3:ON$1183,9*CG4-7,10))),"",INDEX(세부시간표!$A$3:ON$1183,9*CG4-7,10))</x:f>
        <x:v>빅데이터 시스템 구축</x:v>
      </x:c>
      <x:c r="CH11" s="87" t="str">
        <x:f>IF(OR(CH4&lt;0,CH4=CG4,ISERROR(INDEX(세부시간표!$A$3:OO$1183,9*CH4-7,10))),"",INDEX(세부시간표!$A$3:OO$1183,9*CH4-7,10))</x:f>
        <x:v>빅데이터 시스템 구축</x:v>
      </x:c>
      <x:c r="CI11" s="87" t="str">
        <x:f>IF(OR(CI4&lt;0,CI4=CH4,ISERROR(INDEX(세부시간표!$A$3:OP$1183,9*CI4-7,10))),"",INDEX(세부시간표!$A$3:OP$1183,9*CI4-7,10))</x:f>
        <x:v>빅데이터 시스템 구축</x:v>
      </x:c>
      <x:c r="CJ11" s="87" t="str">
        <x:f>IF(OR(CJ4&lt;0,CJ4=CI4,ISERROR(INDEX(세부시간표!$A$3:OQ$1183,9*CJ4-7,10))),"",INDEX(세부시간표!$A$3:OQ$1183,9*CJ4-7,10))</x:f>
        <x:v>빅데이터 시스템 구축</x:v>
      </x:c>
      <x:c r="CK11" s="87" t="str">
        <x:f>IF(OR(CK4&lt;0,CK4=CJ4,ISERROR(INDEX(세부시간표!$A$3:OR$1183,9*CK4-7,10))),"",INDEX(세부시간표!$A$3:OR$1183,9*CK4-7,10))</x:f>
        <x:v>빅데이터 시스템 구축</x:v>
      </x:c>
      <x:c r="CL11" s="87" t="str">
        <x:f>IF(OR(CL4&lt;0,CL4=CK4,ISERROR(INDEX(세부시간표!$A$3:OS$1183,9*CL4-7,10))),"",INDEX(세부시간표!$A$3:OS$1183,9*CL4-7,10))</x:f>
        <x:v>빅데이터 플랫폼 개발</x:v>
      </x:c>
      <x:c r="CM11" s="87" t="str">
        <x:f>IF(OR(CM4&lt;0,CM4=CL4,ISERROR(INDEX(세부시간표!$A$3:OT$1183,9*CM4-7,10))),"",INDEX(세부시간표!$A$3:OT$1183,9*CM4-7,10))</x:f>
        <x:v>빅데이터 플랫폼 개발</x:v>
      </x:c>
      <x:c r="CN11" s="87" t="str">
        <x:f>IF(OR(CN4&lt;0,CN4=CM4,ISERROR(INDEX(세부시간표!$A$3:OU$1183,9*CN4-7,10))),"",INDEX(세부시간표!$A$3:OU$1183,9*CN4-7,10))</x:f>
        <x:v>빅데이터 플랫폼 개발</x:v>
      </x:c>
      <x:c r="CO11" s="87" t="str">
        <x:f>IF(OR(CO4&lt;0,CO4=CN4,ISERROR(INDEX(세부시간표!$A$3:OV$1183,9*CO4-7,10))),"",INDEX(세부시간표!$A$3:OV$1183,9*CO4-7,10))</x:f>
        <x:v>빅데이터 플랫폼 개발</x:v>
      </x:c>
      <x:c r="CP11" s="87" t="str">
        <x:f>IF(OR(CP4&lt;0,CP4=CO4,ISERROR(INDEX(세부시간표!$A$3:OW$1183,9*CP4-7,10))),"",INDEX(세부시간표!$A$3:OW$1183,9*CP4-7,10))</x:f>
        <x:v>빅데이터 플랫폼 개발</x:v>
      </x:c>
      <x:c r="CQ11" s="87" t="str">
        <x:f>IF(OR(CQ4&lt;0,CQ4=CP4,ISERROR(INDEX(세부시간표!$A$3:OX$1183,9*CQ4-7,10))),"",INDEX(세부시간표!$A$3:OX$1183,9*CQ4-7,10))</x:f>
        <x:v>빅데이터 플랫폼 개발</x:v>
      </x:c>
      <x:c r="CR11" s="87" t="str">
        <x:f>IF(OR(CR4&lt;0,CR4=CQ4,ISERROR(INDEX(세부시간표!$A$3:OY$1183,9*CR4-7,10))),"",INDEX(세부시간표!$A$3:OY$1183,9*CR4-7,10))</x:f>
        <x:v>빅데이터 플랫폼 개발</x:v>
      </x:c>
      <x:c r="CS11" s="87" t="str">
        <x:f>IF(OR(CS4&lt;0,CS4=CR4,ISERROR(INDEX(세부시간표!$A$3:OZ$1183,9*CS4-7,10))),"",INDEX(세부시간표!$A$3:OZ$1183,9*CS4-7,10))</x:f>
        <x:v>Final 프로젝트</x:v>
      </x:c>
      <x:c r="CT11" s="87" t="str">
        <x:f>IF(OR(CT4&lt;0,CT4=CS4,ISERROR(INDEX(세부시간표!$A$3:PA$1183,9*CT4-7,10))),"",INDEX(세부시간표!$A$3:PA$1183,9*CT4-7,10))</x:f>
        <x:v>Final 프로젝트</x:v>
      </x:c>
      <x:c r="CU11" s="87" t="str">
        <x:f>IF(OR(CU4&lt;0,CU4=CT4,ISERROR(INDEX(세부시간표!$A$3:PB$1183,9*CU4-7,10))),"",INDEX(세부시간표!$A$3:PB$1183,9*CU4-7,10))</x:f>
        <x:v>Final 프로젝트</x:v>
      </x:c>
      <x:c r="CV11" s="87" t="str">
        <x:f>IF(OR(CV4&lt;0,CV4=CU4,ISERROR(INDEX(세부시간표!$A$3:PC$1183,9*CV4-7,10))),"",INDEX(세부시간표!$A$3:PC$1183,9*CV4-7,10))</x:f>
        <x:v>Final 프로젝트</x:v>
      </x:c>
      <x:c r="CW11" s="87" t="str">
        <x:f>IF(OR(CW4&lt;0,CW4=CV4,ISERROR(INDEX(세부시간표!$A$3:PD$1183,9*CW4-7,10))),"",INDEX(세부시간표!$A$3:PD$1183,9*CW4-7,10))</x:f>
        <x:v>Final 프로젝트</x:v>
      </x:c>
      <x:c r="CX11" s="87" t="str">
        <x:f>IF(OR(CX4&lt;0,CX4=CW4,ISERROR(INDEX(세부시간표!$A$3:PE$1183,9*CX4-7,10))),"",INDEX(세부시간표!$A$3:PE$1183,9*CX4-7,10))</x:f>
        <x:v>Final 프로젝트</x:v>
      </x:c>
      <x:c r="CY11" s="87" t="str">
        <x:f>IF(OR(CY4&lt;0,CY4=CX4,ISERROR(INDEX(세부시간표!$A$3:PF$1183,9*CY4-7,10))),"",INDEX(세부시간표!$A$3:PF$1183,9*CY4-7,10))</x:f>
        <x:v>Final 프로젝트</x:v>
      </x:c>
      <x:c r="CZ11" s="87" t="str">
        <x:f>IF(OR(CZ4&lt;0,CZ4=CY4,ISERROR(INDEX(세부시간표!$A$3:PG$1183,9*CZ4-7,10))),"",INDEX(세부시간표!$A$3:PG$1183,9*CZ4-7,10))</x:f>
        <x:v>Final 프로젝트</x:v>
      </x:c>
      <x:c r="DA11" s="87" t="str">
        <x:f>IF(OR(DA4&lt;0,DA4=CZ4,ISERROR(INDEX(세부시간표!$A$3:PH$1183,9*DA4-7,10))),"",INDEX(세부시간표!$A$3:PH$1183,9*DA4-7,10))</x:f>
        <x:v>Final 프로젝트</x:v>
      </x:c>
      <x:c r="DB11" s="87" t="str">
        <x:f>IF(OR(DB4&lt;0,DB4=DA4,ISERROR(INDEX(세부시간표!$A$3:PI$1183,9*DB4-7,10))),"",INDEX(세부시간표!$A$3:PI$1183,9*DB4-7,10))</x:f>
        <x:v>Final 프로젝트</x:v>
      </x:c>
      <x:c r="DC11" s="87" t="str">
        <x:f>IF(OR(DC4&lt;0,DC4=DB4,ISERROR(INDEX(세부시간표!$A$3:PJ$1183,9*DC4-7,10))),"",INDEX(세부시간표!$A$3:PJ$1183,9*DC4-7,10))</x:f>
        <x:v/>
      </x:c>
      <x:c r="DD11" s="87" t="str">
        <x:f>IF(OR(DD4&lt;0,DD4=DC4,ISERROR(INDEX(세부시간표!$A$3:PK$1183,9*DD4-7,10))),"",INDEX(세부시간표!$A$3:PK$1183,9*DD4-7,10))</x:f>
        <x:v/>
      </x:c>
      <x:c r="DE11" s="87" t="str">
        <x:f>IF(OR(DE4&lt;0,DE4=DD4,ISERROR(INDEX(세부시간표!$A$3:PL$1183,9*DE4-7,10))),"",INDEX(세부시간표!$A$3:PL$1183,9*DE4-7,10))</x:f>
        <x:v/>
      </x:c>
      <x:c r="DF11" s="87" t="str">
        <x:f>IF(OR(DF4&lt;0,DF4=DE4,ISERROR(INDEX(세부시간표!$A$3:PM$1183,9*DF4-7,10))),"",INDEX(세부시간표!$A$3:PM$1183,9*DF4-7,10))</x:f>
        <x:v>Final 프로젝트</x:v>
      </x:c>
      <x:c r="DG11" s="87" t="str">
        <x:f>IF(OR(DG4&lt;0,DG4=DF4,ISERROR(INDEX(세부시간표!$A$3:PN$1183,9*DG4-7,10))),"",INDEX(세부시간표!$A$3:PN$1183,9*DG4-7,10))</x:f>
        <x:v>Final 프로젝트</x:v>
      </x:c>
      <x:c r="DH11" s="87" t="str">
        <x:f>IF(OR(DH4&lt;0,DH4=DG4,ISERROR(INDEX(세부시간표!$A$3:PO$1183,9*DH4-7,10))),"",INDEX(세부시간표!$A$3:PO$1183,9*DH4-7,10))</x:f>
        <x:v>Final 프로젝트</x:v>
      </x:c>
      <x:c r="DI11" s="87" t="str">
        <x:f>IF(OR(DI4&lt;0,DI4=DH4,ISERROR(INDEX(세부시간표!$A$3:PP$1183,9*DI4-7,10))),"",INDEX(세부시간표!$A$3:PP$1183,9*DI4-7,10))</x:f>
        <x:v>Final 프로젝트</x:v>
      </x:c>
      <x:c r="DJ11" s="87" t="str">
        <x:f>IF(OR(DJ4&lt;0,DJ4=DI4,ISERROR(INDEX(세부시간표!$A$3:PQ$1183,9*DJ4-7,10))),"",INDEX(세부시간표!$A$3:PQ$1183,9*DJ4-7,10))</x:f>
        <x:v>Final 프로젝트</x:v>
      </x:c>
      <x:c r="DK11" s="87" t="str">
        <x:f>IF(OR(DK4&lt;0,DK4=DJ4,ISERROR(INDEX(세부시간표!$A$3:PR$1183,9*DK4-7,10))),"",INDEX(세부시간표!$A$3:PR$1183,9*DK4-7,10))</x:f>
        <x:v>Final 프로젝트</x:v>
      </x:c>
      <x:c r="DL11" s="87" t="str">
        <x:f>IF(OR(DL4&lt;0,DL4=DK4,ISERROR(INDEX(세부시간표!$A$3:PS$1183,9*DL4-7,10))),"",INDEX(세부시간표!$A$3:PS$1183,9*DL4-7,10))</x:f>
        <x:v>Final 프로젝트</x:v>
      </x:c>
      <x:c r="DM11" s="87" t="str">
        <x:f>IF(OR(DM4&lt;0,DM4=DL4,ISERROR(INDEX(세부시간표!$A$3:PT$1183,9*DM4-7,10))),"",INDEX(세부시간표!$A$3:PT$1183,9*DM4-7,10))</x:f>
        <x:v/>
      </x:c>
      <x:c r="DN11" s="87" t="str">
        <x:f>IF(OR(DN4&lt;0,DN4=DM4,ISERROR(INDEX(세부시간표!$A$3:PU$1183,9*DN4-7,10))),"",INDEX(세부시간표!$A$3:PU$1183,9*DN4-7,10))</x:f>
        <x:v>Final 프로젝트</x:v>
      </x:c>
      <x:c r="DO11" s="87" t="str">
        <x:f>IF(OR(DO4&lt;0,DO4=DN4,ISERROR(INDEX(세부시간표!$A$3:PV$1183,9*DO4-7,10))),"",INDEX(세부시간표!$A$3:PV$1183,9*DO4-7,10))</x:f>
        <x:v>Final 프로젝트</x:v>
      </x:c>
      <x:c r="DP11" s="87" t="str">
        <x:f>IF(OR(DP4&lt;0,DP4=DO4,ISERROR(INDEX(세부시간표!$A$3:PW$1183,9*DP4-7,10))),"",INDEX(세부시간표!$A$3:PW$1183,9*DP4-7,10))</x:f>
        <x:v>Final 프로젝트</x:v>
      </x:c>
      <x:c r="DQ11" s="87" t="str">
        <x:f>IF(OR(DQ4&lt;0,DQ4=DP4,ISERROR(INDEX(세부시간표!$A$3:PX$1183,9*DQ4-7,10))),"",INDEX(세부시간표!$A$3:PX$1183,9*DQ4-7,10))</x:f>
        <x:v>Final 프로젝트</x:v>
      </x:c>
      <x:c r="DR11" s="87" t="str">
        <x:f>IF(OR(DR4&lt;0,DR4=DQ4,ISERROR(INDEX(세부시간표!$A$3:PY$1183,9*DR4-7,10))),"",INDEX(세부시간표!$A$3:PY$1183,9*DR4-7,10))</x:f>
        <x:v>Final 프로젝트</x:v>
      </x:c>
      <x:c r="DS11" s="87" t="str">
        <x:f>IF(OR(DS4&lt;0,DS4=DR4,ISERROR(INDEX(세부시간표!$A$3:PZ$1183,9*DS4-7,10))),"",INDEX(세부시간표!$A$3:PZ$1183,9*DS4-7,10))</x:f>
        <x:v>Final 프로젝트</x:v>
      </x:c>
      <x:c r="DT11" s="87" t="str">
        <x:f>IF(OR(DT4&lt;0,DT4=DS4,ISERROR(INDEX(세부시간표!$A$3:QA$1183,9*DT4-7,10))),"",INDEX(세부시간표!$A$3:QA$1183,9*DT4-7,10))</x:f>
        <x:v>Final 프로젝트</x:v>
      </x:c>
      <x:c r="DU11" s="87" t="str">
        <x:f>IF(OR(DU4&lt;0,DU4=DT4,ISERROR(INDEX(세부시간표!$A$3:QB$1183,9*DU4-7,10))),"",INDEX(세부시간표!$A$3:QB$1183,9*DU4-7,10))</x:f>
        <x:v>Final 프로젝트</x:v>
      </x:c>
      <x:c r="DV11" s="87" t="str">
        <x:f>IF(OR(DV4&lt;0,DV4=DU4,ISERROR(INDEX(세부시간표!$A$3:QC$1183,9*DV4-7,10))),"",INDEX(세부시간표!$A$3:QC$1183,9*DV4-7,10))</x:f>
        <x:v>Final 프로젝트</x:v>
      </x:c>
      <x:c r="DW11" s="87" t="str">
        <x:f>IF(OR(DW4&lt;0,DW4=DV4,ISERROR(INDEX(세부시간표!$A$3:QD$1183,9*DW4-7,10))),"",INDEX(세부시간표!$A$3:QD$1183,9*DW4-7,10))</x:f>
        <x:v>Final 프로젝트</x:v>
      </x:c>
      <x:c r="DX11" s="87" t="str">
        <x:f>IF(OR(DX4&lt;0,DX4=DW4,ISERROR(INDEX(세부시간표!$A$3:QE$1183,9*DX4-7,10))),"",INDEX(세부시간표!$A$3:QE$1183,9*DX4-7,10))</x:f>
        <x:v>Final 프로젝트</x:v>
      </x:c>
      <x:c r="DY11" s="87" t="str">
        <x:f>IF(OR(DY4&lt;0,DY4=DX4,ISERROR(INDEX(세부시간표!$A$3:QF$1183,9*DY4-7,10))),"",INDEX(세부시간표!$A$3:QF$1183,9*DY4-7,10))</x:f>
        <x:v>Final 프로젝트</x:v>
      </x:c>
      <x:c r="DZ11" s="87" t="str">
        <x:f>IF(OR(DZ4&lt;0,DZ4=DY4,ISERROR(INDEX(세부시간표!$A$3:QG$1183,9*DZ4-7,10))),"",INDEX(세부시간표!$A$3:QG$1183,9*DZ4-7,10))</x:f>
        <x:v>Final 프로젝트</x:v>
      </x:c>
      <x:c r="EA11" s="87" t="str">
        <x:f>IF(OR(EA4&lt;0,EA4=DZ4,ISERROR(INDEX(세부시간표!$A$3:QH$1183,9*EA4-7,10))),"",INDEX(세부시간표!$A$3:QH$1183,9*EA4-7,10))</x:f>
        <x:v>Final 프로젝트</x:v>
      </x:c>
      <x:c r="EB11" s="87" t="str">
        <x:f>IF(OR(EB4&lt;0,EB4=EA4,ISERROR(INDEX(세부시간표!$A$3:QI$1183,9*EB4-7,10))),"",INDEX(세부시간표!$A$3:QI$1183,9*EB4-7,10))</x:f>
        <x:v>Final 프로젝트</x:v>
      </x:c>
      <x:c r="EC11" s="87" t="str">
        <x:f>IF(OR(EC4&lt;0,EC4=EB4,ISERROR(INDEX(세부시간표!$A$3:QJ$1183,9*EC4-7,10))),"",INDEX(세부시간표!$A$3:QJ$1183,9*EC4-7,10))</x:f>
        <x:v>산업체특강 , 프로젝트 발표(시연), 수료식</x:v>
      </x:c>
      <x:c r="ED11" s="87" t="str">
        <x:f>IF(OR(ED4&lt;0,ED4=EC4,ISERROR(INDEX(세부시간표!$A$3:QK$1183,9*ED4-7,10))),"",INDEX(세부시간표!$A$3:QK$1183,9*ED4-7,10))</x:f>
        <x:v>취업특강 및 모의면접</x:v>
      </x:c>
      <x:c r="EE11" s="87" t="str">
        <x:f>IF(OR(EE4&lt;0,EE4=ED4,ISERROR(INDEX(세부시간표!$A$3:QL$1183,9*EE4-7,10))),"",INDEX(세부시간표!$A$3:QL$1183,9*EE4-7,10))</x:f>
        <x:v/>
      </x:c>
      <x:c r="EF11" s="87" t="str">
        <x:f>IF(OR(EF4&lt;0,EF4=EE4,ISERROR(INDEX(세부시간표!$A$3:QM$1183,9*EF4-7,10))),"",INDEX(세부시간표!$A$3:QM$1183,9*EF4-7,10))</x:f>
        <x:v/>
      </x:c>
      <x:c r="EG11" s="87" t="str">
        <x:f>IF(OR(EG4&lt;0,EG4=EF4,ISERROR(INDEX(세부시간표!$A$3:QN$1183,9*EG4-7,10))),"",INDEX(세부시간표!$A$3:QN$1183,9*EG4-7,10))</x:f>
        <x:v/>
      </x:c>
      <x:c r="EH11" s="87" t="str">
        <x:f>IF(OR(EH4&lt;0,EH4=EG4,ISERROR(INDEX(세부시간표!$A$3:QO$1183,9*EH4-7,10))),"",INDEX(세부시간표!$A$3:QO$1183,9*EH4-7,10))</x:f>
        <x:v/>
      </x:c>
      <x:c r="EI11" s="87" t="str">
        <x:f>IF(OR(EI4&lt;0,EI4=EH4,ISERROR(INDEX(세부시간표!$A$3:QP$1183,9*EI4-7,10))),"",INDEX(세부시간표!$A$3:QP$1183,9*EI4-7,10))</x:f>
        <x:v/>
      </x:c>
      <x:c r="EJ11" s="87" t="str">
        <x:f>IF(OR(EJ4&lt;0,EJ4=EI4,ISERROR(INDEX(세부시간표!$A$3:QQ$1183,9*EJ4-7,10))),"",INDEX(세부시간표!$A$3:QQ$1183,9*EJ4-7,10))</x:f>
        <x:v/>
      </x:c>
      <x:c r="EK11" s="87" t="str">
        <x:f>IF(OR(EK4&lt;0,EK4=EJ4,ISERROR(INDEX(세부시간표!$A$3:QR$1183,9*EK4-7,10))),"",INDEX(세부시간표!$A$3:QR$1183,9*EK4-7,10))</x:f>
        <x:v/>
      </x:c>
      <x:c r="EL11" s="85" t="str">
        <x:f>IF(OR(EL4&lt;0,EL4=EK4,ISERROR(INDEX(세부시간표!$A$3:QS$1183,9*EL4-7,10))),"",INDEX(세부시간표!$A$3:QS$1183,9*EL4-7,10))</x:f>
        <x:v/>
      </x:c>
      <x:c r="EM11" s="83" t="str">
        <x:f>IF(OR(EM4&lt;0,EM4=EL4,ISERROR(INDEX(세부시간표!$A$3:QT$1183,9*EM4-7,10))),"",INDEX(세부시간표!$A$3:QT$1183,9*EM4-7,10))</x:f>
        <x:v/>
      </x:c>
      <x:c r="EN11" s="83" t="str">
        <x:f>IF(OR(EN4&lt;0,EN4=EM4,ISERROR(INDEX(세부시간표!$A$3:QU$1183,9*EN4-7,10))),"",INDEX(세부시간표!$A$3:QU$1183,9*EN4-7,10))</x:f>
        <x:v/>
      </x:c>
      <x:c r="EO11" s="83" t="str">
        <x:f>IF(OR(EO4&lt;0,EO4=EN4,ISERROR(INDEX(세부시간표!$A$3:QV$1183,9*EO4-7,10))),"",INDEX(세부시간표!$A$3:QV$1183,9*EO4-7,10))</x:f>
        <x:v/>
      </x:c>
      <x:c r="EP11" s="84" t="str">
        <x:f>IF(OR(EP4&lt;0,EP4=EO4,ISERROR(INDEX(세부시간표!$A$3:QW$1183,9*EP4-7,10))),"",INDEX(세부시간표!$A$3:QW$1183,9*EP4-7,10))</x:f>
        <x:v/>
      </x:c>
    </x:row>
    <x:row r="12" spans="1:146" s="88" customFormat="1" ht="30" customHeight="1">
      <x:c r="A12" s="278"/>
      <x:c r="B12" s="64" t="str">
        <x:f>B11</x:f>
        <x:v>웹 애플리케이션 개발</x:v>
      </x:c>
      <x:c r="C12" s="64" t="str">
        <x:f t="shared" ref="C12:BN12" si="19">C11</x:f>
        <x:v>웹 애플리케이션 개발</x:v>
      </x:c>
      <x:c r="D12" s="64" t="str">
        <x:f t="shared" si="19"/>
        <x:v>웹 애플리케이션 개발</x:v>
      </x:c>
      <x:c r="E12" s="64" t="str">
        <x:f t="shared" si="19"/>
        <x:v>웹 애플리케이션 개발</x:v>
      </x:c>
      <x:c r="F12" s="64" t="str">
        <x:f t="shared" si="19"/>
        <x:v>웹 애플리케이션 개발</x:v>
      </x:c>
      <x:c r="G12" s="64" t="str">
        <x:f t="shared" si="19"/>
        <x:v>웹 애플리케이션 개발</x:v>
      </x:c>
      <x:c r="H12" s="64" t="str">
        <x:f t="shared" si="19"/>
        <x:v>웹 애플리케이션 개발</x:v>
      </x:c>
      <x:c r="I12" s="64" t="str">
        <x:f t="shared" si="19"/>
        <x:v>웹 애플리케이션 개발</x:v>
      </x:c>
      <x:c r="J12" s="64" t="str">
        <x:f t="shared" si="19"/>
        <x:v>웹 애플리케이션 개발</x:v>
      </x:c>
      <x:c r="K12" s="64" t="str">
        <x:f t="shared" si="19"/>
        <x:v/>
      </x:c>
      <x:c r="L12" s="64" t="str">
        <x:f t="shared" si="19"/>
        <x:v/>
      </x:c>
      <x:c r="M12" s="64" t="str">
        <x:f t="shared" si="19"/>
        <x:v/>
      </x:c>
      <x:c r="N12" s="64" t="str">
        <x:f t="shared" si="19"/>
        <x:v/>
      </x:c>
      <x:c r="O12" s="64" t="str">
        <x:f t="shared" si="19"/>
        <x:v/>
      </x:c>
      <x:c r="P12" s="64" t="str">
        <x:f t="shared" si="19"/>
        <x:v>웹 애플리케이션 개발</x:v>
      </x:c>
      <x:c r="Q12" s="64" t="str">
        <x:f t="shared" si="19"/>
        <x:v>웹&amp;콘텐츠 서비스 개발</x:v>
      </x:c>
      <x:c r="R12" s="64" t="str">
        <x:f t="shared" si="19"/>
        <x:v>웹&amp;콘텐츠 서비스 개발</x:v>
      </x:c>
      <x:c r="S12" s="64" t="str">
        <x:f t="shared" si="19"/>
        <x:v>웹&amp;콘텐츠 서비스 개발</x:v>
      </x:c>
      <x:c r="T12" s="64" t="str">
        <x:f t="shared" si="19"/>
        <x:v>웹&amp;콘텐츠 서비스 개발</x:v>
      </x:c>
      <x:c r="U12" s="64" t="str">
        <x:f t="shared" si="19"/>
        <x:v>웹&amp;콘텐츠 서비스 개발</x:v>
      </x:c>
      <x:c r="V12" s="64" t="str">
        <x:f t="shared" si="19"/>
        <x:v>SQL 및 데이터 모델링</x:v>
      </x:c>
      <x:c r="W12" s="64" t="str">
        <x:f t="shared" si="19"/>
        <x:v>SQL 및 데이터 모델링</x:v>
      </x:c>
      <x:c r="X12" s="64" t="str">
        <x:f t="shared" si="19"/>
        <x:v>SQL 및 데이터 모델링</x:v>
      </x:c>
      <x:c r="Y12" s="64" t="str">
        <x:f t="shared" si="19"/>
        <x:v>SQL 및 데이터 모델링</x:v>
      </x:c>
      <x:c r="Z12" s="64" t="str">
        <x:f t="shared" si="19"/>
        <x:v>SQL 및 데이터 모델링</x:v>
      </x:c>
      <x:c r="AA12" s="64" t="str">
        <x:f t="shared" si="19"/>
        <x:v>SQL 및 데이터 모델링</x:v>
      </x:c>
      <x:c r="AB12" s="64" t="str">
        <x:f t="shared" si="19"/>
        <x:v>SQL 및 데이터 모델링</x:v>
      </x:c>
      <x:c r="AC12" s="64" t="str">
        <x:f t="shared" si="19"/>
        <x:v>SQL 및 데이터 모델링</x:v>
      </x:c>
      <x:c r="AD12" s="64" t="str">
        <x:f t="shared" si="19"/>
        <x:v>SQL 및 데이터 모델링</x:v>
      </x:c>
      <x:c r="AE12" s="64" t="str">
        <x:f t="shared" si="19"/>
        <x:v>AI개발 기초</x:v>
      </x:c>
      <x:c r="AF12" s="64" t="str">
        <x:f t="shared" si="19"/>
        <x:v>AI개발 기초</x:v>
      </x:c>
      <x:c r="AG12" s="64" t="str">
        <x:f t="shared" si="19"/>
        <x:v>AI개발 기초</x:v>
      </x:c>
      <x:c r="AH12" s="64" t="str">
        <x:f t="shared" si="19"/>
        <x:v>AI개발 기초</x:v>
      </x:c>
      <x:c r="AI12" s="64" t="str">
        <x:f t="shared" si="19"/>
        <x:v>AI개발 기초</x:v>
      </x:c>
      <x:c r="AJ12" s="64" t="str">
        <x:f t="shared" si="19"/>
        <x:v>AI개발 기초</x:v>
      </x:c>
      <x:c r="AK12" s="64" t="str">
        <x:f t="shared" si="19"/>
        <x:v>AI개발 기초</x:v>
      </x:c>
      <x:c r="AL12" s="64" t="str">
        <x:f t="shared" si="19"/>
        <x:v>AI개발 기초</x:v>
      </x:c>
      <x:c r="AM12" s="64" t="str">
        <x:f t="shared" si="19"/>
        <x:v>AI개발 기초</x:v>
      </x:c>
      <x:c r="AN12" s="64" t="str">
        <x:f t="shared" si="19"/>
        <x:v>AI개발 기초</x:v>
      </x:c>
      <x:c r="AO12" s="64" t="str">
        <x:f t="shared" si="19"/>
        <x:v>AI개발 기초</x:v>
      </x:c>
      <x:c r="AP12" s="64" t="str">
        <x:f t="shared" si="19"/>
        <x:v>AI개발 기초</x:v>
      </x:c>
      <x:c r="AQ12" s="64" t="str">
        <x:f t="shared" si="19"/>
        <x:v>AI개발 기초</x:v>
      </x:c>
      <x:c r="AR12" s="64" t="str">
        <x:f t="shared" si="19"/>
        <x:v>인공지능 프로그래밍</x:v>
      </x:c>
      <x:c r="AS12" s="64" t="str">
        <x:f t="shared" si="19"/>
        <x:v>인공지능 프로그래밍</x:v>
      </x:c>
      <x:c r="AT12" s="64" t="str">
        <x:f t="shared" si="19"/>
        <x:v>인공지능 프로그래밍</x:v>
      </x:c>
      <x:c r="AU12" s="64" t="str">
        <x:f t="shared" si="19"/>
        <x:v>인공지능 프로그래밍</x:v>
      </x:c>
      <x:c r="AV12" s="64" t="str">
        <x:f t="shared" si="19"/>
        <x:v>인공지능 프로그래밍</x:v>
      </x:c>
      <x:c r="AW12" s="64" t="str">
        <x:f t="shared" si="19"/>
        <x:v>인공지능 프로그래밍</x:v>
      </x:c>
      <x:c r="AX12" s="64" t="str">
        <x:f t="shared" si="19"/>
        <x:v>인공지능 프로그래밍</x:v>
      </x:c>
      <x:c r="AY12" s="64" t="str">
        <x:f t="shared" si="19"/>
        <x:v>인공지능 프로그래밍</x:v>
      </x:c>
      <x:c r="AZ12" s="64" t="str">
        <x:f t="shared" si="19"/>
        <x:v>인공지능 프로그래밍</x:v>
      </x:c>
      <x:c r="BA12" s="64" t="str">
        <x:f t="shared" si="19"/>
        <x:v>인공지능 프로그래밍</x:v>
      </x:c>
      <x:c r="BB12" s="64" t="str">
        <x:f t="shared" si="19"/>
        <x:v>인공지능 프로그래밍</x:v>
      </x:c>
      <x:c r="BC12" s="64" t="str">
        <x:f t="shared" si="19"/>
        <x:v>인공지능 프로그래밍</x:v>
      </x:c>
      <x:c r="BD12" s="64" t="str">
        <x:f t="shared" si="19"/>
        <x:v>인공지능 프로그래밍</x:v>
      </x:c>
      <x:c r="BE12" s="64" t="str">
        <x:f t="shared" si="19"/>
        <x:v>인공지능 프로그래밍</x:v>
      </x:c>
      <x:c r="BF12" s="64" t="str">
        <x:f t="shared" si="19"/>
        <x:v>인공지능 프로그래밍</x:v>
      </x:c>
      <x:c r="BG12" s="64" t="str">
        <x:f t="shared" si="19"/>
        <x:v>인공지능 프로그래밍</x:v>
      </x:c>
      <x:c r="BH12" s="64" t="str">
        <x:f t="shared" si="19"/>
        <x:v>Advanced 프로젝트</x:v>
      </x:c>
      <x:c r="BI12" s="64" t="str">
        <x:f t="shared" si="19"/>
        <x:v>Advanced 프로젝트</x:v>
      </x:c>
      <x:c r="BJ12" s="64" t="str">
        <x:f t="shared" si="19"/>
        <x:v>Advanced 프로젝트</x:v>
      </x:c>
      <x:c r="BK12" s="64" t="str">
        <x:f t="shared" si="19"/>
        <x:v>Advanced 프로젝트</x:v>
      </x:c>
      <x:c r="BL12" s="64" t="str">
        <x:f t="shared" si="19"/>
        <x:v>Advanced 프로젝트</x:v>
      </x:c>
      <x:c r="BM12" s="64" t="str">
        <x:f t="shared" si="19"/>
        <x:v>Advanced 프로젝트</x:v>
      </x:c>
      <x:c r="BN12" s="64" t="str">
        <x:f t="shared" si="19"/>
        <x:v>Advanced 프로젝트</x:v>
      </x:c>
      <x:c r="BO12" s="64" t="str">
        <x:f t="shared" ref="BO12:DZ12" si="20">BO11</x:f>
        <x:v>Advanced 프로젝트</x:v>
      </x:c>
      <x:c r="BP12" s="64" t="str">
        <x:f t="shared" si="20"/>
        <x:v>Advanced 프로젝트</x:v>
      </x:c>
      <x:c r="BQ12" s="64" t="str">
        <x:f t="shared" si="20"/>
        <x:v>Advanced 프로젝트</x:v>
      </x:c>
      <x:c r="BR12" s="64" t="str">
        <x:f t="shared" si="20"/>
        <x:v/>
      </x:c>
      <x:c r="BS12" s="64" t="str">
        <x:f t="shared" si="20"/>
        <x:v>Advanced 프로젝트</x:v>
      </x:c>
      <x:c r="BT12" s="64" t="str">
        <x:f t="shared" si="20"/>
        <x:v>Advanced 프로젝트</x:v>
      </x:c>
      <x:c r="BU12" s="64" t="str">
        <x:f t="shared" si="20"/>
        <x:v>Advanced 프로젝트</x:v>
      </x:c>
      <x:c r="BV12" s="64" t="str">
        <x:f t="shared" si="20"/>
        <x:v>빅데이터 분석 및 시각화</x:v>
      </x:c>
      <x:c r="BW12" s="64" t="str">
        <x:f t="shared" si="20"/>
        <x:v/>
      </x:c>
      <x:c r="BX12" s="64" t="str">
        <x:f t="shared" si="20"/>
        <x:v>빅데이터 분석 및 시각화</x:v>
      </x:c>
      <x:c r="BY12" s="64" t="str">
        <x:f t="shared" si="20"/>
        <x:v>빅데이터 분석 및 시각화</x:v>
      </x:c>
      <x:c r="BZ12" s="64" t="str">
        <x:f t="shared" si="20"/>
        <x:v>빅데이터 분석 및 시각화</x:v>
      </x:c>
      <x:c r="CA12" s="64" t="str">
        <x:f t="shared" si="20"/>
        <x:v>빅데이터 분석 및 시각화</x:v>
      </x:c>
      <x:c r="CB12" s="64" t="str">
        <x:f t="shared" si="20"/>
        <x:v>빅데이터 시스템 구축</x:v>
      </x:c>
      <x:c r="CC12" s="64" t="str">
        <x:f t="shared" si="20"/>
        <x:v>빅데이터 시스템 구축</x:v>
      </x:c>
      <x:c r="CD12" s="64" t="str">
        <x:f t="shared" si="20"/>
        <x:v>빅데이터 시스템 구축</x:v>
      </x:c>
      <x:c r="CE12" s="64" t="str">
        <x:f t="shared" si="20"/>
        <x:v>빅데이터 시스템 구축</x:v>
      </x:c>
      <x:c r="CF12" s="64" t="str">
        <x:f t="shared" si="20"/>
        <x:v>빅데이터 시스템 구축</x:v>
      </x:c>
      <x:c r="CG12" s="64" t="str">
        <x:f t="shared" si="20"/>
        <x:v>빅데이터 시스템 구축</x:v>
      </x:c>
      <x:c r="CH12" s="64" t="str">
        <x:f t="shared" si="20"/>
        <x:v>빅데이터 시스템 구축</x:v>
      </x:c>
      <x:c r="CI12" s="64" t="str">
        <x:f t="shared" si="20"/>
        <x:v>빅데이터 시스템 구축</x:v>
      </x:c>
      <x:c r="CJ12" s="64" t="str">
        <x:f t="shared" si="20"/>
        <x:v>빅데이터 시스템 구축</x:v>
      </x:c>
      <x:c r="CK12" s="64" t="str">
        <x:f t="shared" si="20"/>
        <x:v>빅데이터 시스템 구축</x:v>
      </x:c>
      <x:c r="CL12" s="64" t="str">
        <x:f t="shared" si="20"/>
        <x:v>빅데이터 플랫폼 개발</x:v>
      </x:c>
      <x:c r="CM12" s="64" t="str">
        <x:f t="shared" si="20"/>
        <x:v>빅데이터 플랫폼 개발</x:v>
      </x:c>
      <x:c r="CN12" s="64" t="str">
        <x:f t="shared" si="20"/>
        <x:v>빅데이터 플랫폼 개발</x:v>
      </x:c>
      <x:c r="CO12" s="64" t="str">
        <x:f t="shared" si="20"/>
        <x:v>빅데이터 플랫폼 개발</x:v>
      </x:c>
      <x:c r="CP12" s="64" t="str">
        <x:f t="shared" si="20"/>
        <x:v>빅데이터 플랫폼 개발</x:v>
      </x:c>
      <x:c r="CQ12" s="64" t="str">
        <x:f t="shared" si="20"/>
        <x:v>빅데이터 플랫폼 개발</x:v>
      </x:c>
      <x:c r="CR12" s="64" t="str">
        <x:f t="shared" si="20"/>
        <x:v>빅데이터 플랫폼 개발</x:v>
      </x:c>
      <x:c r="CS12" s="64" t="str">
        <x:f t="shared" si="20"/>
        <x:v>Final 프로젝트</x:v>
      </x:c>
      <x:c r="CT12" s="64" t="str">
        <x:f t="shared" si="20"/>
        <x:v>Final 프로젝트</x:v>
      </x:c>
      <x:c r="CU12" s="64" t="str">
        <x:f t="shared" si="20"/>
        <x:v>Final 프로젝트</x:v>
      </x:c>
      <x:c r="CV12" s="64" t="str">
        <x:f t="shared" si="20"/>
        <x:v>Final 프로젝트</x:v>
      </x:c>
      <x:c r="CW12" s="64" t="str">
        <x:f t="shared" si="20"/>
        <x:v>Final 프로젝트</x:v>
      </x:c>
      <x:c r="CX12" s="64" t="str">
        <x:f t="shared" si="20"/>
        <x:v>Final 프로젝트</x:v>
      </x:c>
      <x:c r="CY12" s="64" t="str">
        <x:f t="shared" si="20"/>
        <x:v>Final 프로젝트</x:v>
      </x:c>
      <x:c r="CZ12" s="64" t="str">
        <x:f t="shared" si="20"/>
        <x:v>Final 프로젝트</x:v>
      </x:c>
      <x:c r="DA12" s="64" t="str">
        <x:f t="shared" si="20"/>
        <x:v>Final 프로젝트</x:v>
      </x:c>
      <x:c r="DB12" s="64" t="str">
        <x:f t="shared" si="20"/>
        <x:v>Final 프로젝트</x:v>
      </x:c>
      <x:c r="DC12" s="64" t="str">
        <x:f t="shared" si="20"/>
        <x:v/>
      </x:c>
      <x:c r="DD12" s="64" t="str">
        <x:f t="shared" si="20"/>
        <x:v/>
      </x:c>
      <x:c r="DE12" s="64" t="str">
        <x:f t="shared" si="20"/>
        <x:v/>
      </x:c>
      <x:c r="DF12" s="64" t="str">
        <x:f t="shared" si="20"/>
        <x:v>Final 프로젝트</x:v>
      </x:c>
      <x:c r="DG12" s="64" t="str">
        <x:f t="shared" si="20"/>
        <x:v>Final 프로젝트</x:v>
      </x:c>
      <x:c r="DH12" s="64" t="str">
        <x:f t="shared" si="20"/>
        <x:v>Final 프로젝트</x:v>
      </x:c>
      <x:c r="DI12" s="64" t="str">
        <x:f t="shared" si="20"/>
        <x:v>Final 프로젝트</x:v>
      </x:c>
      <x:c r="DJ12" s="64" t="str">
        <x:f t="shared" si="20"/>
        <x:v>Final 프로젝트</x:v>
      </x:c>
      <x:c r="DK12" s="64" t="str">
        <x:f t="shared" si="20"/>
        <x:v>Final 프로젝트</x:v>
      </x:c>
      <x:c r="DL12" s="64" t="str">
        <x:f t="shared" si="20"/>
        <x:v>Final 프로젝트</x:v>
      </x:c>
      <x:c r="DM12" s="64" t="str">
        <x:f t="shared" si="20"/>
        <x:v/>
      </x:c>
      <x:c r="DN12" s="64" t="str">
        <x:f t="shared" si="20"/>
        <x:v>Final 프로젝트</x:v>
      </x:c>
      <x:c r="DO12" s="64" t="str">
        <x:f t="shared" si="20"/>
        <x:v>Final 프로젝트</x:v>
      </x:c>
      <x:c r="DP12" s="64" t="str">
        <x:f t="shared" si="20"/>
        <x:v>Final 프로젝트</x:v>
      </x:c>
      <x:c r="DQ12" s="64" t="str">
        <x:f t="shared" si="20"/>
        <x:v>Final 프로젝트</x:v>
      </x:c>
      <x:c r="DR12" s="64" t="str">
        <x:f t="shared" si="20"/>
        <x:v>Final 프로젝트</x:v>
      </x:c>
      <x:c r="DS12" s="64" t="str">
        <x:f t="shared" si="20"/>
        <x:v>Final 프로젝트</x:v>
      </x:c>
      <x:c r="DT12" s="64" t="str">
        <x:f t="shared" si="20"/>
        <x:v>Final 프로젝트</x:v>
      </x:c>
      <x:c r="DU12" s="64" t="str">
        <x:f t="shared" si="20"/>
        <x:v>Final 프로젝트</x:v>
      </x:c>
      <x:c r="DV12" s="64" t="str">
        <x:f t="shared" si="20"/>
        <x:v>Final 프로젝트</x:v>
      </x:c>
      <x:c r="DW12" s="64" t="str">
        <x:f t="shared" si="20"/>
        <x:v>Final 프로젝트</x:v>
      </x:c>
      <x:c r="DX12" s="64" t="str">
        <x:f t="shared" si="20"/>
        <x:v>Final 프로젝트</x:v>
      </x:c>
      <x:c r="DY12" s="64" t="str">
        <x:f t="shared" si="20"/>
        <x:v>Final 프로젝트</x:v>
      </x:c>
      <x:c r="DZ12" s="64" t="str">
        <x:f t="shared" si="20"/>
        <x:v>Final 프로젝트</x:v>
      </x:c>
      <x:c r="EA12" s="64" t="str">
        <x:f t="shared" ref="EA12:EK12" si="21">EA11</x:f>
        <x:v>Final 프로젝트</x:v>
      </x:c>
      <x:c r="EB12" s="64" t="str">
        <x:f t="shared" si="21"/>
        <x:v>Final 프로젝트</x:v>
      </x:c>
      <x:c r="EC12" s="64" t="str">
        <x:f t="shared" si="21"/>
        <x:v>산업체특강 , 프로젝트 발표(시연), 수료식</x:v>
      </x:c>
      <x:c r="ED12" s="64" t="str">
        <x:f t="shared" si="21"/>
        <x:v>취업특강 및 모의면접</x:v>
      </x:c>
      <x:c r="EE12" s="64" t="str">
        <x:f t="shared" si="21"/>
        <x:v/>
      </x:c>
      <x:c r="EF12" s="64" t="str">
        <x:f t="shared" si="21"/>
        <x:v/>
      </x:c>
      <x:c r="EG12" s="64" t="str">
        <x:f t="shared" si="21"/>
        <x:v/>
      </x:c>
      <x:c r="EH12" s="64" t="str">
        <x:f t="shared" si="21"/>
        <x:v/>
      </x:c>
      <x:c r="EI12" s="64" t="str">
        <x:f t="shared" si="21"/>
        <x:v/>
      </x:c>
      <x:c r="EJ12" s="64" t="str">
        <x:f t="shared" si="21"/>
        <x:v/>
      </x:c>
      <x:c r="EK12" s="64" t="str">
        <x:f t="shared" si="21"/>
        <x:v/>
      </x:c>
      <x:c r="EL12" s="60" t="str">
        <x:f>EL11</x:f>
        <x:v/>
      </x:c>
      <x:c r="EM12" s="58" t="str">
        <x:f>EM11</x:f>
        <x:v/>
      </x:c>
      <x:c r="EN12" s="58" t="str">
        <x:f>EN11</x:f>
        <x:v/>
      </x:c>
      <x:c r="EO12" s="58" t="str">
        <x:f>EO11</x:f>
        <x:v/>
      </x:c>
      <x:c r="EP12" s="59" t="str">
        <x:f>EP11</x:f>
        <x:v/>
      </x:c>
    </x:row>
    <x:row r="13" spans="1:146" s="47" customFormat="1" ht="15" customHeight="1">
      <x:c r="A13" s="278"/>
      <x:c r="B13" s="65" t="str">
        <x:f>IF(OR(B4&lt;0,B4=A4,ISERROR(INDEX(세부시간표!$A$3:$L$1183,9*B4-7,11))),"",LEFT(INDEX(세부시간표!$A$3:$L$1183,9*B4-7,11),4))</x:f>
        <x:v>1교육실</x:v>
      </x:c>
      <x:c r="C13" s="65" t="str">
        <x:f>IF(OR(C4&lt;0,C4=B4,ISERROR(INDEX(세부시간표!$A$3:$L$1183,9*C4-7,11))),"",LEFT(INDEX(세부시간표!$A$3:$L$1183,9*C4-7,11),4))</x:f>
        <x:v>1교육실</x:v>
      </x:c>
      <x:c r="D13" s="65" t="str">
        <x:f>IF(OR(D4&lt;0,D4=C4,ISERROR(INDEX(세부시간표!$A$3:$L$1183,9*D4-7,11))),"",LEFT(INDEX(세부시간표!$A$3:$L$1183,9*D4-7,11),4))</x:f>
        <x:v>1교육실</x:v>
      </x:c>
      <x:c r="E13" s="65" t="str">
        <x:f>IF(OR(E4&lt;0,E4=D4,ISERROR(INDEX(세부시간표!$A$3:$L$1183,9*E4-7,11))),"",LEFT(INDEX(세부시간표!$A$3:$L$1183,9*E4-7,11),4))</x:f>
        <x:v>1교육실</x:v>
      </x:c>
      <x:c r="F13" s="65" t="str">
        <x:f>IF(OR(F4&lt;0,F4=E4,ISERROR(INDEX(세부시간표!$A$3:$L$1183,9*F4-7,11))),"",LEFT(INDEX(세부시간표!$A$3:$L$1183,9*F4-7,11),4))</x:f>
        <x:v>1교육실</x:v>
      </x:c>
      <x:c r="G13" s="65" t="str">
        <x:f>IF(OR(G4&lt;0,G4=F4,ISERROR(INDEX(세부시간표!$A$3:$L$1183,9*G4-7,11))),"",LEFT(INDEX(세부시간표!$A$3:$L$1183,9*G4-7,11),4))</x:f>
        <x:v>1교육실</x:v>
      </x:c>
      <x:c r="H13" s="65" t="str">
        <x:f>IF(OR(H4&lt;0,H4=G4,ISERROR(INDEX(세부시간표!$A$3:$L$1183,9*H4-7,11))),"",LEFT(INDEX(세부시간표!$A$3:$L$1183,9*H4-7,11),4))</x:f>
        <x:v>1교육실</x:v>
      </x:c>
      <x:c r="I13" s="65" t="str">
        <x:f>IF(OR(I4&lt;0,I4=H4,ISERROR(INDEX(세부시간표!$A$3:$L$1183,9*I4-7,11))),"",LEFT(INDEX(세부시간표!$A$3:$L$1183,9*I4-7,11),4))</x:f>
        <x:v>1교육실</x:v>
      </x:c>
      <x:c r="J13" s="65" t="str">
        <x:f>IF(OR(J4&lt;0,J4=I4,ISERROR(INDEX(세부시간표!$A$3:$L$1183,9*J4-7,11))),"",LEFT(INDEX(세부시간표!$A$3:$L$1183,9*J4-7,11),4))</x:f>
        <x:v>1교육실</x:v>
      </x:c>
      <x:c r="K13" s="65" t="str">
        <x:f>IF(OR(K4&lt;0,K4=J4,ISERROR(INDEX(세부시간표!$A$3:$L$1183,9*K4-7,11))),"",LEFT(INDEX(세부시간표!$A$3:$L$1183,9*K4-7,11),4))</x:f>
        <x:v/>
      </x:c>
      <x:c r="L13" s="65" t="str">
        <x:f>IF(OR(L4&lt;0,L4=K4,ISERROR(INDEX(세부시간표!$A$3:$L$1183,9*L4-7,11))),"",LEFT(INDEX(세부시간표!$A$3:$L$1183,9*L4-7,11),4))</x:f>
        <x:v/>
      </x:c>
      <x:c r="M13" s="65" t="str">
        <x:f>IF(OR(M4&lt;0,M4=L4,ISERROR(INDEX(세부시간표!$A$3:$L$1183,9*M4-7,11))),"",LEFT(INDEX(세부시간표!$A$3:$L$1183,9*M4-7,11),4))</x:f>
        <x:v/>
      </x:c>
      <x:c r="N13" s="65" t="str">
        <x:f>IF(OR(N4&lt;0,N4=M4,ISERROR(INDEX(세부시간표!$A$3:$L$1183,9*N4-7,11))),"",LEFT(INDEX(세부시간표!$A$3:$L$1183,9*N4-7,11),4))</x:f>
        <x:v/>
      </x:c>
      <x:c r="O13" s="65" t="str">
        <x:f>IF(OR(O4&lt;0,O4=N4,ISERROR(INDEX(세부시간표!$A$3:$L$1183,9*O4-7,11))),"",LEFT(INDEX(세부시간표!$A$3:$L$1183,9*O4-7,11),4))</x:f>
        <x:v/>
      </x:c>
      <x:c r="P13" s="65" t="str">
        <x:f>IF(OR(P4&lt;0,P4=O4,ISERROR(INDEX(세부시간표!$A$3:$L$1183,9*P4-7,11))),"",LEFT(INDEX(세부시간표!$A$3:$L$1183,9*P4-7,11),4))</x:f>
        <x:v>1교육실</x:v>
      </x:c>
      <x:c r="Q13" s="65" t="str">
        <x:f>IF(OR(Q4&lt;0,Q4=P4,ISERROR(INDEX(세부시간표!$A$3:$L$1183,9*Q4-7,11))),"",LEFT(INDEX(세부시간표!$A$3:$L$1183,9*Q4-7,11),4))</x:f>
        <x:v>1교육실</x:v>
      </x:c>
      <x:c r="R13" s="65" t="str">
        <x:f>IF(OR(R4&lt;0,R4=Q4,ISERROR(INDEX(세부시간표!$A$3:$L$1183,9*R4-7,11))),"",LEFT(INDEX(세부시간표!$A$3:$L$1183,9*R4-7,11),4))</x:f>
        <x:v>1교육실</x:v>
      </x:c>
      <x:c r="S13" s="65" t="str">
        <x:f>IF(OR(S4&lt;0,S4=R4,ISERROR(INDEX(세부시간표!$A$3:$L$1183,9*S4-7,11))),"",LEFT(INDEX(세부시간표!$A$3:$L$1183,9*S4-7,11),4))</x:f>
        <x:v>1교육실</x:v>
      </x:c>
      <x:c r="T13" s="65" t="str">
        <x:f>IF(OR(T4&lt;0,T4=S4,ISERROR(INDEX(세부시간표!$A$3:$L$1183,9*T4-7,11))),"",LEFT(INDEX(세부시간표!$A$3:$L$1183,9*T4-7,11),4))</x:f>
        <x:v>1교육실</x:v>
      </x:c>
      <x:c r="U13" s="65" t="str">
        <x:f>IF(OR(U4&lt;0,U4=T4,ISERROR(INDEX(세부시간표!$A$3:$L$1183,9*U4-7,11))),"",LEFT(INDEX(세부시간표!$A$3:$L$1183,9*U4-7,11),4))</x:f>
        <x:v>1교육실</x:v>
      </x:c>
      <x:c r="V13" s="65" t="str">
        <x:f>IF(OR(V4&lt;0,V4=U4,ISERROR(INDEX(세부시간표!$A$3:$L$1183,9*V4-7,11))),"",LEFT(INDEX(세부시간표!$A$3:$L$1183,9*V4-7,11),4))</x:f>
        <x:v>1교육실</x:v>
      </x:c>
      <x:c r="W13" s="65" t="str">
        <x:f>IF(OR(W4&lt;0,W4=V4,ISERROR(INDEX(세부시간표!$A$3:$L$1183,9*W4-7,11))),"",LEFT(INDEX(세부시간표!$A$3:$L$1183,9*W4-7,11),4))</x:f>
        <x:v>1교육실</x:v>
      </x:c>
      <x:c r="X13" s="65" t="str">
        <x:f>IF(OR(X4&lt;0,X4=W4,ISERROR(INDEX(세부시간표!$A$3:$L$1183,9*X4-7,11))),"",LEFT(INDEX(세부시간표!$A$3:$L$1183,9*X4-7,11),4))</x:f>
        <x:v>1교육실</x:v>
      </x:c>
      <x:c r="Y13" s="65" t="str">
        <x:f>IF(OR(Y4&lt;0,Y4=X4,ISERROR(INDEX(세부시간표!$A$3:$L$1183,9*Y4-7,11))),"",LEFT(INDEX(세부시간표!$A$3:$L$1183,9*Y4-7,11),4))</x:f>
        <x:v>1교육실</x:v>
      </x:c>
      <x:c r="Z13" s="65" t="str">
        <x:f>IF(OR(Z4&lt;0,Z4=Y4,ISERROR(INDEX(세부시간표!$A$3:$L$1183,9*Z4-7,11))),"",LEFT(INDEX(세부시간표!$A$3:$L$1183,9*Z4-7,11),4))</x:f>
        <x:v>1교육실</x:v>
      </x:c>
      <x:c r="AA13" s="65" t="str">
        <x:f>IF(OR(AA4&lt;0,AA4=Z4,ISERROR(INDEX(세부시간표!$A$3:$L$1183,9*AA4-7,11))),"",LEFT(INDEX(세부시간표!$A$3:$L$1183,9*AA4-7,11),4))</x:f>
        <x:v>1교육실</x:v>
      </x:c>
      <x:c r="AB13" s="65" t="str">
        <x:f>IF(OR(AB4&lt;0,AB4=AA4,ISERROR(INDEX(세부시간표!$A$3:$L$1183,9*AB4-7,11))),"",LEFT(INDEX(세부시간표!$A$3:$L$1183,9*AB4-7,11),4))</x:f>
        <x:v>1교육실</x:v>
      </x:c>
      <x:c r="AC13" s="65" t="str">
        <x:f>IF(OR(AC4&lt;0,AC4=AB4,ISERROR(INDEX(세부시간표!$A$3:$L$1183,9*AC4-7,11))),"",LEFT(INDEX(세부시간표!$A$3:$L$1183,9*AC4-7,11),4))</x:f>
        <x:v>1교육실</x:v>
      </x:c>
      <x:c r="AD13" s="65" t="str">
        <x:f>IF(OR(AD4&lt;0,AD4=AC4,ISERROR(INDEX(세부시간표!$A$3:$L$1183,9*AD4-7,11))),"",LEFT(INDEX(세부시간표!$A$3:$L$1183,9*AD4-7,11),4))</x:f>
        <x:v>1교육실</x:v>
      </x:c>
      <x:c r="AE13" s="65" t="str">
        <x:f>IF(OR(AE4&lt;0,AE4=AD4,ISERROR(INDEX(세부시간표!$A$3:$L$1183,9*AE4-7,11))),"",LEFT(INDEX(세부시간표!$A$3:$L$1183,9*AE4-7,11),4))</x:f>
        <x:v>1교육실</x:v>
      </x:c>
      <x:c r="AF13" s="65" t="str">
        <x:f>IF(OR(AF4&lt;0,AF4=AE4,ISERROR(INDEX(세부시간표!$A$3:$L$1183,9*AF4-7,11))),"",LEFT(INDEX(세부시간표!$A$3:$L$1183,9*AF4-7,11),4))</x:f>
        <x:v>1교육실</x:v>
      </x:c>
      <x:c r="AG13" s="65" t="str">
        <x:f>IF(OR(AG4&lt;0,AG4=AF4,ISERROR(INDEX(세부시간표!$A$3:$L$1183,9*AG4-7,11))),"",LEFT(INDEX(세부시간표!$A$3:$L$1183,9*AG4-7,11),4))</x:f>
        <x:v>1교육실</x:v>
      </x:c>
      <x:c r="AH13" s="65" t="str">
        <x:f>IF(OR(AH4&lt;0,AH4=AG4,ISERROR(INDEX(세부시간표!$A$3:$L$1183,9*AH4-7,11))),"",LEFT(INDEX(세부시간표!$A$3:$L$1183,9*AH4-7,11),4))</x:f>
        <x:v>1교육실</x:v>
      </x:c>
      <x:c r="AI13" s="65" t="str">
        <x:f>IF(OR(AI4&lt;0,AI4=AH4,ISERROR(INDEX(세부시간표!$A$3:$L$1183,9*AI4-7,11))),"",LEFT(INDEX(세부시간표!$A$3:$L$1183,9*AI4-7,11),4))</x:f>
        <x:v>1교육실</x:v>
      </x:c>
      <x:c r="AJ13" s="65" t="str">
        <x:f>IF(OR(AJ4&lt;0,AJ4=AI4,ISERROR(INDEX(세부시간표!$A$3:$L$1183,9*AJ4-7,11))),"",LEFT(INDEX(세부시간표!$A$3:$L$1183,9*AJ4-7,11),4))</x:f>
        <x:v>1교육실</x:v>
      </x:c>
      <x:c r="AK13" s="65" t="str">
        <x:f>IF(OR(AK4&lt;0,AK4=AJ4,ISERROR(INDEX(세부시간표!$A$3:$L$1183,9*AK4-7,11))),"",LEFT(INDEX(세부시간표!$A$3:$L$1183,9*AK4-7,11),4))</x:f>
        <x:v>1교육실</x:v>
      </x:c>
      <x:c r="AL13" s="65" t="str">
        <x:f>IF(OR(AL4&lt;0,AL4=AK4,ISERROR(INDEX(세부시간표!$A$3:$L$1183,9*AL4-7,11))),"",LEFT(INDEX(세부시간표!$A$3:$L$1183,9*AL4-7,11),4))</x:f>
        <x:v>1교육실</x:v>
      </x:c>
      <x:c r="AM13" s="65" t="str">
        <x:f>IF(OR(AM4&lt;0,AM4=AL4,ISERROR(INDEX(세부시간표!$A$3:$L$1183,9*AM4-7,11))),"",LEFT(INDEX(세부시간표!$A$3:$L$1183,9*AM4-7,11),4))</x:f>
        <x:v>1교육실</x:v>
      </x:c>
      <x:c r="AN13" s="65" t="str">
        <x:f>IF(OR(AN4&lt;0,AN4=AM4,ISERROR(INDEX(세부시간표!$A$3:$L$1183,9*AN4-7,11))),"",LEFT(INDEX(세부시간표!$A$3:$L$1183,9*AN4-7,11),4))</x:f>
        <x:v>1교육실</x:v>
      </x:c>
      <x:c r="AO13" s="65" t="str">
        <x:f>IF(OR(AO4&lt;0,AO4=AN4,ISERROR(INDEX(세부시간표!$A$3:$L$1183,9*AO4-7,11))),"",LEFT(INDEX(세부시간표!$A$3:$L$1183,9*AO4-7,11),4))</x:f>
        <x:v>1교육실</x:v>
      </x:c>
      <x:c r="AP13" s="65" t="str">
        <x:f>IF(OR(AP4&lt;0,AP4=AO4,ISERROR(INDEX(세부시간표!$A$3:$L$1183,9*AP4-7,11))),"",LEFT(INDEX(세부시간표!$A$3:$L$1183,9*AP4-7,11),4))</x:f>
        <x:v>1교육실</x:v>
      </x:c>
      <x:c r="AQ13" s="65" t="str">
        <x:f>IF(OR(AQ4&lt;0,AQ4=AP4,ISERROR(INDEX(세부시간표!$A$3:$L$1183,9*AQ4-7,11))),"",LEFT(INDEX(세부시간표!$A$3:$L$1183,9*AQ4-7,11),4))</x:f>
        <x:v>1교육실</x:v>
      </x:c>
      <x:c r="AR13" s="65" t="str">
        <x:f>IF(OR(AR4&lt;0,AR4=AQ4,ISERROR(INDEX(세부시간표!$A$3:$L$1183,9*AR4-7,11))),"",LEFT(INDEX(세부시간표!$A$3:$L$1183,9*AR4-7,11),4))</x:f>
        <x:v>1교육실</x:v>
      </x:c>
      <x:c r="AS13" s="65" t="str">
        <x:f>IF(OR(AS4&lt;0,AS4=AR4,ISERROR(INDEX(세부시간표!$A$3:$L$1183,9*AS4-7,11))),"",LEFT(INDEX(세부시간표!$A$3:$L$1183,9*AS4-7,11),4))</x:f>
        <x:v>1교육실</x:v>
      </x:c>
      <x:c r="AT13" s="65" t="str">
        <x:f>IF(OR(AT4&lt;0,AT4=AS4,ISERROR(INDEX(세부시간표!$A$3:$L$1183,9*AT4-7,11))),"",LEFT(INDEX(세부시간표!$A$3:$L$1183,9*AT4-7,11),4))</x:f>
        <x:v>1교육실</x:v>
      </x:c>
      <x:c r="AU13" s="65" t="str">
        <x:f>IF(OR(AU4&lt;0,AU4=AT4,ISERROR(INDEX(세부시간표!$A$3:$L$1183,9*AU4-7,11))),"",LEFT(INDEX(세부시간표!$A$3:$L$1183,9*AU4-7,11),4))</x:f>
        <x:v>1교육실</x:v>
      </x:c>
      <x:c r="AV13" s="65" t="str">
        <x:f>IF(OR(AV4&lt;0,AV4=AU4,ISERROR(INDEX(세부시간표!$A$3:$L$1183,9*AV4-7,11))),"",LEFT(INDEX(세부시간표!$A$3:$L$1183,9*AV4-7,11),4))</x:f>
        <x:v>1교육실</x:v>
      </x:c>
      <x:c r="AW13" s="65" t="str">
        <x:f>IF(OR(AW4&lt;0,AW4=AV4,ISERROR(INDEX(세부시간표!$A$3:$L$1183,9*AW4-7,11))),"",LEFT(INDEX(세부시간표!$A$3:$L$1183,9*AW4-7,11),4))</x:f>
        <x:v>1교육실</x:v>
      </x:c>
      <x:c r="AX13" s="65" t="str">
        <x:f>IF(OR(AX4&lt;0,AX4=AW4,ISERROR(INDEX(세부시간표!$A$3:$L$1183,9*AX4-7,11))),"",LEFT(INDEX(세부시간표!$A$3:$L$1183,9*AX4-7,11),4))</x:f>
        <x:v>1교육실</x:v>
      </x:c>
      <x:c r="AY13" s="65" t="str">
        <x:f>IF(OR(AY4&lt;0,AY4=AX4,ISERROR(INDEX(세부시간표!$A$3:$L$1183,9*AY4-7,11))),"",LEFT(INDEX(세부시간표!$A$3:$L$1183,9*AY4-7,11),4))</x:f>
        <x:v>1교육실</x:v>
      </x:c>
      <x:c r="AZ13" s="65" t="str">
        <x:f>IF(OR(AZ4&lt;0,AZ4=AY4,ISERROR(INDEX(세부시간표!$A$3:$L$1183,9*AZ4-7,11))),"",LEFT(INDEX(세부시간표!$A$3:$L$1183,9*AZ4-7,11),4))</x:f>
        <x:v>1교육실</x:v>
      </x:c>
      <x:c r="BA13" s="65" t="str">
        <x:f>IF(OR(BA4&lt;0,BA4=AZ4,ISERROR(INDEX(세부시간표!$A$3:$L$1183,9*BA4-7,11))),"",LEFT(INDEX(세부시간표!$A$3:$L$1183,9*BA4-7,11),4))</x:f>
        <x:v>1교육실</x:v>
      </x:c>
      <x:c r="BB13" s="65" t="str">
        <x:f>IF(OR(BB4&lt;0,BB4=BA4,ISERROR(INDEX(세부시간표!$A$3:$L$1183,9*BB4-7,11))),"",LEFT(INDEX(세부시간표!$A$3:$L$1183,9*BB4-7,11),4))</x:f>
        <x:v>1교육실</x:v>
      </x:c>
      <x:c r="BC13" s="65" t="str">
        <x:f>IF(OR(BC4&lt;0,BC4=BB4,ISERROR(INDEX(세부시간표!$A$3:$L$1183,9*BC4-7,11))),"",LEFT(INDEX(세부시간표!$A$3:$L$1183,9*BC4-7,11),4))</x:f>
        <x:v>1교육실</x:v>
      </x:c>
      <x:c r="BD13" s="65" t="str">
        <x:f>IF(OR(BD4&lt;0,BD4=BC4,ISERROR(INDEX(세부시간표!$A$3:$L$1183,9*BD4-7,11))),"",LEFT(INDEX(세부시간표!$A$3:$L$1183,9*BD4-7,11),4))</x:f>
        <x:v>1교육실</x:v>
      </x:c>
      <x:c r="BE13" s="65" t="str">
        <x:f>IF(OR(BE4&lt;0,BE4=BD4,ISERROR(INDEX(세부시간표!$A$3:$L$1183,9*BE4-7,11))),"",LEFT(INDEX(세부시간표!$A$3:$L$1183,9*BE4-7,11),4))</x:f>
        <x:v>1교육실</x:v>
      </x:c>
      <x:c r="BF13" s="65" t="str">
        <x:f>IF(OR(BF4&lt;0,BF4=BE4,ISERROR(INDEX(세부시간표!$A$3:$L$1183,9*BF4-7,11))),"",LEFT(INDEX(세부시간표!$A$3:$L$1183,9*BF4-7,11),4))</x:f>
        <x:v>1교육실</x:v>
      </x:c>
      <x:c r="BG13" s="65" t="str">
        <x:f>IF(OR(BG4&lt;0,BG4=BF4,ISERROR(INDEX(세부시간표!$A$3:$L$1183,9*BG4-7,11))),"",LEFT(INDEX(세부시간표!$A$3:$L$1183,9*BG4-7,11),4))</x:f>
        <x:v>1교육실</x:v>
      </x:c>
      <x:c r="BH13" s="65" t="str">
        <x:f>IF(OR(BH4&lt;0,BH4=BG4,ISERROR(INDEX(세부시간표!$A$3:$L$1183,9*BH4-7,11))),"",LEFT(INDEX(세부시간표!$A$3:$L$1183,9*BH4-7,11),4))</x:f>
        <x:v>1교육실</x:v>
      </x:c>
      <x:c r="BI13" s="65" t="str">
        <x:f>IF(OR(BI4&lt;0,BI4=BH4,ISERROR(INDEX(세부시간표!$A$3:$L$1183,9*BI4-7,11))),"",LEFT(INDEX(세부시간표!$A$3:$L$1183,9*BI4-7,11),4))</x:f>
        <x:v>1교육실</x:v>
      </x:c>
      <x:c r="BJ13" s="65" t="str">
        <x:f>IF(OR(BJ4&lt;0,BJ4=BI4,ISERROR(INDEX(세부시간표!$A$3:$L$1183,9*BJ4-7,11))),"",LEFT(INDEX(세부시간표!$A$3:$L$1183,9*BJ4-7,11),4))</x:f>
        <x:v>1교육실</x:v>
      </x:c>
      <x:c r="BK13" s="65" t="str">
        <x:f>IF(OR(BK4&lt;0,BK4=BJ4,ISERROR(INDEX(세부시간표!$A$3:$L$1183,9*BK4-7,11))),"",LEFT(INDEX(세부시간표!$A$3:$L$1183,9*BK4-7,11),4))</x:f>
        <x:v>1교육실</x:v>
      </x:c>
      <x:c r="BL13" s="65" t="str">
        <x:f>IF(OR(BL4&lt;0,BL4=BK4,ISERROR(INDEX(세부시간표!$A$3:$L$1183,9*BL4-7,11))),"",LEFT(INDEX(세부시간표!$A$3:$L$1183,9*BL4-7,11),4))</x:f>
        <x:v>1교육실</x:v>
      </x:c>
      <x:c r="BM13" s="65" t="str">
        <x:f>IF(OR(BM4&lt;0,BM4=BL4,ISERROR(INDEX(세부시간표!$A$3:$L$1183,9*BM4-7,11))),"",LEFT(INDEX(세부시간표!$A$3:$L$1183,9*BM4-7,11),4))</x:f>
        <x:v>1교육실</x:v>
      </x:c>
      <x:c r="BN13" s="65" t="str">
        <x:f>IF(OR(BN4&lt;0,BN4=BM4,ISERROR(INDEX(세부시간표!$A$3:$L$1183,9*BN4-7,11))),"",LEFT(INDEX(세부시간표!$A$3:$L$1183,9*BN4-7,11),4))</x:f>
        <x:v>1교육실</x:v>
      </x:c>
      <x:c r="BO13" s="65" t="str">
        <x:f>IF(OR(BO4&lt;0,BO4=BN4,ISERROR(INDEX(세부시간표!$A$3:$L$1183,9*BO4-7,11))),"",LEFT(INDEX(세부시간표!$A$3:$L$1183,9*BO4-7,11),4))</x:f>
        <x:v>1교육실</x:v>
      </x:c>
      <x:c r="BP13" s="65" t="str">
        <x:f>IF(OR(BP4&lt;0,BP4=BO4,ISERROR(INDEX(세부시간표!$A$3:$L$1183,9*BP4-7,11))),"",LEFT(INDEX(세부시간표!$A$3:$L$1183,9*BP4-7,11),4))</x:f>
        <x:v>1교육실</x:v>
      </x:c>
      <x:c r="BQ13" s="65" t="str">
        <x:f>IF(OR(BQ4&lt;0,BQ4=BP4,ISERROR(INDEX(세부시간표!$A$3:$L$1183,9*BQ4-7,11))),"",LEFT(INDEX(세부시간표!$A$3:$L$1183,9*BQ4-7,11),4))</x:f>
        <x:v>1교육실</x:v>
      </x:c>
      <x:c r="BR13" s="65" t="str">
        <x:f>IF(OR(BR4&lt;0,BR4=BQ4,ISERROR(INDEX(세부시간표!$A$3:$L$1183,9*BR4-7,11))),"",LEFT(INDEX(세부시간표!$A$3:$L$1183,9*BR4-7,11),4))</x:f>
        <x:v/>
      </x:c>
      <x:c r="BS13" s="65" t="str">
        <x:f>IF(OR(BS4&lt;0,BS4=BR4,ISERROR(INDEX(세부시간표!$A$3:$L$1183,9*BS4-7,11))),"",LEFT(INDEX(세부시간표!$A$3:$L$1183,9*BS4-7,11),4))</x:f>
        <x:v>1교육실</x:v>
      </x:c>
      <x:c r="BT13" s="65" t="str">
        <x:f>IF(OR(BT4&lt;0,BT4=BS4,ISERROR(INDEX(세부시간표!$A$3:$L$1183,9*BT4-7,11))),"",LEFT(INDEX(세부시간표!$A$3:$L$1183,9*BT4-7,11),4))</x:f>
        <x:v>1교육실</x:v>
      </x:c>
      <x:c r="BU13" s="65" t="str">
        <x:f>IF(OR(BU4&lt;0,BU4=BT4,ISERROR(INDEX(세부시간표!$A$3:$L$1183,9*BU4-7,11))),"",LEFT(INDEX(세부시간표!$A$3:$L$1183,9*BU4-7,11),4))</x:f>
        <x:v>1교육실</x:v>
      </x:c>
      <x:c r="BV13" s="65" t="str">
        <x:f>IF(OR(BV4&lt;0,BV4=BU4,ISERROR(INDEX(세부시간표!$A$3:$L$1183,9*BV4-7,11))),"",LEFT(INDEX(세부시간표!$A$3:$L$1183,9*BV4-7,11),4))</x:f>
        <x:v>1교육실</x:v>
      </x:c>
      <x:c r="BW13" s="65" t="str">
        <x:f>IF(OR(BW4&lt;0,BW4=BV4,ISERROR(INDEX(세부시간표!$A$3:$L$1183,9*BW4-7,11))),"",LEFT(INDEX(세부시간표!$A$3:$L$1183,9*BW4-7,11),4))</x:f>
        <x:v/>
      </x:c>
      <x:c r="BX13" s="65" t="str">
        <x:f>IF(OR(BX4&lt;0,BX4=BW4,ISERROR(INDEX(세부시간표!$A$3:$L$1183,9*BX4-7,11))),"",LEFT(INDEX(세부시간표!$A$3:$L$1183,9*BX4-7,11),4))</x:f>
        <x:v>1교육실</x:v>
      </x:c>
      <x:c r="BY13" s="65" t="str">
        <x:f>IF(OR(BY4&lt;0,BY4=BX4,ISERROR(INDEX(세부시간표!$A$3:$L$1183,9*BY4-7,11))),"",LEFT(INDEX(세부시간표!$A$3:$L$1183,9*BY4-7,11),4))</x:f>
        <x:v>1교육실</x:v>
      </x:c>
      <x:c r="BZ13" s="65" t="str">
        <x:f>IF(OR(BZ4&lt;0,BZ4=BY4,ISERROR(INDEX(세부시간표!$A$3:$L$1183,9*BZ4-7,11))),"",LEFT(INDEX(세부시간표!$A$3:$L$1183,9*BZ4-7,11),4))</x:f>
        <x:v>1교육실</x:v>
      </x:c>
      <x:c r="CA13" s="65" t="str">
        <x:f>IF(OR(CA4&lt;0,CA4=BZ4,ISERROR(INDEX(세부시간표!$A$3:$L$1183,9*CA4-7,11))),"",LEFT(INDEX(세부시간표!$A$3:$L$1183,9*CA4-7,11),4))</x:f>
        <x:v>1교육실</x:v>
      </x:c>
      <x:c r="CB13" s="65" t="str">
        <x:f>IF(OR(CB4&lt;0,CB4=CA4,ISERROR(INDEX(세부시간표!$A$3:$L$1183,9*CB4-7,11))),"",LEFT(INDEX(세부시간표!$A$3:$L$1183,9*CB4-7,11),4))</x:f>
        <x:v>1교육실</x:v>
      </x:c>
      <x:c r="CC13" s="65" t="str">
        <x:f>IF(OR(CC4&lt;0,CC4=CB4,ISERROR(INDEX(세부시간표!$A$3:$L$1183,9*CC4-7,11))),"",LEFT(INDEX(세부시간표!$A$3:$L$1183,9*CC4-7,11),4))</x:f>
        <x:v>1교육실</x:v>
      </x:c>
      <x:c r="CD13" s="65" t="str">
        <x:f>IF(OR(CD4&lt;0,CD4=CC4,ISERROR(INDEX(세부시간표!$A$3:$L$1183,9*CD4-7,11))),"",LEFT(INDEX(세부시간표!$A$3:$L$1183,9*CD4-7,11),4))</x:f>
        <x:v>1교육실</x:v>
      </x:c>
      <x:c r="CE13" s="65" t="str">
        <x:f>IF(OR(CE4&lt;0,CE4=CD4,ISERROR(INDEX(세부시간표!$A$3:$L$1183,9*CE4-7,11))),"",LEFT(INDEX(세부시간표!$A$3:$L$1183,9*CE4-7,11),4))</x:f>
        <x:v>1교육실</x:v>
      </x:c>
      <x:c r="CF13" s="65" t="str">
        <x:f>IF(OR(CF4&lt;0,CF4=CE4,ISERROR(INDEX(세부시간표!$A$3:$L$1183,9*CF4-7,11))),"",LEFT(INDEX(세부시간표!$A$3:$L$1183,9*CF4-7,11),4))</x:f>
        <x:v>1교육실</x:v>
      </x:c>
      <x:c r="CG13" s="65" t="str">
        <x:f>IF(OR(CG4&lt;0,CG4=CF4,ISERROR(INDEX(세부시간표!$A$3:$L$1183,9*CG4-7,11))),"",LEFT(INDEX(세부시간표!$A$3:$L$1183,9*CG4-7,11),4))</x:f>
        <x:v>1교육실</x:v>
      </x:c>
      <x:c r="CH13" s="65" t="str">
        <x:f>IF(OR(CH4&lt;0,CH4=CG4,ISERROR(INDEX(세부시간표!$A$3:$L$1183,9*CH4-7,11))),"",LEFT(INDEX(세부시간표!$A$3:$L$1183,9*CH4-7,11),4))</x:f>
        <x:v>1교육실</x:v>
      </x:c>
      <x:c r="CI13" s="65" t="str">
        <x:f>IF(OR(CI4&lt;0,CI4=CH4,ISERROR(INDEX(세부시간표!$A$3:$L$1183,9*CI4-7,11))),"",LEFT(INDEX(세부시간표!$A$3:$L$1183,9*CI4-7,11),4))</x:f>
        <x:v>1교육실</x:v>
      </x:c>
      <x:c r="CJ13" s="65" t="str">
        <x:f>IF(OR(CJ4&lt;0,CJ4=CI4,ISERROR(INDEX(세부시간표!$A$3:$L$1183,9*CJ4-7,11))),"",LEFT(INDEX(세부시간표!$A$3:$L$1183,9*CJ4-7,11),4))</x:f>
        <x:v>1교육실</x:v>
      </x:c>
      <x:c r="CK13" s="65" t="str">
        <x:f>IF(OR(CK4&lt;0,CK4=CJ4,ISERROR(INDEX(세부시간표!$A$3:$L$1183,9*CK4-7,11))),"",LEFT(INDEX(세부시간표!$A$3:$L$1183,9*CK4-7,11),4))</x:f>
        <x:v>1교육실</x:v>
      </x:c>
      <x:c r="CL13" s="65" t="str">
        <x:f>IF(OR(CL4&lt;0,CL4=CK4,ISERROR(INDEX(세부시간표!$A$3:$L$1183,9*CL4-7,11))),"",LEFT(INDEX(세부시간표!$A$3:$L$1183,9*CL4-7,11),4))</x:f>
        <x:v>1교육실</x:v>
      </x:c>
      <x:c r="CM13" s="65" t="str">
        <x:f>IF(OR(CM4&lt;0,CM4=CL4,ISERROR(INDEX(세부시간표!$A$3:$L$1183,9*CM4-7,11))),"",LEFT(INDEX(세부시간표!$A$3:$L$1183,9*CM4-7,11),4))</x:f>
        <x:v>1교육실</x:v>
      </x:c>
      <x:c r="CN13" s="65" t="str">
        <x:f>IF(OR(CN4&lt;0,CN4=CM4,ISERROR(INDEX(세부시간표!$A$3:$L$1183,9*CN4-7,11))),"",LEFT(INDEX(세부시간표!$A$3:$L$1183,9*CN4-7,11),4))</x:f>
        <x:v>1교육실</x:v>
      </x:c>
      <x:c r="CO13" s="65" t="str">
        <x:f>IF(OR(CO4&lt;0,CO4=CN4,ISERROR(INDEX(세부시간표!$A$3:$L$1183,9*CO4-7,11))),"",LEFT(INDEX(세부시간표!$A$3:$L$1183,9*CO4-7,11),4))</x:f>
        <x:v>1교육실</x:v>
      </x:c>
      <x:c r="CP13" s="65" t="str">
        <x:f>IF(OR(CP4&lt;0,CP4=CO4,ISERROR(INDEX(세부시간표!$A$3:$L$1183,9*CP4-7,11))),"",LEFT(INDEX(세부시간표!$A$3:$L$1183,9*CP4-7,11),4))</x:f>
        <x:v>1교육실</x:v>
      </x:c>
      <x:c r="CQ13" s="65" t="str">
        <x:f>IF(OR(CQ4&lt;0,CQ4=CP4,ISERROR(INDEX(세부시간표!$A$3:$L$1183,9*CQ4-7,11))),"",LEFT(INDEX(세부시간표!$A$3:$L$1183,9*CQ4-7,11),4))</x:f>
        <x:v>1교육실</x:v>
      </x:c>
      <x:c r="CR13" s="65" t="str">
        <x:f>IF(OR(CR4&lt;0,CR4=CQ4,ISERROR(INDEX(세부시간표!$A$3:$L$1183,9*CR4-7,11))),"",LEFT(INDEX(세부시간표!$A$3:$L$1183,9*CR4-7,11),4))</x:f>
        <x:v>1교육실</x:v>
      </x:c>
      <x:c r="CS13" s="65" t="str">
        <x:f>IF(OR(CS4&lt;0,CS4=CR4,ISERROR(INDEX(세부시간표!$A$3:$L$1183,9*CS4-7,11))),"",LEFT(INDEX(세부시간표!$A$3:$L$1183,9*CS4-7,11),4))</x:f>
        <x:v>1교육실</x:v>
      </x:c>
      <x:c r="CT13" s="65" t="str">
        <x:f>IF(OR(CT4&lt;0,CT4=CS4,ISERROR(INDEX(세부시간표!$A$3:$L$1183,9*CT4-7,11))),"",LEFT(INDEX(세부시간표!$A$3:$L$1183,9*CT4-7,11),4))</x:f>
        <x:v>1교육실</x:v>
      </x:c>
      <x:c r="CU13" s="65" t="str">
        <x:f>IF(OR(CU4&lt;0,CU4=CT4,ISERROR(INDEX(세부시간표!$A$3:$L$1183,9*CU4-7,11))),"",LEFT(INDEX(세부시간표!$A$3:$L$1183,9*CU4-7,11),4))</x:f>
        <x:v>1교육실</x:v>
      </x:c>
      <x:c r="CV13" s="65" t="str">
        <x:f>IF(OR(CV4&lt;0,CV4=CU4,ISERROR(INDEX(세부시간표!$A$3:$L$1183,9*CV4-7,11))),"",LEFT(INDEX(세부시간표!$A$3:$L$1183,9*CV4-7,11),4))</x:f>
        <x:v>1교육실</x:v>
      </x:c>
      <x:c r="CW13" s="65" t="str">
        <x:f>IF(OR(CW4&lt;0,CW4=CV4,ISERROR(INDEX(세부시간표!$A$3:$L$1183,9*CW4-7,11))),"",LEFT(INDEX(세부시간표!$A$3:$L$1183,9*CW4-7,11),4))</x:f>
        <x:v>1교육실</x:v>
      </x:c>
      <x:c r="CX13" s="65" t="str">
        <x:f>IF(OR(CX4&lt;0,CX4=CW4,ISERROR(INDEX(세부시간표!$A$3:$L$1183,9*CX4-7,11))),"",LEFT(INDEX(세부시간표!$A$3:$L$1183,9*CX4-7,11),4))</x:f>
        <x:v>1교육실</x:v>
      </x:c>
      <x:c r="CY13" s="65" t="str">
        <x:f>IF(OR(CY4&lt;0,CY4=CX4,ISERROR(INDEX(세부시간표!$A$3:$L$1183,9*CY4-7,11))),"",LEFT(INDEX(세부시간표!$A$3:$L$1183,9*CY4-7,11),4))</x:f>
        <x:v>1교육실</x:v>
      </x:c>
      <x:c r="CZ13" s="65" t="str">
        <x:f>IF(OR(CZ4&lt;0,CZ4=CY4,ISERROR(INDEX(세부시간표!$A$3:$L$1183,9*CZ4-7,11))),"",LEFT(INDEX(세부시간표!$A$3:$L$1183,9*CZ4-7,11),4))</x:f>
        <x:v>1교육실</x:v>
      </x:c>
      <x:c r="DA13" s="65" t="str">
        <x:f>IF(OR(DA4&lt;0,DA4=CZ4,ISERROR(INDEX(세부시간표!$A$3:$L$1183,9*DA4-7,11))),"",LEFT(INDEX(세부시간표!$A$3:$L$1183,9*DA4-7,11),4))</x:f>
        <x:v>1교육실</x:v>
      </x:c>
      <x:c r="DB13" s="65" t="str">
        <x:f>IF(OR(DB4&lt;0,DB4=DA4,ISERROR(INDEX(세부시간표!$A$3:$L$1183,9*DB4-7,11))),"",LEFT(INDEX(세부시간표!$A$3:$L$1183,9*DB4-7,11),4))</x:f>
        <x:v>1교육실</x:v>
      </x:c>
      <x:c r="DC13" s="65" t="str">
        <x:f>IF(OR(DC4&lt;0,DC4=DB4,ISERROR(INDEX(세부시간표!$A$3:$L$1183,9*DC4-7,11))),"",LEFT(INDEX(세부시간표!$A$3:$L$1183,9*DC4-7,11),4))</x:f>
        <x:v/>
      </x:c>
      <x:c r="DD13" s="65" t="str">
        <x:f>IF(OR(DD4&lt;0,DD4=DC4,ISERROR(INDEX(세부시간표!$A$3:$L$1183,9*DD4-7,11))),"",LEFT(INDEX(세부시간표!$A$3:$L$1183,9*DD4-7,11),4))</x:f>
        <x:v/>
      </x:c>
      <x:c r="DE13" s="65" t="str">
        <x:f>IF(OR(DE4&lt;0,DE4=DD4,ISERROR(INDEX(세부시간표!$A$3:$L$1183,9*DE4-7,11))),"",LEFT(INDEX(세부시간표!$A$3:$L$1183,9*DE4-7,11),4))</x:f>
        <x:v/>
      </x:c>
      <x:c r="DF13" s="65" t="str">
        <x:f>IF(OR(DF4&lt;0,DF4=DE4,ISERROR(INDEX(세부시간표!$A$3:$L$1183,9*DF4-7,11))),"",LEFT(INDEX(세부시간표!$A$3:$L$1183,9*DF4-7,11),4))</x:f>
        <x:v>1교육실</x:v>
      </x:c>
      <x:c r="DG13" s="65" t="str">
        <x:f>IF(OR(DG4&lt;0,DG4=DF4,ISERROR(INDEX(세부시간표!$A$3:$L$1183,9*DG4-7,11))),"",LEFT(INDEX(세부시간표!$A$3:$L$1183,9*DG4-7,11),4))</x:f>
        <x:v>1교육실</x:v>
      </x:c>
      <x:c r="DH13" s="65" t="str">
        <x:f>IF(OR(DH4&lt;0,DH4=DG4,ISERROR(INDEX(세부시간표!$A$3:$L$1183,9*DH4-7,11))),"",LEFT(INDEX(세부시간표!$A$3:$L$1183,9*DH4-7,11),4))</x:f>
        <x:v>1교육실</x:v>
      </x:c>
      <x:c r="DI13" s="65" t="str">
        <x:f>IF(OR(DI4&lt;0,DI4=DH4,ISERROR(INDEX(세부시간표!$A$3:$L$1183,9*DI4-7,11))),"",LEFT(INDEX(세부시간표!$A$3:$L$1183,9*DI4-7,11),4))</x:f>
        <x:v>1교육실</x:v>
      </x:c>
      <x:c r="DJ13" s="65" t="str">
        <x:f>IF(OR(DJ4&lt;0,DJ4=DI4,ISERROR(INDEX(세부시간표!$A$3:$L$1183,9*DJ4-7,11))),"",LEFT(INDEX(세부시간표!$A$3:$L$1183,9*DJ4-7,11),4))</x:f>
        <x:v>1교육실</x:v>
      </x:c>
      <x:c r="DK13" s="65" t="str">
        <x:f>IF(OR(DK4&lt;0,DK4=DJ4,ISERROR(INDEX(세부시간표!$A$3:$L$1183,9*DK4-7,11))),"",LEFT(INDEX(세부시간표!$A$3:$L$1183,9*DK4-7,11),4))</x:f>
        <x:v>1교육실</x:v>
      </x:c>
      <x:c r="DL13" s="65" t="str">
        <x:f>IF(OR(DL4&lt;0,DL4=DK4,ISERROR(INDEX(세부시간표!$A$3:$L$1183,9*DL4-7,11))),"",LEFT(INDEX(세부시간표!$A$3:$L$1183,9*DL4-7,11),4))</x:f>
        <x:v>1교육실</x:v>
      </x:c>
      <x:c r="DM13" s="65" t="str">
        <x:f>IF(OR(DM4&lt;0,DM4=DL4,ISERROR(INDEX(세부시간표!$A$3:$L$1183,9*DM4-7,11))),"",LEFT(INDEX(세부시간표!$A$3:$L$1183,9*DM4-7,11),4))</x:f>
        <x:v/>
      </x:c>
      <x:c r="DN13" s="65" t="str">
        <x:f>IF(OR(DN4&lt;0,DN4=DM4,ISERROR(INDEX(세부시간표!$A$3:$L$1183,9*DN4-7,11))),"",LEFT(INDEX(세부시간표!$A$3:$L$1183,9*DN4-7,11),4))</x:f>
        <x:v>1교육실</x:v>
      </x:c>
      <x:c r="DO13" s="65" t="str">
        <x:f>IF(OR(DO4&lt;0,DO4=DN4,ISERROR(INDEX(세부시간표!$A$3:$L$1183,9*DO4-7,11))),"",LEFT(INDEX(세부시간표!$A$3:$L$1183,9*DO4-7,11),4))</x:f>
        <x:v>1교육실</x:v>
      </x:c>
      <x:c r="DP13" s="65" t="str">
        <x:f>IF(OR(DP4&lt;0,DP4=DO4,ISERROR(INDEX(세부시간표!$A$3:$L$1183,9*DP4-7,11))),"",LEFT(INDEX(세부시간표!$A$3:$L$1183,9*DP4-7,11),4))</x:f>
        <x:v>1교육실</x:v>
      </x:c>
      <x:c r="DQ13" s="65" t="str">
        <x:f>IF(OR(DQ4&lt;0,DQ4=DP4,ISERROR(INDEX(세부시간표!$A$3:$L$1183,9*DQ4-7,11))),"",LEFT(INDEX(세부시간표!$A$3:$L$1183,9*DQ4-7,11),4))</x:f>
        <x:v>1교육실</x:v>
      </x:c>
      <x:c r="DR13" s="65" t="str">
        <x:f>IF(OR(DR4&lt;0,DR4=DQ4,ISERROR(INDEX(세부시간표!$A$3:$L$1183,9*DR4-7,11))),"",LEFT(INDEX(세부시간표!$A$3:$L$1183,9*DR4-7,11),4))</x:f>
        <x:v>1교육실</x:v>
      </x:c>
      <x:c r="DS13" s="65" t="str">
        <x:f>IF(OR(DS4&lt;0,DS4=DR4,ISERROR(INDEX(세부시간표!$A$3:$L$1183,9*DS4-7,11))),"",LEFT(INDEX(세부시간표!$A$3:$L$1183,9*DS4-7,11),4))</x:f>
        <x:v>1교육실</x:v>
      </x:c>
      <x:c r="DT13" s="65" t="str">
        <x:f>IF(OR(DT4&lt;0,DT4=DS4,ISERROR(INDEX(세부시간표!$A$3:$L$1183,9*DT4-7,11))),"",LEFT(INDEX(세부시간표!$A$3:$L$1183,9*DT4-7,11),4))</x:f>
        <x:v>1교육실</x:v>
      </x:c>
      <x:c r="DU13" s="65" t="str">
        <x:f>IF(OR(DU4&lt;0,DU4=DT4,ISERROR(INDEX(세부시간표!$A$3:$L$1183,9*DU4-7,11))),"",LEFT(INDEX(세부시간표!$A$3:$L$1183,9*DU4-7,11),4))</x:f>
        <x:v>1교육실</x:v>
      </x:c>
      <x:c r="DV13" s="65" t="str">
        <x:f>IF(OR(DV4&lt;0,DV4=DU4,ISERROR(INDEX(세부시간표!$A$3:$L$1183,9*DV4-7,11))),"",LEFT(INDEX(세부시간표!$A$3:$L$1183,9*DV4-7,11),4))</x:f>
        <x:v>1교육실</x:v>
      </x:c>
      <x:c r="DW13" s="65" t="str">
        <x:f>IF(OR(DW4&lt;0,DW4=DV4,ISERROR(INDEX(세부시간표!$A$3:$L$1183,9*DW4-7,11))),"",LEFT(INDEX(세부시간표!$A$3:$L$1183,9*DW4-7,11),4))</x:f>
        <x:v>1교육실</x:v>
      </x:c>
      <x:c r="DX13" s="65" t="str">
        <x:f>IF(OR(DX4&lt;0,DX4=DW4,ISERROR(INDEX(세부시간표!$A$3:$L$1183,9*DX4-7,11))),"",LEFT(INDEX(세부시간표!$A$3:$L$1183,9*DX4-7,11),4))</x:f>
        <x:v>1교육실</x:v>
      </x:c>
      <x:c r="DY13" s="65" t="str">
        <x:f>IF(OR(DY4&lt;0,DY4=DX4,ISERROR(INDEX(세부시간표!$A$3:$L$1183,9*DY4-7,11))),"",LEFT(INDEX(세부시간표!$A$3:$L$1183,9*DY4-7,11),4))</x:f>
        <x:v>1교육실</x:v>
      </x:c>
      <x:c r="DZ13" s="65" t="str">
        <x:f>IF(OR(DZ4&lt;0,DZ4=DY4,ISERROR(INDEX(세부시간표!$A$3:$L$1183,9*DZ4-7,11))),"",LEFT(INDEX(세부시간표!$A$3:$L$1183,9*DZ4-7,11),4))</x:f>
        <x:v>1교육실</x:v>
      </x:c>
      <x:c r="EA13" s="65" t="str">
        <x:f>IF(OR(EA4&lt;0,EA4=DZ4,ISERROR(INDEX(세부시간표!$A$3:$L$1183,9*EA4-7,11))),"",LEFT(INDEX(세부시간표!$A$3:$L$1183,9*EA4-7,11),4))</x:f>
        <x:v>1교육실</x:v>
      </x:c>
      <x:c r="EB13" s="65" t="str">
        <x:f>IF(OR(EB4&lt;0,EB4=EA4,ISERROR(INDEX(세부시간표!$A$3:$L$1183,9*EB4-7,11))),"",LEFT(INDEX(세부시간표!$A$3:$L$1183,9*EB4-7,11),4))</x:f>
        <x:v>1교육실</x:v>
      </x:c>
      <x:c r="EC13" s="65" t="str">
        <x:f>IF(OR(EC4&lt;0,EC4=EB4,ISERROR(INDEX(세부시간표!$A$3:$L$1183,9*EC4-7,11))),"",LEFT(INDEX(세부시간표!$A$3:$L$1183,9*EC4-7,11),4))</x:f>
        <x:v>1교육실</x:v>
      </x:c>
      <x:c r="ED13" s="65" t="str">
        <x:f>IF(OR(ED4&lt;0,ED4=EC4,ISERROR(INDEX(세부시간표!$A$3:$L$1183,9*ED4-7,11))),"",LEFT(INDEX(세부시간표!$A$3:$L$1183,9*ED4-7,11),4))</x:f>
        <x:v>1교육실</x:v>
      </x:c>
      <x:c r="EE13" s="65" t="str">
        <x:f>IF(OR(EE4&lt;0,EE4=ED4,ISERROR(INDEX(세부시간표!$A$3:$L$1183,9*EE4-7,11))),"",LEFT(INDEX(세부시간표!$A$3:$L$1183,9*EE4-7,11),4))</x:f>
        <x:v/>
      </x:c>
      <x:c r="EF13" s="65" t="str">
        <x:f>IF(OR(EF4&lt;0,EF4=EE4,ISERROR(INDEX(세부시간표!$A$3:$L$1183,9*EF4-7,11))),"",LEFT(INDEX(세부시간표!$A$3:$L$1183,9*EF4-7,11),4))</x:f>
        <x:v/>
      </x:c>
      <x:c r="EG13" s="65" t="str">
        <x:f>IF(OR(EG4&lt;0,EG4=EF4,ISERROR(INDEX(세부시간표!$A$3:$L$1183,9*EG4-7,11))),"",LEFT(INDEX(세부시간표!$A$3:$L$1183,9*EG4-7,11),4))</x:f>
        <x:v/>
      </x:c>
      <x:c r="EH13" s="65" t="str">
        <x:f>IF(OR(EH4&lt;0,EH4=EG4,ISERROR(INDEX(세부시간표!$A$3:$L$1183,9*EH4-7,11))),"",LEFT(INDEX(세부시간표!$A$3:$L$1183,9*EH4-7,11),4))</x:f>
        <x:v/>
      </x:c>
      <x:c r="EI13" s="65" t="str">
        <x:f>IF(OR(EI4&lt;0,EI4=EH4,ISERROR(INDEX(세부시간표!$A$3:$L$1183,9*EI4-7,11))),"",LEFT(INDEX(세부시간표!$A$3:$L$1183,9*EI4-7,11),4))</x:f>
        <x:v/>
      </x:c>
      <x:c r="EJ13" s="65" t="str">
        <x:f>IF(OR(EJ4&lt;0,EJ4=EI4,ISERROR(INDEX(세부시간표!$A$3:$L$1183,9*EJ4-7,11))),"",LEFT(INDEX(세부시간표!$A$3:$L$1183,9*EJ4-7,11),4))</x:f>
        <x:v/>
      </x:c>
      <x:c r="EK13" s="65" t="str">
        <x:f>IF(OR(EK4&lt;0,EK4=EJ4,ISERROR(INDEX(세부시간표!$A$3:$L$1183,9*EK4-7,11))),"",LEFT(INDEX(세부시간표!$A$3:$L$1183,9*EK4-7,11),4))</x:f>
        <x:v/>
      </x:c>
      <x:c r="EL13" s="49" t="str">
        <x:f>IF(OR(EL4&lt;0,EL4=EK4,ISERROR(INDEX(세부시간표!$A$3:$L$1183,9*EL4-7,11))),"",INDEX(세부시간표!$A$3:$L$1183,9*EL4-7,11))</x:f>
        <x:v/>
      </x:c>
      <x:c r="EM13" s="48" t="str">
        <x:f>IF(OR(EM4&lt;0,EM4=EL4,ISERROR(INDEX(세부시간표!$A$3:$L$1183,9*EM4-7,11))),"",INDEX(세부시간표!$A$3:$L$1183,9*EM4-7,11))</x:f>
        <x:v/>
      </x:c>
      <x:c r="EN13" s="48" t="str">
        <x:f>IF(OR(EN4&lt;0,EN4=EM4,ISERROR(INDEX(세부시간표!$A$3:$L$1183,9*EN4-7,11))),"",INDEX(세부시간표!$A$3:$L$1183,9*EN4-7,11))</x:f>
        <x:v/>
      </x:c>
      <x:c r="EO13" s="48" t="str">
        <x:f>IF(OR(EO4&lt;0,EO4=EN4,ISERROR(INDEX(세부시간표!$A$3:$L$1183,9*EO4-7,11))),"",INDEX(세부시간표!$A$3:$L$1183,9*EO4-7,11))</x:f>
        <x:v/>
      </x:c>
      <x:c r="EP13" s="50" t="str">
        <x:f>IF(OR(EP4&lt;0,EP4=EO4,ISERROR(INDEX(세부시간표!$A$3:$L$1183,9*EP4-7,11))),"",INDEX(세부시간표!$A$3:$L$1183,9*EP4-7,11))</x:f>
        <x:v/>
      </x:c>
    </x:row>
    <x:row r="14" spans="1:146" s="47" customFormat="1" ht="15" customHeight="1">
      <x:c r="A14" s="279"/>
      <x:c r="B14" s="77" t="str">
        <x:f>IF(OR(B4&lt;0,B4=A4,ISERROR(INDEX(세부시간표!$A$3:$L$1183,9*B4-7,12))),"",INDEX(세부시간표!$A$3:$L$1183,9*B4-7,12))</x:f>
        <x:v>양현수</x:v>
      </x:c>
      <x:c r="C14" s="77" t="str">
        <x:f>IF(OR(C4&lt;0,C4=B4,ISERROR(INDEX(세부시간표!$A$3:$L$1183,9*C4-7,12))),"",INDEX(세부시간표!$A$3:$L$1183,9*C4-7,12))</x:f>
        <x:v>양현수</x:v>
      </x:c>
      <x:c r="D14" s="77" t="str">
        <x:f>IF(OR(D4&lt;0,D4=C4,ISERROR(INDEX(세부시간표!$A$3:$L$1183,9*D4-7,12))),"",INDEX(세부시간표!$A$3:$L$1183,9*D4-7,12))</x:f>
        <x:v>양현수</x:v>
      </x:c>
      <x:c r="E14" s="77" t="str">
        <x:f>IF(OR(E4&lt;0,E4=D4,ISERROR(INDEX(세부시간표!$A$3:$L$1183,9*E4-7,12))),"",INDEX(세부시간표!$A$3:$L$1183,9*E4-7,12))</x:f>
        <x:v>양현수</x:v>
      </x:c>
      <x:c r="F14" s="77" t="str">
        <x:f>IF(OR(F4&lt;0,F4=E4,ISERROR(INDEX(세부시간표!$A$3:$L$1183,9*F4-7,12))),"",INDEX(세부시간표!$A$3:$L$1183,9*F4-7,12))</x:f>
        <x:v>양현수</x:v>
      </x:c>
      <x:c r="G14" s="77" t="str">
        <x:f>IF(OR(G4&lt;0,G4=F4,ISERROR(INDEX(세부시간표!$A$3:$L$1183,9*G4-7,12))),"",INDEX(세부시간표!$A$3:$L$1183,9*G4-7,12))</x:f>
        <x:v>양현수</x:v>
      </x:c>
      <x:c r="H14" s="77" t="str">
        <x:f>IF(OR(H4&lt;0,H4=G4,ISERROR(INDEX(세부시간표!$A$3:$L$1183,9*H4-7,12))),"",INDEX(세부시간표!$A$3:$L$1183,9*H4-7,12))</x:f>
        <x:v>양현수</x:v>
      </x:c>
      <x:c r="I14" s="77" t="str">
        <x:f>IF(OR(I4&lt;0,I4=H4,ISERROR(INDEX(세부시간표!$A$3:$L$1183,9*I4-7,12))),"",INDEX(세부시간표!$A$3:$L$1183,9*I4-7,12))</x:f>
        <x:v>양현수</x:v>
      </x:c>
      <x:c r="J14" s="77" t="str">
        <x:f>IF(OR(J4&lt;0,J4=I4,ISERROR(INDEX(세부시간표!$A$3:$L$1183,9*J4-7,12))),"",INDEX(세부시간표!$A$3:$L$1183,9*J4-7,12))</x:f>
        <x:v>양현수</x:v>
      </x:c>
      <x:c r="K14" s="77" t="str">
        <x:f>IF(OR(K4&lt;0,K4=J4,ISERROR(INDEX(세부시간표!$A$3:$L$1183,9*K4-7,12))),"",INDEX(세부시간표!$A$3:$L$1183,9*K4-7,12))</x:f>
        <x:v/>
      </x:c>
      <x:c r="L14" s="77" t="str">
        <x:f>IF(OR(L4&lt;0,L4=K4,ISERROR(INDEX(세부시간표!$A$3:$L$1183,9*L4-7,12))),"",INDEX(세부시간표!$A$3:$L$1183,9*L4-7,12))</x:f>
        <x:v/>
      </x:c>
      <x:c r="M14" s="77" t="str">
        <x:f>IF(OR(M4&lt;0,M4=L4,ISERROR(INDEX(세부시간표!$A$3:$L$1183,9*M4-7,12))),"",INDEX(세부시간표!$A$3:$L$1183,9*M4-7,12))</x:f>
        <x:v/>
      </x:c>
      <x:c r="N14" s="77" t="str">
        <x:f>IF(OR(N4&lt;0,N4=M4,ISERROR(INDEX(세부시간표!$A$3:$L$1183,9*N4-7,12))),"",INDEX(세부시간표!$A$3:$L$1183,9*N4-7,12))</x:f>
        <x:v/>
      </x:c>
      <x:c r="O14" s="77" t="str">
        <x:f>IF(OR(O4&lt;0,O4=N4,ISERROR(INDEX(세부시간표!$A$3:$L$1183,9*O4-7,12))),"",INDEX(세부시간표!$A$3:$L$1183,9*O4-7,12))</x:f>
        <x:v/>
      </x:c>
      <x:c r="P14" s="77" t="str">
        <x:f>IF(OR(P4&lt;0,P4=O4,ISERROR(INDEX(세부시간표!$A$3:$L$1183,9*P4-7,12))),"",INDEX(세부시간표!$A$3:$L$1183,9*P4-7,12))</x:f>
        <x:v>양현수</x:v>
      </x:c>
      <x:c r="Q14" s="77" t="str">
        <x:f>IF(OR(Q4&lt;0,Q4=P4,ISERROR(INDEX(세부시간표!$A$3:$L$1183,9*Q4-7,12))),"",INDEX(세부시간표!$A$3:$L$1183,9*Q4-7,12))</x:f>
        <x:v>양현수</x:v>
      </x:c>
      <x:c r="R14" s="77" t="str">
        <x:f>IF(OR(R4&lt;0,R4=Q4,ISERROR(INDEX(세부시간표!$A$3:$L$1183,9*R4-7,12))),"",INDEX(세부시간표!$A$3:$L$1183,9*R4-7,12))</x:f>
        <x:v>양현수</x:v>
      </x:c>
      <x:c r="S14" s="77" t="str">
        <x:f>IF(OR(S4&lt;0,S4=R4,ISERROR(INDEX(세부시간표!$A$3:$L$1183,9*S4-7,12))),"",INDEX(세부시간표!$A$3:$L$1183,9*S4-7,12))</x:f>
        <x:v>양현수</x:v>
      </x:c>
      <x:c r="T14" s="77" t="str">
        <x:f>IF(OR(T4&lt;0,T4=S4,ISERROR(INDEX(세부시간표!$A$3:$L$1183,9*T4-7,12))),"",INDEX(세부시간표!$A$3:$L$1183,9*T4-7,12))</x:f>
        <x:v>양현수</x:v>
      </x:c>
      <x:c r="U14" s="77" t="str">
        <x:f>IF(OR(U4&lt;0,U4=T4,ISERROR(INDEX(세부시간표!$A$3:$L$1183,9*U4-7,12))),"",INDEX(세부시간표!$A$3:$L$1183,9*U4-7,12))</x:f>
        <x:v>양현수</x:v>
      </x:c>
      <x:c r="V14" s="77" t="str">
        <x:f>IF(OR(V4&lt;0,V4=U4,ISERROR(INDEX(세부시간표!$A$3:$L$1183,9*V4-7,12))),"",INDEX(세부시간표!$A$3:$L$1183,9*V4-7,12))</x:f>
        <x:v>양현수</x:v>
      </x:c>
      <x:c r="W14" s="77" t="str">
        <x:f>IF(OR(W4&lt;0,W4=V4,ISERROR(INDEX(세부시간표!$A$3:$L$1183,9*W4-7,12))),"",INDEX(세부시간표!$A$3:$L$1183,9*W4-7,12))</x:f>
        <x:v>양현수</x:v>
      </x:c>
      <x:c r="X14" s="77" t="str">
        <x:f>IF(OR(X4&lt;0,X4=W4,ISERROR(INDEX(세부시간표!$A$3:$L$1183,9*X4-7,12))),"",INDEX(세부시간표!$A$3:$L$1183,9*X4-7,12))</x:f>
        <x:v>양현수</x:v>
      </x:c>
      <x:c r="Y14" s="77" t="str">
        <x:f>IF(OR(Y4&lt;0,Y4=X4,ISERROR(INDEX(세부시간표!$A$3:$L$1183,9*Y4-7,12))),"",INDEX(세부시간표!$A$3:$L$1183,9*Y4-7,12))</x:f>
        <x:v>양현수</x:v>
      </x:c>
      <x:c r="Z14" s="77" t="str">
        <x:f>IF(OR(Z4&lt;0,Z4=Y4,ISERROR(INDEX(세부시간표!$A$3:$L$1183,9*Z4-7,12))),"",INDEX(세부시간표!$A$3:$L$1183,9*Z4-7,12))</x:f>
        <x:v>양현수</x:v>
      </x:c>
      <x:c r="AA14" s="77" t="str">
        <x:f>IF(OR(AA4&lt;0,AA4=Z4,ISERROR(INDEX(세부시간표!$A$3:$L$1183,9*AA4-7,12))),"",INDEX(세부시간표!$A$3:$L$1183,9*AA4-7,12))</x:f>
        <x:v>양현수</x:v>
      </x:c>
      <x:c r="AB14" s="77" t="str">
        <x:f>IF(OR(AB4&lt;0,AB4=AA4,ISERROR(INDEX(세부시간표!$A$3:$L$1183,9*AB4-7,12))),"",INDEX(세부시간표!$A$3:$L$1183,9*AB4-7,12))</x:f>
        <x:v>양현수</x:v>
      </x:c>
      <x:c r="AC14" s="77" t="str">
        <x:f>IF(OR(AC4&lt;0,AC4=AB4,ISERROR(INDEX(세부시간표!$A$3:$L$1183,9*AC4-7,12))),"",INDEX(세부시간표!$A$3:$L$1183,9*AC4-7,12))</x:f>
        <x:v>양현수</x:v>
      </x:c>
      <x:c r="AD14" s="77" t="str">
        <x:f>IF(OR(AD4&lt;0,AD4=AC4,ISERROR(INDEX(세부시간표!$A$3:$L$1183,9*AD4-7,12))),"",INDEX(세부시간표!$A$3:$L$1183,9*AD4-7,12))</x:f>
        <x:v>양현수</x:v>
      </x:c>
      <x:c r="AE14" s="77" t="str">
        <x:f>IF(OR(AE4&lt;0,AE4=AD4,ISERROR(INDEX(세부시간표!$A$3:$L$1183,9*AE4-7,12))),"",INDEX(세부시간표!$A$3:$L$1183,9*AE4-7,12))</x:f>
        <x:v>양현수</x:v>
      </x:c>
      <x:c r="AF14" s="77" t="str">
        <x:f>IF(OR(AF4&lt;0,AF4=AE4,ISERROR(INDEX(세부시간표!$A$3:$L$1183,9*AF4-7,12))),"",INDEX(세부시간표!$A$3:$L$1183,9*AF4-7,12))</x:f>
        <x:v>양현수</x:v>
      </x:c>
      <x:c r="AG14" s="77" t="str">
        <x:f>IF(OR(AG4&lt;0,AG4=AF4,ISERROR(INDEX(세부시간표!$A$3:$L$1183,9*AG4-7,12))),"",INDEX(세부시간표!$A$3:$L$1183,9*AG4-7,12))</x:f>
        <x:v>양현수</x:v>
      </x:c>
      <x:c r="AH14" s="77" t="str">
        <x:f>IF(OR(AH4&lt;0,AH4=AG4,ISERROR(INDEX(세부시간표!$A$3:$L$1183,9*AH4-7,12))),"",INDEX(세부시간표!$A$3:$L$1183,9*AH4-7,12))</x:f>
        <x:v>양현수</x:v>
      </x:c>
      <x:c r="AI14" s="77" t="str">
        <x:f>IF(OR(AI4&lt;0,AI4=AH4,ISERROR(INDEX(세부시간표!$A$3:$L$1183,9*AI4-7,12))),"",INDEX(세부시간표!$A$3:$L$1183,9*AI4-7,12))</x:f>
        <x:v>양현수</x:v>
      </x:c>
      <x:c r="AJ14" s="77" t="str">
        <x:f>IF(OR(AJ4&lt;0,AJ4=AI4,ISERROR(INDEX(세부시간표!$A$3:$L$1183,9*AJ4-7,12))),"",INDEX(세부시간표!$A$3:$L$1183,9*AJ4-7,12))</x:f>
        <x:v>양현수</x:v>
      </x:c>
      <x:c r="AK14" s="77" t="str">
        <x:f>IF(OR(AK4&lt;0,AK4=AJ4,ISERROR(INDEX(세부시간표!$A$3:$L$1183,9*AK4-7,12))),"",INDEX(세부시간표!$A$3:$L$1183,9*AK4-7,12))</x:f>
        <x:v>양현수</x:v>
      </x:c>
      <x:c r="AL14" s="77" t="str">
        <x:f>IF(OR(AL4&lt;0,AL4=AK4,ISERROR(INDEX(세부시간표!$A$3:$L$1183,9*AL4-7,12))),"",INDEX(세부시간표!$A$3:$L$1183,9*AL4-7,12))</x:f>
        <x:v>양현수</x:v>
      </x:c>
      <x:c r="AM14" s="77" t="str">
        <x:f>IF(OR(AM4&lt;0,AM4=AL4,ISERROR(INDEX(세부시간표!$A$3:$L$1183,9*AM4-7,12))),"",INDEX(세부시간표!$A$3:$L$1183,9*AM4-7,12))</x:f>
        <x:v>양현수</x:v>
      </x:c>
      <x:c r="AN14" s="77" t="str">
        <x:f>IF(OR(AN4&lt;0,AN4=AM4,ISERROR(INDEX(세부시간표!$A$3:$L$1183,9*AN4-7,12))),"",INDEX(세부시간표!$A$3:$L$1183,9*AN4-7,12))</x:f>
        <x:v>양현수</x:v>
      </x:c>
      <x:c r="AO14" s="77" t="str">
        <x:f>IF(OR(AO4&lt;0,AO4=AN4,ISERROR(INDEX(세부시간표!$A$3:$L$1183,9*AO4-7,12))),"",INDEX(세부시간표!$A$3:$L$1183,9*AO4-7,12))</x:f>
        <x:v>양현수</x:v>
      </x:c>
      <x:c r="AP14" s="77" t="str">
        <x:f>IF(OR(AP4&lt;0,AP4=AO4,ISERROR(INDEX(세부시간표!$A$3:$L$1183,9*AP4-7,12))),"",INDEX(세부시간표!$A$3:$L$1183,9*AP4-7,12))</x:f>
        <x:v>양현수</x:v>
      </x:c>
      <x:c r="AQ14" s="77" t="str">
        <x:f>IF(OR(AQ4&lt;0,AQ4=AP4,ISERROR(INDEX(세부시간표!$A$3:$L$1183,9*AQ4-7,12))),"",INDEX(세부시간표!$A$3:$L$1183,9*AQ4-7,12))</x:f>
        <x:v>양현수</x:v>
      </x:c>
      <x:c r="AR14" s="77" t="str">
        <x:f>IF(OR(AR4&lt;0,AR4=AQ4,ISERROR(INDEX(세부시간표!$A$3:$L$1183,9*AR4-7,12))),"",INDEX(세부시간표!$A$3:$L$1183,9*AR4-7,12))</x:f>
        <x:v>양현수</x:v>
      </x:c>
      <x:c r="AS14" s="77" t="str">
        <x:f>IF(OR(AS4&lt;0,AS4=AR4,ISERROR(INDEX(세부시간표!$A$3:$L$1183,9*AS4-7,12))),"",INDEX(세부시간표!$A$3:$L$1183,9*AS4-7,12))</x:f>
        <x:v>양현수</x:v>
      </x:c>
      <x:c r="AT14" s="77" t="str">
        <x:f>IF(OR(AT4&lt;0,AT4=AS4,ISERROR(INDEX(세부시간표!$A$3:$L$1183,9*AT4-7,12))),"",INDEX(세부시간표!$A$3:$L$1183,9*AT4-7,12))</x:f>
        <x:v>양현수</x:v>
      </x:c>
      <x:c r="AU14" s="77" t="str">
        <x:f>IF(OR(AU4&lt;0,AU4=AT4,ISERROR(INDEX(세부시간표!$A$3:$L$1183,9*AU4-7,12))),"",INDEX(세부시간표!$A$3:$L$1183,9*AU4-7,12))</x:f>
        <x:v>양현수</x:v>
      </x:c>
      <x:c r="AV14" s="77" t="str">
        <x:f>IF(OR(AV4&lt;0,AV4=AU4,ISERROR(INDEX(세부시간표!$A$3:$L$1183,9*AV4-7,12))),"",INDEX(세부시간표!$A$3:$L$1183,9*AV4-7,12))</x:f>
        <x:v>양현수</x:v>
      </x:c>
      <x:c r="AW14" s="77" t="str">
        <x:f>IF(OR(AW4&lt;0,AW4=AV4,ISERROR(INDEX(세부시간표!$A$3:$L$1183,9*AW4-7,12))),"",INDEX(세부시간표!$A$3:$L$1183,9*AW4-7,12))</x:f>
        <x:v>양현수</x:v>
      </x:c>
      <x:c r="AX14" s="77" t="str">
        <x:f>IF(OR(AX4&lt;0,AX4=AW4,ISERROR(INDEX(세부시간표!$A$3:$L$1183,9*AX4-7,12))),"",INDEX(세부시간표!$A$3:$L$1183,9*AX4-7,12))</x:f>
        <x:v>양현수</x:v>
      </x:c>
      <x:c r="AY14" s="77" t="str">
        <x:f>IF(OR(AY4&lt;0,AY4=AX4,ISERROR(INDEX(세부시간표!$A$3:$L$1183,9*AY4-7,12))),"",INDEX(세부시간표!$A$3:$L$1183,9*AY4-7,12))</x:f>
        <x:v>양현수</x:v>
      </x:c>
      <x:c r="AZ14" s="77" t="str">
        <x:f>IF(OR(AZ4&lt;0,AZ4=AY4,ISERROR(INDEX(세부시간표!$A$3:$L$1183,9*AZ4-7,12))),"",INDEX(세부시간표!$A$3:$L$1183,9*AZ4-7,12))</x:f>
        <x:v>양현수</x:v>
      </x:c>
      <x:c r="BA14" s="77" t="str">
        <x:f>IF(OR(BA4&lt;0,BA4=AZ4,ISERROR(INDEX(세부시간표!$A$3:$L$1183,9*BA4-7,12))),"",INDEX(세부시간표!$A$3:$L$1183,9*BA4-7,12))</x:f>
        <x:v>양현수</x:v>
      </x:c>
      <x:c r="BB14" s="77" t="str">
        <x:f>IF(OR(BB4&lt;0,BB4=BA4,ISERROR(INDEX(세부시간표!$A$3:$L$1183,9*BB4-7,12))),"",INDEX(세부시간표!$A$3:$L$1183,9*BB4-7,12))</x:f>
        <x:v>양현수</x:v>
      </x:c>
      <x:c r="BC14" s="77" t="str">
        <x:f>IF(OR(BC4&lt;0,BC4=BB4,ISERROR(INDEX(세부시간표!$A$3:$L$1183,9*BC4-7,12))),"",INDEX(세부시간표!$A$3:$L$1183,9*BC4-7,12))</x:f>
        <x:v>양현수</x:v>
      </x:c>
      <x:c r="BD14" s="77" t="str">
        <x:f>IF(OR(BD4&lt;0,BD4=BC4,ISERROR(INDEX(세부시간표!$A$3:$L$1183,9*BD4-7,12))),"",INDEX(세부시간표!$A$3:$L$1183,9*BD4-7,12))</x:f>
        <x:v>양현수</x:v>
      </x:c>
      <x:c r="BE14" s="77" t="str">
        <x:f>IF(OR(BE4&lt;0,BE4=BD4,ISERROR(INDEX(세부시간표!$A$3:$L$1183,9*BE4-7,12))),"",INDEX(세부시간표!$A$3:$L$1183,9*BE4-7,12))</x:f>
        <x:v>양현수</x:v>
      </x:c>
      <x:c r="BF14" s="77" t="str">
        <x:f>IF(OR(BF4&lt;0,BF4=BE4,ISERROR(INDEX(세부시간표!$A$3:$L$1183,9*BF4-7,12))),"",INDEX(세부시간표!$A$3:$L$1183,9*BF4-7,12))</x:f>
        <x:v>양현수</x:v>
      </x:c>
      <x:c r="BG14" s="77" t="str">
        <x:f>IF(OR(BG4&lt;0,BG4=BF4,ISERROR(INDEX(세부시간표!$A$3:$L$1183,9*BG4-7,12))),"",INDEX(세부시간표!$A$3:$L$1183,9*BG4-7,12))</x:f>
        <x:v>양현수</x:v>
      </x:c>
      <x:c r="BH14" s="77" t="str">
        <x:f>IF(OR(BH4&lt;0,BH4=BG4,ISERROR(INDEX(세부시간표!$A$3:$L$1183,9*BH4-7,12))),"",INDEX(세부시간표!$A$3:$L$1183,9*BH4-7,12))</x:f>
        <x:v>양현수</x:v>
      </x:c>
      <x:c r="BI14" s="77" t="str">
        <x:f>IF(OR(BI4&lt;0,BI4=BH4,ISERROR(INDEX(세부시간표!$A$3:$L$1183,9*BI4-7,12))),"",INDEX(세부시간표!$A$3:$L$1183,9*BI4-7,12))</x:f>
        <x:v>양현수</x:v>
      </x:c>
      <x:c r="BJ14" s="77" t="str">
        <x:f>IF(OR(BJ4&lt;0,BJ4=BI4,ISERROR(INDEX(세부시간표!$A$3:$L$1183,9*BJ4-7,12))),"",INDEX(세부시간표!$A$3:$L$1183,9*BJ4-7,12))</x:f>
        <x:v>양현수</x:v>
      </x:c>
      <x:c r="BK14" s="77" t="str">
        <x:f>IF(OR(BK4&lt;0,BK4=BJ4,ISERROR(INDEX(세부시간표!$A$3:$L$1183,9*BK4-7,12))),"",INDEX(세부시간표!$A$3:$L$1183,9*BK4-7,12))</x:f>
        <x:v>양현수</x:v>
      </x:c>
      <x:c r="BL14" s="77" t="str">
        <x:f>IF(OR(BL4&lt;0,BL4=BK4,ISERROR(INDEX(세부시간표!$A$3:$L$1183,9*BL4-7,12))),"",INDEX(세부시간표!$A$3:$L$1183,9*BL4-7,12))</x:f>
        <x:v>양현수</x:v>
      </x:c>
      <x:c r="BM14" s="77" t="str">
        <x:f>IF(OR(BM4&lt;0,BM4=BL4,ISERROR(INDEX(세부시간표!$A$3:$L$1183,9*BM4-7,12))),"",INDEX(세부시간표!$A$3:$L$1183,9*BM4-7,12))</x:f>
        <x:v>양현수</x:v>
      </x:c>
      <x:c r="BN14" s="77" t="str">
        <x:f>IF(OR(BN4&lt;0,BN4=BM4,ISERROR(INDEX(세부시간표!$A$3:$L$1183,9*BN4-7,12))),"",INDEX(세부시간표!$A$3:$L$1183,9*BN4-7,12))</x:f>
        <x:v>양현수</x:v>
      </x:c>
      <x:c r="BO14" s="77" t="str">
        <x:f>IF(OR(BO4&lt;0,BO4=BN4,ISERROR(INDEX(세부시간표!$A$3:$L$1183,9*BO4-7,12))),"",INDEX(세부시간표!$A$3:$L$1183,9*BO4-7,12))</x:f>
        <x:v>양현수</x:v>
      </x:c>
      <x:c r="BP14" s="77" t="str">
        <x:f>IF(OR(BP4&lt;0,BP4=BO4,ISERROR(INDEX(세부시간표!$A$3:$L$1183,9*BP4-7,12))),"",INDEX(세부시간표!$A$3:$L$1183,9*BP4-7,12))</x:f>
        <x:v>양현수</x:v>
      </x:c>
      <x:c r="BQ14" s="77" t="str">
        <x:f>IF(OR(BQ4&lt;0,BQ4=BP4,ISERROR(INDEX(세부시간표!$A$3:$L$1183,9*BQ4-7,12))),"",INDEX(세부시간표!$A$3:$L$1183,9*BQ4-7,12))</x:f>
        <x:v>양현수</x:v>
      </x:c>
      <x:c r="BR14" s="77" t="str">
        <x:f>IF(OR(BR4&lt;0,BR4=BQ4,ISERROR(INDEX(세부시간표!$A$3:$L$1183,9*BR4-7,12))),"",INDEX(세부시간표!$A$3:$L$1183,9*BR4-7,12))</x:f>
        <x:v/>
      </x:c>
      <x:c r="BS14" s="77" t="str">
        <x:f>IF(OR(BS4&lt;0,BS4=BR4,ISERROR(INDEX(세부시간표!$A$3:$L$1183,9*BS4-7,12))),"",INDEX(세부시간표!$A$3:$L$1183,9*BS4-7,12))</x:f>
        <x:v>양현수</x:v>
      </x:c>
      <x:c r="BT14" s="77" t="str">
        <x:f>IF(OR(BT4&lt;0,BT4=BS4,ISERROR(INDEX(세부시간표!$A$3:$L$1183,9*BT4-7,12))),"",INDEX(세부시간표!$A$3:$L$1183,9*BT4-7,12))</x:f>
        <x:v>양현수</x:v>
      </x:c>
      <x:c r="BU14" s="77" t="str">
        <x:f>IF(OR(BU4&lt;0,BU4=BT4,ISERROR(INDEX(세부시간표!$A$3:$L$1183,9*BU4-7,12))),"",INDEX(세부시간표!$A$3:$L$1183,9*BU4-7,12))</x:f>
        <x:v>양현수</x:v>
      </x:c>
      <x:c r="BV14" s="77" t="str">
        <x:f>IF(OR(BV4&lt;0,BV4=BU4,ISERROR(INDEX(세부시간표!$A$3:$L$1183,9*BV4-7,12))),"",INDEX(세부시간표!$A$3:$L$1183,9*BV4-7,12))</x:f>
        <x:v>양현수</x:v>
      </x:c>
      <x:c r="BW14" s="77" t="str">
        <x:f>IF(OR(BW4&lt;0,BW4=BV4,ISERROR(INDEX(세부시간표!$A$3:$L$1183,9*BW4-7,12))),"",INDEX(세부시간표!$A$3:$L$1183,9*BW4-7,12))</x:f>
        <x:v/>
      </x:c>
      <x:c r="BX14" s="77" t="str">
        <x:f>IF(OR(BX4&lt;0,BX4=BW4,ISERROR(INDEX(세부시간표!$A$3:$L$1183,9*BX4-7,12))),"",INDEX(세부시간표!$A$3:$L$1183,9*BX4-7,12))</x:f>
        <x:v>양현수</x:v>
      </x:c>
      <x:c r="BY14" s="77" t="str">
        <x:f>IF(OR(BY4&lt;0,BY4=BX4,ISERROR(INDEX(세부시간표!$A$3:$L$1183,9*BY4-7,12))),"",INDEX(세부시간표!$A$3:$L$1183,9*BY4-7,12))</x:f>
        <x:v>양현수</x:v>
      </x:c>
      <x:c r="BZ14" s="77" t="str">
        <x:f>IF(OR(BZ4&lt;0,BZ4=BY4,ISERROR(INDEX(세부시간표!$A$3:$L$1183,9*BZ4-7,12))),"",INDEX(세부시간표!$A$3:$L$1183,9*BZ4-7,12))</x:f>
        <x:v>양현수</x:v>
      </x:c>
      <x:c r="CA14" s="77" t="str">
        <x:f>IF(OR(CA4&lt;0,CA4=BZ4,ISERROR(INDEX(세부시간표!$A$3:$L$1183,9*CA4-7,12))),"",INDEX(세부시간표!$A$3:$L$1183,9*CA4-7,12))</x:f>
        <x:v>양현수</x:v>
      </x:c>
      <x:c r="CB14" s="77" t="str">
        <x:f>IF(OR(CB4&lt;0,CB4=CA4,ISERROR(INDEX(세부시간표!$A$3:$L$1183,9*CB4-7,12))),"",INDEX(세부시간표!$A$3:$L$1183,9*CB4-7,12))</x:f>
        <x:v>양현수</x:v>
      </x:c>
      <x:c r="CC14" s="77" t="str">
        <x:f>IF(OR(CC4&lt;0,CC4=CB4,ISERROR(INDEX(세부시간표!$A$3:$L$1183,9*CC4-7,12))),"",INDEX(세부시간표!$A$3:$L$1183,9*CC4-7,12))</x:f>
        <x:v>양현수</x:v>
      </x:c>
      <x:c r="CD14" s="77" t="str">
        <x:f>IF(OR(CD4&lt;0,CD4=CC4,ISERROR(INDEX(세부시간표!$A$3:$L$1183,9*CD4-7,12))),"",INDEX(세부시간표!$A$3:$L$1183,9*CD4-7,12))</x:f>
        <x:v>양현수</x:v>
      </x:c>
      <x:c r="CE14" s="77" t="str">
        <x:f>IF(OR(CE4&lt;0,CE4=CD4,ISERROR(INDEX(세부시간표!$A$3:$L$1183,9*CE4-7,12))),"",INDEX(세부시간표!$A$3:$L$1183,9*CE4-7,12))</x:f>
        <x:v>양현수</x:v>
      </x:c>
      <x:c r="CF14" s="77" t="str">
        <x:f>IF(OR(CF4&lt;0,CF4=CE4,ISERROR(INDEX(세부시간표!$A$3:$L$1183,9*CF4-7,12))),"",INDEX(세부시간표!$A$3:$L$1183,9*CF4-7,12))</x:f>
        <x:v>양현수</x:v>
      </x:c>
      <x:c r="CG14" s="77" t="str">
        <x:f>IF(OR(CG4&lt;0,CG4=CF4,ISERROR(INDEX(세부시간표!$A$3:$L$1183,9*CG4-7,12))),"",INDEX(세부시간표!$A$3:$L$1183,9*CG4-7,12))</x:f>
        <x:v>양현수</x:v>
      </x:c>
      <x:c r="CH14" s="77" t="str">
        <x:f>IF(OR(CH4&lt;0,CH4=CG4,ISERROR(INDEX(세부시간표!$A$3:$L$1183,9*CH4-7,12))),"",INDEX(세부시간표!$A$3:$L$1183,9*CH4-7,12))</x:f>
        <x:v>양현수</x:v>
      </x:c>
      <x:c r="CI14" s="77" t="str">
        <x:f>IF(OR(CI4&lt;0,CI4=CH4,ISERROR(INDEX(세부시간표!$A$3:$L$1183,9*CI4-7,12))),"",INDEX(세부시간표!$A$3:$L$1183,9*CI4-7,12))</x:f>
        <x:v>양현수</x:v>
      </x:c>
      <x:c r="CJ14" s="77" t="str">
        <x:f>IF(OR(CJ4&lt;0,CJ4=CI4,ISERROR(INDEX(세부시간표!$A$3:$L$1183,9*CJ4-7,12))),"",INDEX(세부시간표!$A$3:$L$1183,9*CJ4-7,12))</x:f>
        <x:v>양현수</x:v>
      </x:c>
      <x:c r="CK14" s="77" t="str">
        <x:f>IF(OR(CK4&lt;0,CK4=CJ4,ISERROR(INDEX(세부시간표!$A$3:$L$1183,9*CK4-7,12))),"",INDEX(세부시간표!$A$3:$L$1183,9*CK4-7,12))</x:f>
        <x:v>양현수</x:v>
      </x:c>
      <x:c r="CL14" s="77" t="str">
        <x:f>IF(OR(CL4&lt;0,CL4=CK4,ISERROR(INDEX(세부시간표!$A$3:$L$1183,9*CL4-7,12))),"",INDEX(세부시간표!$A$3:$L$1183,9*CL4-7,12))</x:f>
        <x:v>양현수</x:v>
      </x:c>
      <x:c r="CM14" s="77" t="str">
        <x:f>IF(OR(CM4&lt;0,CM4=CL4,ISERROR(INDEX(세부시간표!$A$3:$L$1183,9*CM4-7,12))),"",INDEX(세부시간표!$A$3:$L$1183,9*CM4-7,12))</x:f>
        <x:v>양현수</x:v>
      </x:c>
      <x:c r="CN14" s="77" t="str">
        <x:f>IF(OR(CN4&lt;0,CN4=CM4,ISERROR(INDEX(세부시간표!$A$3:$L$1183,9*CN4-7,12))),"",INDEX(세부시간표!$A$3:$L$1183,9*CN4-7,12))</x:f>
        <x:v>양현수</x:v>
      </x:c>
      <x:c r="CO14" s="77" t="str">
        <x:f>IF(OR(CO4&lt;0,CO4=CN4,ISERROR(INDEX(세부시간표!$A$3:$L$1183,9*CO4-7,12))),"",INDEX(세부시간표!$A$3:$L$1183,9*CO4-7,12))</x:f>
        <x:v>양현수</x:v>
      </x:c>
      <x:c r="CP14" s="77" t="str">
        <x:f>IF(OR(CP4&lt;0,CP4=CO4,ISERROR(INDEX(세부시간표!$A$3:$L$1183,9*CP4-7,12))),"",INDEX(세부시간표!$A$3:$L$1183,9*CP4-7,12))</x:f>
        <x:v>양현수</x:v>
      </x:c>
      <x:c r="CQ14" s="77" t="str">
        <x:f>IF(OR(CQ4&lt;0,CQ4=CP4,ISERROR(INDEX(세부시간표!$A$3:$L$1183,9*CQ4-7,12))),"",INDEX(세부시간표!$A$3:$L$1183,9*CQ4-7,12))</x:f>
        <x:v>양현수</x:v>
      </x:c>
      <x:c r="CR14" s="77" t="str">
        <x:f>IF(OR(CR4&lt;0,CR4=CQ4,ISERROR(INDEX(세부시간표!$A$3:$L$1183,9*CR4-7,12))),"",INDEX(세부시간표!$A$3:$L$1183,9*CR4-7,12))</x:f>
        <x:v>양현수</x:v>
      </x:c>
      <x:c r="CS14" s="77" t="str">
        <x:f>IF(OR(CS4&lt;0,CS4=CR4,ISERROR(INDEX(세부시간표!$A$3:$L$1183,9*CS4-7,12))),"",INDEX(세부시간표!$A$3:$L$1183,9*CS4-7,12))</x:f>
        <x:v>양현수</x:v>
      </x:c>
      <x:c r="CT14" s="77" t="str">
        <x:f>IF(OR(CT4&lt;0,CT4=CS4,ISERROR(INDEX(세부시간표!$A$3:$L$1183,9*CT4-7,12))),"",INDEX(세부시간표!$A$3:$L$1183,9*CT4-7,12))</x:f>
        <x:v>양현수</x:v>
      </x:c>
      <x:c r="CU14" s="77" t="str">
        <x:f>IF(OR(CU4&lt;0,CU4=CT4,ISERROR(INDEX(세부시간표!$A$3:$L$1183,9*CU4-7,12))),"",INDEX(세부시간표!$A$3:$L$1183,9*CU4-7,12))</x:f>
        <x:v>양현수</x:v>
      </x:c>
      <x:c r="CV14" s="77" t="str">
        <x:f>IF(OR(CV4&lt;0,CV4=CU4,ISERROR(INDEX(세부시간표!$A$3:$L$1183,9*CV4-7,12))),"",INDEX(세부시간표!$A$3:$L$1183,9*CV4-7,12))</x:f>
        <x:v>양현수</x:v>
      </x:c>
      <x:c r="CW14" s="77" t="str">
        <x:f>IF(OR(CW4&lt;0,CW4=CV4,ISERROR(INDEX(세부시간표!$A$3:$L$1183,9*CW4-7,12))),"",INDEX(세부시간표!$A$3:$L$1183,9*CW4-7,12))</x:f>
        <x:v>양현수</x:v>
      </x:c>
      <x:c r="CX14" s="77" t="str">
        <x:f>IF(OR(CX4&lt;0,CX4=CW4,ISERROR(INDEX(세부시간표!$A$3:$L$1183,9*CX4-7,12))),"",INDEX(세부시간표!$A$3:$L$1183,9*CX4-7,12))</x:f>
        <x:v>양현수</x:v>
      </x:c>
      <x:c r="CY14" s="77" t="str">
        <x:f>IF(OR(CY4&lt;0,CY4=CX4,ISERROR(INDEX(세부시간표!$A$3:$L$1183,9*CY4-7,12))),"",INDEX(세부시간표!$A$3:$L$1183,9*CY4-7,12))</x:f>
        <x:v>양현수</x:v>
      </x:c>
      <x:c r="CZ14" s="77" t="str">
        <x:f>IF(OR(CZ4&lt;0,CZ4=CY4,ISERROR(INDEX(세부시간표!$A$3:$L$1183,9*CZ4-7,12))),"",INDEX(세부시간표!$A$3:$L$1183,9*CZ4-7,12))</x:f>
        <x:v>양현수</x:v>
      </x:c>
      <x:c r="DA14" s="77" t="str">
        <x:f>IF(OR(DA4&lt;0,DA4=CZ4,ISERROR(INDEX(세부시간표!$A$3:$L$1183,9*DA4-7,12))),"",INDEX(세부시간표!$A$3:$L$1183,9*DA4-7,12))</x:f>
        <x:v>양현수</x:v>
      </x:c>
      <x:c r="DB14" s="77" t="str">
        <x:f>IF(OR(DB4&lt;0,DB4=DA4,ISERROR(INDEX(세부시간표!$A$3:$L$1183,9*DB4-7,12))),"",INDEX(세부시간표!$A$3:$L$1183,9*DB4-7,12))</x:f>
        <x:v>양현수</x:v>
      </x:c>
      <x:c r="DC14" s="77" t="str">
        <x:f>IF(OR(DC4&lt;0,DC4=DB4,ISERROR(INDEX(세부시간표!$A$3:$L$1183,9*DC4-7,12))),"",INDEX(세부시간표!$A$3:$L$1183,9*DC4-7,12))</x:f>
        <x:v/>
      </x:c>
      <x:c r="DD14" s="77" t="str">
        <x:f>IF(OR(DD4&lt;0,DD4=DC4,ISERROR(INDEX(세부시간표!$A$3:$L$1183,9*DD4-7,12))),"",INDEX(세부시간표!$A$3:$L$1183,9*DD4-7,12))</x:f>
        <x:v/>
      </x:c>
      <x:c r="DE14" s="77" t="str">
        <x:f>IF(OR(DE4&lt;0,DE4=DD4,ISERROR(INDEX(세부시간표!$A$3:$L$1183,9*DE4-7,12))),"",INDEX(세부시간표!$A$3:$L$1183,9*DE4-7,12))</x:f>
        <x:v/>
      </x:c>
      <x:c r="DF14" s="77" t="str">
        <x:f>IF(OR(DF4&lt;0,DF4=DE4,ISERROR(INDEX(세부시간표!$A$3:$L$1183,9*DF4-7,12))),"",INDEX(세부시간표!$A$3:$L$1183,9*DF4-7,12))</x:f>
        <x:v>양현수</x:v>
      </x:c>
      <x:c r="DG14" s="77" t="str">
        <x:f>IF(OR(DG4&lt;0,DG4=DF4,ISERROR(INDEX(세부시간표!$A$3:$L$1183,9*DG4-7,12))),"",INDEX(세부시간표!$A$3:$L$1183,9*DG4-7,12))</x:f>
        <x:v>양현수</x:v>
      </x:c>
      <x:c r="DH14" s="77" t="str">
        <x:f>IF(OR(DH4&lt;0,DH4=DG4,ISERROR(INDEX(세부시간표!$A$3:$L$1183,9*DH4-7,12))),"",INDEX(세부시간표!$A$3:$L$1183,9*DH4-7,12))</x:f>
        <x:v>양현수</x:v>
      </x:c>
      <x:c r="DI14" s="77" t="str">
        <x:f>IF(OR(DI4&lt;0,DI4=DH4,ISERROR(INDEX(세부시간표!$A$3:$L$1183,9*DI4-7,12))),"",INDEX(세부시간표!$A$3:$L$1183,9*DI4-7,12))</x:f>
        <x:v>양현수</x:v>
      </x:c>
      <x:c r="DJ14" s="77" t="str">
        <x:f>IF(OR(DJ4&lt;0,DJ4=DI4,ISERROR(INDEX(세부시간표!$A$3:$L$1183,9*DJ4-7,12))),"",INDEX(세부시간표!$A$3:$L$1183,9*DJ4-7,12))</x:f>
        <x:v>양현수</x:v>
      </x:c>
      <x:c r="DK14" s="77" t="str">
        <x:f>IF(OR(DK4&lt;0,DK4=DJ4,ISERROR(INDEX(세부시간표!$A$3:$L$1183,9*DK4-7,12))),"",INDEX(세부시간표!$A$3:$L$1183,9*DK4-7,12))</x:f>
        <x:v>양현수</x:v>
      </x:c>
      <x:c r="DL14" s="77" t="str">
        <x:f>IF(OR(DL4&lt;0,DL4=DK4,ISERROR(INDEX(세부시간표!$A$3:$L$1183,9*DL4-7,12))),"",INDEX(세부시간표!$A$3:$L$1183,9*DL4-7,12))</x:f>
        <x:v>양현수</x:v>
      </x:c>
      <x:c r="DM14" s="77" t="str">
        <x:f>IF(OR(DM4&lt;0,DM4=DL4,ISERROR(INDEX(세부시간표!$A$3:$L$1183,9*DM4-7,12))),"",INDEX(세부시간표!$A$3:$L$1183,9*DM4-7,12))</x:f>
        <x:v/>
      </x:c>
      <x:c r="DN14" s="77" t="str">
        <x:f>IF(OR(DN4&lt;0,DN4=DM4,ISERROR(INDEX(세부시간표!$A$3:$L$1183,9*DN4-7,12))),"",INDEX(세부시간표!$A$3:$L$1183,9*DN4-7,12))</x:f>
        <x:v>양현수</x:v>
      </x:c>
      <x:c r="DO14" s="77" t="str">
        <x:f>IF(OR(DO4&lt;0,DO4=DN4,ISERROR(INDEX(세부시간표!$A$3:$L$1183,9*DO4-7,12))),"",INDEX(세부시간표!$A$3:$L$1183,9*DO4-7,12))</x:f>
        <x:v>양현수</x:v>
      </x:c>
      <x:c r="DP14" s="77" t="str">
        <x:f>IF(OR(DP4&lt;0,DP4=DO4,ISERROR(INDEX(세부시간표!$A$3:$L$1183,9*DP4-7,12))),"",INDEX(세부시간표!$A$3:$L$1183,9*DP4-7,12))</x:f>
        <x:v>양현수</x:v>
      </x:c>
      <x:c r="DQ14" s="77" t="str">
        <x:f>IF(OR(DQ4&lt;0,DQ4=DP4,ISERROR(INDEX(세부시간표!$A$3:$L$1183,9*DQ4-7,12))),"",INDEX(세부시간표!$A$3:$L$1183,9*DQ4-7,12))</x:f>
        <x:v>양현수</x:v>
      </x:c>
      <x:c r="DR14" s="77" t="str">
        <x:f>IF(OR(DR4&lt;0,DR4=DQ4,ISERROR(INDEX(세부시간표!$A$3:$L$1183,9*DR4-7,12))),"",INDEX(세부시간표!$A$3:$L$1183,9*DR4-7,12))</x:f>
        <x:v>양현수</x:v>
      </x:c>
      <x:c r="DS14" s="77" t="str">
        <x:f>IF(OR(DS4&lt;0,DS4=DR4,ISERROR(INDEX(세부시간표!$A$3:$L$1183,9*DS4-7,12))),"",INDEX(세부시간표!$A$3:$L$1183,9*DS4-7,12))</x:f>
        <x:v>양현수</x:v>
      </x:c>
      <x:c r="DT14" s="77" t="str">
        <x:f>IF(OR(DT4&lt;0,DT4=DS4,ISERROR(INDEX(세부시간표!$A$3:$L$1183,9*DT4-7,12))),"",INDEX(세부시간표!$A$3:$L$1183,9*DT4-7,12))</x:f>
        <x:v>양현수</x:v>
      </x:c>
      <x:c r="DU14" s="77" t="str">
        <x:f>IF(OR(DU4&lt;0,DU4=DT4,ISERROR(INDEX(세부시간표!$A$3:$L$1183,9*DU4-7,12))),"",INDEX(세부시간표!$A$3:$L$1183,9*DU4-7,12))</x:f>
        <x:v>양현수</x:v>
      </x:c>
      <x:c r="DV14" s="77" t="str">
        <x:f>IF(OR(DV4&lt;0,DV4=DU4,ISERROR(INDEX(세부시간표!$A$3:$L$1183,9*DV4-7,12))),"",INDEX(세부시간표!$A$3:$L$1183,9*DV4-7,12))</x:f>
        <x:v>양현수</x:v>
      </x:c>
      <x:c r="DW14" s="77" t="str">
        <x:f>IF(OR(DW4&lt;0,DW4=DV4,ISERROR(INDEX(세부시간표!$A$3:$L$1183,9*DW4-7,12))),"",INDEX(세부시간표!$A$3:$L$1183,9*DW4-7,12))</x:f>
        <x:v>양현수</x:v>
      </x:c>
      <x:c r="DX14" s="77" t="str">
        <x:f>IF(OR(DX4&lt;0,DX4=DW4,ISERROR(INDEX(세부시간표!$A$3:$L$1183,9*DX4-7,12))),"",INDEX(세부시간표!$A$3:$L$1183,9*DX4-7,12))</x:f>
        <x:v>양현수</x:v>
      </x:c>
      <x:c r="DY14" s="77" t="str">
        <x:f>IF(OR(DY4&lt;0,DY4=DX4,ISERROR(INDEX(세부시간표!$A$3:$L$1183,9*DY4-7,12))),"",INDEX(세부시간표!$A$3:$L$1183,9*DY4-7,12))</x:f>
        <x:v>양현수</x:v>
      </x:c>
      <x:c r="DZ14" s="77" t="str">
        <x:f>IF(OR(DZ4&lt;0,DZ4=DY4,ISERROR(INDEX(세부시간표!$A$3:$L$1183,9*DZ4-7,12))),"",INDEX(세부시간표!$A$3:$L$1183,9*DZ4-7,12))</x:f>
        <x:v>양현수</x:v>
      </x:c>
      <x:c r="EA14" s="77" t="str">
        <x:f>IF(OR(EA4&lt;0,EA4=DZ4,ISERROR(INDEX(세부시간표!$A$3:$L$1183,9*EA4-7,12))),"",INDEX(세부시간표!$A$3:$L$1183,9*EA4-7,12))</x:f>
        <x:v>양현수</x:v>
      </x:c>
      <x:c r="EB14" s="77" t="str">
        <x:f>IF(OR(EB4&lt;0,EB4=EA4,ISERROR(INDEX(세부시간표!$A$3:$L$1183,9*EB4-7,12))),"",INDEX(세부시간표!$A$3:$L$1183,9*EB4-7,12))</x:f>
        <x:v>양현수</x:v>
      </x:c>
      <x:c r="EC14" s="77" t="str">
        <x:f>IF(OR(EC4&lt;0,EC4=EB4,ISERROR(INDEX(세부시간표!$A$3:$L$1183,9*EC4-7,12))),"",INDEX(세부시간표!$A$3:$L$1183,9*EC4-7,12))</x:f>
        <x:v>양현수</x:v>
      </x:c>
      <x:c r="ED14" s="77" t="str">
        <x:f>IF(OR(ED4&lt;0,ED4=EC4,ISERROR(INDEX(세부시간표!$A$3:$L$1183,9*ED4-7,12))),"",INDEX(세부시간표!$A$3:$L$1183,9*ED4-7,12))</x:f>
        <x:v>양현수</x:v>
      </x:c>
      <x:c r="EE14" s="77" t="str">
        <x:f>IF(OR(EE4&lt;0,EE4=ED4,ISERROR(INDEX(세부시간표!$A$3:$L$1183,9*EE4-7,12))),"",INDEX(세부시간표!$A$3:$L$1183,9*EE4-7,12))</x:f>
        <x:v/>
      </x:c>
      <x:c r="EF14" s="77" t="str">
        <x:f>IF(OR(EF4&lt;0,EF4=EE4,ISERROR(INDEX(세부시간표!$A$3:$L$1183,9*EF4-7,12))),"",INDEX(세부시간표!$A$3:$L$1183,9*EF4-7,12))</x:f>
        <x:v/>
      </x:c>
      <x:c r="EG14" s="77" t="str">
        <x:f>IF(OR(EG4&lt;0,EG4=EF4,ISERROR(INDEX(세부시간표!$A$3:$L$1183,9*EG4-7,12))),"",INDEX(세부시간표!$A$3:$L$1183,9*EG4-7,12))</x:f>
        <x:v/>
      </x:c>
      <x:c r="EH14" s="77" t="str">
        <x:f>IF(OR(EH4&lt;0,EH4=EG4,ISERROR(INDEX(세부시간표!$A$3:$L$1183,9*EH4-7,12))),"",INDEX(세부시간표!$A$3:$L$1183,9*EH4-7,12))</x:f>
        <x:v/>
      </x:c>
      <x:c r="EI14" s="77" t="str">
        <x:f>IF(OR(EI4&lt;0,EI4=EH4,ISERROR(INDEX(세부시간표!$A$3:$L$1183,9*EI4-7,12))),"",INDEX(세부시간표!$A$3:$L$1183,9*EI4-7,12))</x:f>
        <x:v/>
      </x:c>
      <x:c r="EJ14" s="77" t="str">
        <x:f>IF(OR(EJ4&lt;0,EJ4=EI4,ISERROR(INDEX(세부시간표!$A$3:$L$1183,9*EJ4-7,12))),"",INDEX(세부시간표!$A$3:$L$1183,9*EJ4-7,12))</x:f>
        <x:v/>
      </x:c>
      <x:c r="EK14" s="77" t="str">
        <x:f>IF(OR(EK4&lt;0,EK4=EJ4,ISERROR(INDEX(세부시간표!$A$3:$L$1183,9*EK4-7,12))),"",INDEX(세부시간표!$A$3:$L$1183,9*EK4-7,12))</x:f>
        <x:v/>
      </x:c>
      <x:c r="EL14" s="57" t="str">
        <x:f>IF(OR(EL4&lt;0,EL4=EK4,ISERROR(INDEX(세부시간표!$A$3:$L$1183,9*EL4-7,12))),"",INDEX(세부시간표!$A$3:$L$1183,9*EL4-7,12))</x:f>
        <x:v/>
      </x:c>
      <x:c r="EM14" s="55" t="str">
        <x:f>IF(OR(EM4&lt;0,EM4=EL4,ISERROR(INDEX(세부시간표!$A$3:$L$1183,9*EM4-7,12))),"",INDEX(세부시간표!$A$3:$L$1183,9*EM4-7,12))</x:f>
        <x:v/>
      </x:c>
      <x:c r="EN14" s="55" t="str">
        <x:f>IF(OR(EN4&lt;0,EN4=EM4,ISERROR(INDEX(세부시간표!$A$3:$L$1183,9*EN4-7,12))),"",INDEX(세부시간표!$A$3:$L$1183,9*EN4-7,12))</x:f>
        <x:v/>
      </x:c>
      <x:c r="EO14" s="55" t="str">
        <x:f>IF(OR(EO4&lt;0,EO4=EN4,ISERROR(INDEX(세부시간표!$A$3:$L$1183,9*EO4-7,12))),"",INDEX(세부시간표!$A$3:$L$1183,9*EO4-7,12))</x:f>
        <x:v/>
      </x:c>
      <x:c r="EP14" s="56" t="str">
        <x:f>IF(OR(EP4&lt;0,EP4=EO4,ISERROR(INDEX(세부시간표!$A$3:$L$1183,9*EP4-7,12))),"",INDEX(세부시간표!$A$3:$L$1183,9*EP4-7,12))</x:f>
        <x:v/>
      </x:c>
    </x:row>
    <x:row r="15" spans="1:146" s="86" customFormat="1" ht="15" customHeight="1">
      <x:c r="A15" s="277" t="s">
        <x:v>73</x:v>
      </x:c>
      <x:c r="B15" s="82" t="str">
        <x:f>IF(OR(B4&lt;0,B4=A4,ISERROR(INDEX(세부시간표!$A$3:$L$1183,9*B4-6,10))),"",INDEX(세부시간표!$A$3:$L$1183,9*B4-6,10))</x:f>
        <x:v>웹 애플리케이션 개발</x:v>
      </x:c>
      <x:c r="C15" s="82" t="str">
        <x:f>IF(OR(C4&lt;0,C4=B4,ISERROR(INDEX(세부시간표!$A$3:$L$1183,9*C4-6,10))),"",INDEX(세부시간표!$A$3:$L$1183,9*C4-6,10))</x:f>
        <x:v>웹 애플리케이션 개발</x:v>
      </x:c>
      <x:c r="D15" s="82" t="str">
        <x:f>IF(OR(D4&lt;0,D4=C4,ISERROR(INDEX(세부시간표!$A$3:$L$1183,9*D4-6,10))),"",INDEX(세부시간표!$A$3:$L$1183,9*D4-6,10))</x:f>
        <x:v>웹 애플리케이션 개발</x:v>
      </x:c>
      <x:c r="E15" s="82" t="str">
        <x:f>IF(OR(E4&lt;0,E4=D4,ISERROR(INDEX(세부시간표!$A$3:$L$1183,9*E4-6,10))),"",INDEX(세부시간표!$A$3:$L$1183,9*E4-6,10))</x:f>
        <x:v>웹 애플리케이션 개발</x:v>
      </x:c>
      <x:c r="F15" s="82" t="str">
        <x:f>IF(OR(F4&lt;0,F4=E4,ISERROR(INDEX(세부시간표!$A$3:$L$1183,9*F4-6,10))),"",INDEX(세부시간표!$A$3:$L$1183,9*F4-6,10))</x:f>
        <x:v>웹 애플리케이션 개발</x:v>
      </x:c>
      <x:c r="G15" s="82" t="str">
        <x:f>IF(OR(G4&lt;0,G4=F4,ISERROR(INDEX(세부시간표!$A$3:$L$1183,9*G4-6,10))),"",INDEX(세부시간표!$A$3:$L$1183,9*G4-6,10))</x:f>
        <x:v>웹 애플리케이션 개발</x:v>
      </x:c>
      <x:c r="H15" s="82" t="str">
        <x:f>IF(OR(H4&lt;0,H4=G4,ISERROR(INDEX(세부시간표!$A$3:$L$1183,9*H4-6,10))),"",INDEX(세부시간표!$A$3:$L$1183,9*H4-6,10))</x:f>
        <x:v>웹 애플리케이션 개발</x:v>
      </x:c>
      <x:c r="I15" s="82" t="str">
        <x:f>IF(OR(I4&lt;0,I4=H4,ISERROR(INDEX(세부시간표!$A$3:$L$1183,9*I4-6,10))),"",INDEX(세부시간표!$A$3:$L$1183,9*I4-6,10))</x:f>
        <x:v>웹 애플리케이션 개발</x:v>
      </x:c>
      <x:c r="J15" s="82" t="str">
        <x:f>IF(OR(J4&lt;0,J4=I4,ISERROR(INDEX(세부시간표!$A$3:$L$1183,9*J4-6,10))),"",INDEX(세부시간표!$A$3:$L$1183,9*J4-6,10))</x:f>
        <x:v>웹 애플리케이션 개발</x:v>
      </x:c>
      <x:c r="K15" s="82" t="str">
        <x:f>IF(OR(K4&lt;0,K4=J4,ISERROR(INDEX(세부시간표!$A$3:$L$1183,9*K4-6,10))),"",INDEX(세부시간표!$A$3:$L$1183,9*K4-6,10))</x:f>
        <x:v/>
      </x:c>
      <x:c r="L15" s="82" t="str">
        <x:f>IF(OR(L4&lt;0,L4=K4,ISERROR(INDEX(세부시간표!$A$3:$L$1183,9*L4-6,10))),"",INDEX(세부시간표!$A$3:$L$1183,9*L4-6,10))</x:f>
        <x:v/>
      </x:c>
      <x:c r="M15" s="82" t="str">
        <x:f>IF(OR(M4&lt;0,M4=L4,ISERROR(INDEX(세부시간표!$A$3:$L$1183,9*M4-6,10))),"",INDEX(세부시간표!$A$3:$L$1183,9*M4-6,10))</x:f>
        <x:v/>
      </x:c>
      <x:c r="N15" s="82" t="str">
        <x:f>IF(OR(N4&lt;0,N4=M4,ISERROR(INDEX(세부시간표!$A$3:$L$1183,9*N4-6,10))),"",INDEX(세부시간표!$A$3:$L$1183,9*N4-6,10))</x:f>
        <x:v/>
      </x:c>
      <x:c r="O15" s="82" t="str">
        <x:f>IF(OR(O4&lt;0,O4=N4,ISERROR(INDEX(세부시간표!$A$3:$L$1183,9*O4-6,10))),"",INDEX(세부시간표!$A$3:$L$1183,9*O4-6,10))</x:f>
        <x:v/>
      </x:c>
      <x:c r="P15" s="82" t="str">
        <x:f>IF(OR(P4&lt;0,P4=O4,ISERROR(INDEX(세부시간표!$A$3:$L$1183,9*P4-6,10))),"",INDEX(세부시간표!$A$3:$L$1183,9*P4-6,10))</x:f>
        <x:v>웹 애플리케이션 개발</x:v>
      </x:c>
      <x:c r="Q15" s="82" t="str">
        <x:f>IF(OR(Q4&lt;0,Q4=P4,ISERROR(INDEX(세부시간표!$A$3:$L$1183,9*Q4-6,10))),"",INDEX(세부시간표!$A$3:$L$1183,9*Q4-6,10))</x:f>
        <x:v>웹&amp;콘텐츠 서비스 개발</x:v>
      </x:c>
      <x:c r="R15" s="82" t="str">
        <x:f>IF(OR(R4&lt;0,R4=Q4,ISERROR(INDEX(세부시간표!$A$3:$L$1183,9*R4-6,10))),"",INDEX(세부시간표!$A$3:$L$1183,9*R4-6,10))</x:f>
        <x:v>웹&amp;콘텐츠 서비스 개발</x:v>
      </x:c>
      <x:c r="S15" s="82" t="str">
        <x:f>IF(OR(S4&lt;0,S4=R4,ISERROR(INDEX(세부시간표!$A$3:$L$1183,9*S4-6,10))),"",INDEX(세부시간표!$A$3:$L$1183,9*S4-6,10))</x:f>
        <x:v>웹&amp;콘텐츠 서비스 개발</x:v>
      </x:c>
      <x:c r="T15" s="82" t="str">
        <x:f>IF(OR(T4&lt;0,T4=S4,ISERROR(INDEX(세부시간표!$A$3:$L$1183,9*T4-6,10))),"",INDEX(세부시간표!$A$3:$L$1183,9*T4-6,10))</x:f>
        <x:v>웹&amp;콘텐츠 서비스 개발</x:v>
      </x:c>
      <x:c r="U15" s="82" t="str">
        <x:f>IF(OR(U4&lt;0,U4=T4,ISERROR(INDEX(세부시간표!$A$3:$L$1183,9*U4-6,10))),"",INDEX(세부시간표!$A$3:$L$1183,9*U4-6,10))</x:f>
        <x:v>웹&amp;콘텐츠 서비스 개발</x:v>
      </x:c>
      <x:c r="V15" s="82" t="str">
        <x:f>IF(OR(V4&lt;0,V4=U4,ISERROR(INDEX(세부시간표!$A$3:$L$1183,9*V4-6,10))),"",INDEX(세부시간표!$A$3:$L$1183,9*V4-6,10))</x:f>
        <x:v>SQL 및 데이터 모델링</x:v>
      </x:c>
      <x:c r="W15" s="82" t="str">
        <x:f>IF(OR(W4&lt;0,W4=V4,ISERROR(INDEX(세부시간표!$A$3:$L$1183,9*W4-6,10))),"",INDEX(세부시간표!$A$3:$L$1183,9*W4-6,10))</x:f>
        <x:v>SQL 및 데이터 모델링</x:v>
      </x:c>
      <x:c r="X15" s="82" t="str">
        <x:f>IF(OR(X4&lt;0,X4=W4,ISERROR(INDEX(세부시간표!$A$3:$L$1183,9*X4-6,10))),"",INDEX(세부시간표!$A$3:$L$1183,9*X4-6,10))</x:f>
        <x:v>SQL 및 데이터 모델링</x:v>
      </x:c>
      <x:c r="Y15" s="82" t="str">
        <x:f>IF(OR(Y4&lt;0,Y4=X4,ISERROR(INDEX(세부시간표!$A$3:$L$1183,9*Y4-6,10))),"",INDEX(세부시간표!$A$3:$L$1183,9*Y4-6,10))</x:f>
        <x:v>SQL 및 데이터 모델링</x:v>
      </x:c>
      <x:c r="Z15" s="82" t="str">
        <x:f>IF(OR(Z4&lt;0,Z4=Y4,ISERROR(INDEX(세부시간표!$A$3:$L$1183,9*Z4-6,10))),"",INDEX(세부시간표!$A$3:$L$1183,9*Z4-6,10))</x:f>
        <x:v>SQL 및 데이터 모델링</x:v>
      </x:c>
      <x:c r="AA15" s="82" t="str">
        <x:f>IF(OR(AA4&lt;0,AA4=Z4,ISERROR(INDEX(세부시간표!$A$3:$L$1183,9*AA4-6,10))),"",INDEX(세부시간표!$A$3:$L$1183,9*AA4-6,10))</x:f>
        <x:v>SQL 및 데이터 모델링</x:v>
      </x:c>
      <x:c r="AB15" s="82" t="str">
        <x:f>IF(OR(AB4&lt;0,AB4=AA4,ISERROR(INDEX(세부시간표!$A$3:$L$1183,9*AB4-6,10))),"",INDEX(세부시간표!$A$3:$L$1183,9*AB4-6,10))</x:f>
        <x:v>SQL 및 데이터 모델링</x:v>
      </x:c>
      <x:c r="AC15" s="82" t="str">
        <x:f>IF(OR(AC4&lt;0,AC4=AB4,ISERROR(INDEX(세부시간표!$A$3:$L$1183,9*AC4-6,10))),"",INDEX(세부시간표!$A$3:$L$1183,9*AC4-6,10))</x:f>
        <x:v>SQL 및 데이터 모델링</x:v>
      </x:c>
      <x:c r="AD15" s="82" t="str">
        <x:f>IF(OR(AD4&lt;0,AD4=AC4,ISERROR(INDEX(세부시간표!$A$3:$L$1183,9*AD4-6,10))),"",INDEX(세부시간표!$A$3:$L$1183,9*AD4-6,10))</x:f>
        <x:v>SQL 및 데이터 모델링</x:v>
      </x:c>
      <x:c r="AE15" s="82" t="str">
        <x:f>IF(OR(AE4&lt;0,AE4=AD4,ISERROR(INDEX(세부시간표!$A$3:$L$1183,9*AE4-6,10))),"",INDEX(세부시간표!$A$3:$L$1183,9*AE4-6,10))</x:f>
        <x:v>AI개발 기초</x:v>
      </x:c>
      <x:c r="AF15" s="82" t="str">
        <x:f>IF(OR(AF4&lt;0,AF4=AE4,ISERROR(INDEX(세부시간표!$A$3:$L$1183,9*AF4-6,10))),"",INDEX(세부시간표!$A$3:$L$1183,9*AF4-6,10))</x:f>
        <x:v>AI개발 기초</x:v>
      </x:c>
      <x:c r="AG15" s="82" t="str">
        <x:f>IF(OR(AG4&lt;0,AG4=AF4,ISERROR(INDEX(세부시간표!$A$3:$L$1183,9*AG4-6,10))),"",INDEX(세부시간표!$A$3:$L$1183,9*AG4-6,10))</x:f>
        <x:v>AI개발 기초</x:v>
      </x:c>
      <x:c r="AH15" s="82" t="str">
        <x:f>IF(OR(AH4&lt;0,AH4=AG4,ISERROR(INDEX(세부시간표!$A$3:$L$1183,9*AH4-6,10))),"",INDEX(세부시간표!$A$3:$L$1183,9*AH4-6,10))</x:f>
        <x:v>AI개발 기초</x:v>
      </x:c>
      <x:c r="AI15" s="82" t="str">
        <x:f>IF(OR(AI4&lt;0,AI4=AH4,ISERROR(INDEX(세부시간표!$A$3:$L$1183,9*AI4-6,10))),"",INDEX(세부시간표!$A$3:$L$1183,9*AI4-6,10))</x:f>
        <x:v>AI개발 기초</x:v>
      </x:c>
      <x:c r="AJ15" s="82" t="str">
        <x:f>IF(OR(AJ4&lt;0,AJ4=AI4,ISERROR(INDEX(세부시간표!$A$3:$L$1183,9*AJ4-6,10))),"",INDEX(세부시간표!$A$3:$L$1183,9*AJ4-6,10))</x:f>
        <x:v>AI개발 기초</x:v>
      </x:c>
      <x:c r="AK15" s="82" t="str">
        <x:f>IF(OR(AK4&lt;0,AK4=AJ4,ISERROR(INDEX(세부시간표!$A$3:$L$1183,9*AK4-6,10))),"",INDEX(세부시간표!$A$3:$L$1183,9*AK4-6,10))</x:f>
        <x:v>AI개발 기초</x:v>
      </x:c>
      <x:c r="AL15" s="82" t="str">
        <x:f>IF(OR(AL4&lt;0,AL4=AK4,ISERROR(INDEX(세부시간표!$A$3:$L$1183,9*AL4-6,10))),"",INDEX(세부시간표!$A$3:$L$1183,9*AL4-6,10))</x:f>
        <x:v>AI개발 기초</x:v>
      </x:c>
      <x:c r="AM15" s="82" t="str">
        <x:f>IF(OR(AM4&lt;0,AM4=AL4,ISERROR(INDEX(세부시간표!$A$3:$L$1183,9*AM4-6,10))),"",INDEX(세부시간표!$A$3:$L$1183,9*AM4-6,10))</x:f>
        <x:v>AI개발 기초</x:v>
      </x:c>
      <x:c r="AN15" s="82" t="str">
        <x:f>IF(OR(AN4&lt;0,AN4=AM4,ISERROR(INDEX(세부시간표!$A$3:$L$1183,9*AN4-6,10))),"",INDEX(세부시간표!$A$3:$L$1183,9*AN4-6,10))</x:f>
        <x:v>AI개발 기초</x:v>
      </x:c>
      <x:c r="AO15" s="82" t="str">
        <x:f>IF(OR(AO4&lt;0,AO4=AN4,ISERROR(INDEX(세부시간표!$A$3:$L$1183,9*AO4-6,10))),"",INDEX(세부시간표!$A$3:$L$1183,9*AO4-6,10))</x:f>
        <x:v>AI개발 기초</x:v>
      </x:c>
      <x:c r="AP15" s="82" t="str">
        <x:f>IF(OR(AP4&lt;0,AP4=AO4,ISERROR(INDEX(세부시간표!$A$3:$L$1183,9*AP4-6,10))),"",INDEX(세부시간표!$A$3:$L$1183,9*AP4-6,10))</x:f>
        <x:v>AI개발 기초</x:v>
      </x:c>
      <x:c r="AQ15" s="82" t="str">
        <x:f>IF(OR(AQ4&lt;0,AQ4=AP4,ISERROR(INDEX(세부시간표!$A$3:$L$1183,9*AQ4-6,10))),"",INDEX(세부시간표!$A$3:$L$1183,9*AQ4-6,10))</x:f>
        <x:v>AI개발 기초</x:v>
      </x:c>
      <x:c r="AR15" s="82" t="str">
        <x:f>IF(OR(AR4&lt;0,AR4=AQ4,ISERROR(INDEX(세부시간표!$A$3:$L$1183,9*AR4-6,10))),"",INDEX(세부시간표!$A$3:$L$1183,9*AR4-6,10))</x:f>
        <x:v>인공지능 프로그래밍</x:v>
      </x:c>
      <x:c r="AS15" s="82" t="str">
        <x:f>IF(OR(AS4&lt;0,AS4=AR4,ISERROR(INDEX(세부시간표!$A$3:$L$1183,9*AS4-6,10))),"",INDEX(세부시간표!$A$3:$L$1183,9*AS4-6,10))</x:f>
        <x:v>인공지능 프로그래밍</x:v>
      </x:c>
      <x:c r="AT15" s="82" t="str">
        <x:f>IF(OR(AT4&lt;0,AT4=AS4,ISERROR(INDEX(세부시간표!$A$3:$L$1183,9*AT4-6,10))),"",INDEX(세부시간표!$A$3:$L$1183,9*AT4-6,10))</x:f>
        <x:v>인공지능 프로그래밍</x:v>
      </x:c>
      <x:c r="AU15" s="82" t="str">
        <x:f>IF(OR(AU4&lt;0,AU4=AT4,ISERROR(INDEX(세부시간표!$A$3:$L$1183,9*AU4-6,10))),"",INDEX(세부시간표!$A$3:$L$1183,9*AU4-6,10))</x:f>
        <x:v>인공지능 프로그래밍</x:v>
      </x:c>
      <x:c r="AV15" s="82" t="str">
        <x:f>IF(OR(AV4&lt;0,AV4=AU4,ISERROR(INDEX(세부시간표!$A$3:$L$1183,9*AV4-6,10))),"",INDEX(세부시간표!$A$3:$L$1183,9*AV4-6,10))</x:f>
        <x:v>인공지능 프로그래밍</x:v>
      </x:c>
      <x:c r="AW15" s="82" t="str">
        <x:f>IF(OR(AW4&lt;0,AW4=AV4,ISERROR(INDEX(세부시간표!$A$3:$L$1183,9*AW4-6,10))),"",INDEX(세부시간표!$A$3:$L$1183,9*AW4-6,10))</x:f>
        <x:v>인공지능 프로그래밍</x:v>
      </x:c>
      <x:c r="AX15" s="82" t="str">
        <x:f>IF(OR(AX4&lt;0,AX4=AW4,ISERROR(INDEX(세부시간표!$A$3:$L$1183,9*AX4-6,10))),"",INDEX(세부시간표!$A$3:$L$1183,9*AX4-6,10))</x:f>
        <x:v>인공지능 프로그래밍</x:v>
      </x:c>
      <x:c r="AY15" s="82" t="str">
        <x:f>IF(OR(AY4&lt;0,AY4=AX4,ISERROR(INDEX(세부시간표!$A$3:$L$1183,9*AY4-6,10))),"",INDEX(세부시간표!$A$3:$L$1183,9*AY4-6,10))</x:f>
        <x:v>인공지능 프로그래밍</x:v>
      </x:c>
      <x:c r="AZ15" s="82" t="str">
        <x:f>IF(OR(AZ4&lt;0,AZ4=AY4,ISERROR(INDEX(세부시간표!$A$3:$L$1183,9*AZ4-6,10))),"",INDEX(세부시간표!$A$3:$L$1183,9*AZ4-6,10))</x:f>
        <x:v>인공지능 프로그래밍</x:v>
      </x:c>
      <x:c r="BA15" s="82" t="str">
        <x:f>IF(OR(BA4&lt;0,BA4=AZ4,ISERROR(INDEX(세부시간표!$A$3:$L$1183,9*BA4-6,10))),"",INDEX(세부시간표!$A$3:$L$1183,9*BA4-6,10))</x:f>
        <x:v>인공지능 프로그래밍</x:v>
      </x:c>
      <x:c r="BB15" s="82" t="str">
        <x:f>IF(OR(BB4&lt;0,BB4=BA4,ISERROR(INDEX(세부시간표!$A$3:$L$1183,9*BB4-6,10))),"",INDEX(세부시간표!$A$3:$L$1183,9*BB4-6,10))</x:f>
        <x:v>인공지능 프로그래밍</x:v>
      </x:c>
      <x:c r="BC15" s="82" t="str">
        <x:f>IF(OR(BC4&lt;0,BC4=BB4,ISERROR(INDEX(세부시간표!$A$3:$L$1183,9*BC4-6,10))),"",INDEX(세부시간표!$A$3:$L$1183,9*BC4-6,10))</x:f>
        <x:v>인공지능 프로그래밍</x:v>
      </x:c>
      <x:c r="BD15" s="82" t="str">
        <x:f>IF(OR(BD4&lt;0,BD4=BC4,ISERROR(INDEX(세부시간표!$A$3:$L$1183,9*BD4-6,10))),"",INDEX(세부시간표!$A$3:$L$1183,9*BD4-6,10))</x:f>
        <x:v>인공지능 프로그래밍</x:v>
      </x:c>
      <x:c r="BE15" s="82" t="str">
        <x:f>IF(OR(BE4&lt;0,BE4=BD4,ISERROR(INDEX(세부시간표!$A$3:$L$1183,9*BE4-6,10))),"",INDEX(세부시간표!$A$3:$L$1183,9*BE4-6,10))</x:f>
        <x:v>인공지능 프로그래밍</x:v>
      </x:c>
      <x:c r="BF15" s="82" t="str">
        <x:f>IF(OR(BF4&lt;0,BF4=BE4,ISERROR(INDEX(세부시간표!$A$3:$L$1183,9*BF4-6,10))),"",INDEX(세부시간표!$A$3:$L$1183,9*BF4-6,10))</x:f>
        <x:v>인공지능 프로그래밍</x:v>
      </x:c>
      <x:c r="BG15" s="82" t="str">
        <x:f>IF(OR(BG4&lt;0,BG4=BF4,ISERROR(INDEX(세부시간표!$A$3:$L$1183,9*BG4-6,10))),"",INDEX(세부시간표!$A$3:$L$1183,9*BG4-6,10))</x:f>
        <x:v>인공지능 프로그래밍</x:v>
      </x:c>
      <x:c r="BH15" s="82" t="str">
        <x:f>IF(OR(BH4&lt;0,BH4=BG4,ISERROR(INDEX(세부시간표!$A$3:$L$1183,9*BH4-6,10))),"",INDEX(세부시간표!$A$3:$L$1183,9*BH4-6,10))</x:f>
        <x:v>Advanced 프로젝트</x:v>
      </x:c>
      <x:c r="BI15" s="82" t="str">
        <x:f>IF(OR(BI4&lt;0,BI4=BH4,ISERROR(INDEX(세부시간표!$A$3:$L$1183,9*BI4-6,10))),"",INDEX(세부시간표!$A$3:$L$1183,9*BI4-6,10))</x:f>
        <x:v>Advanced 프로젝트</x:v>
      </x:c>
      <x:c r="BJ15" s="82" t="str">
        <x:f>IF(OR(BJ4&lt;0,BJ4=BI4,ISERROR(INDEX(세부시간표!$A$3:$L$1183,9*BJ4-6,10))),"",INDEX(세부시간표!$A$3:$L$1183,9*BJ4-6,10))</x:f>
        <x:v>Advanced 프로젝트</x:v>
      </x:c>
      <x:c r="BK15" s="82" t="str">
        <x:f>IF(OR(BK4&lt;0,BK4=BJ4,ISERROR(INDEX(세부시간표!$A$3:$L$1183,9*BK4-6,10))),"",INDEX(세부시간표!$A$3:$L$1183,9*BK4-6,10))</x:f>
        <x:v>Advanced 프로젝트</x:v>
      </x:c>
      <x:c r="BL15" s="82" t="str">
        <x:f>IF(OR(BL4&lt;0,BL4=BK4,ISERROR(INDEX(세부시간표!$A$3:$L$1183,9*BL4-6,10))),"",INDEX(세부시간표!$A$3:$L$1183,9*BL4-6,10))</x:f>
        <x:v>Advanced 프로젝트</x:v>
      </x:c>
      <x:c r="BM15" s="82" t="str">
        <x:f>IF(OR(BM4&lt;0,BM4=BL4,ISERROR(INDEX(세부시간표!$A$3:$L$1183,9*BM4-6,10))),"",INDEX(세부시간표!$A$3:$L$1183,9*BM4-6,10))</x:f>
        <x:v>Advanced 프로젝트</x:v>
      </x:c>
      <x:c r="BN15" s="82" t="str">
        <x:f>IF(OR(BN4&lt;0,BN4=BM4,ISERROR(INDEX(세부시간표!$A$3:$L$1183,9*BN4-6,10))),"",INDEX(세부시간표!$A$3:$L$1183,9*BN4-6,10))</x:f>
        <x:v>Advanced 프로젝트</x:v>
      </x:c>
      <x:c r="BO15" s="82" t="str">
        <x:f>IF(OR(BO4&lt;0,BO4=BN4,ISERROR(INDEX(세부시간표!$A$3:$L$1183,9*BO4-6,10))),"",INDEX(세부시간표!$A$3:$L$1183,9*BO4-6,10))</x:f>
        <x:v>Advanced 프로젝트</x:v>
      </x:c>
      <x:c r="BP15" s="82" t="str">
        <x:f>IF(OR(BP4&lt;0,BP4=BO4,ISERROR(INDEX(세부시간표!$A$3:$L$1183,9*BP4-6,10))),"",INDEX(세부시간표!$A$3:$L$1183,9*BP4-6,10))</x:f>
        <x:v>Advanced 프로젝트</x:v>
      </x:c>
      <x:c r="BQ15" s="82" t="str">
        <x:f>IF(OR(BQ4&lt;0,BQ4=BP4,ISERROR(INDEX(세부시간표!$A$3:$L$1183,9*BQ4-6,10))),"",INDEX(세부시간표!$A$3:$L$1183,9*BQ4-6,10))</x:f>
        <x:v>Advanced 프로젝트</x:v>
      </x:c>
      <x:c r="BR15" s="82" t="str">
        <x:f>IF(OR(BR4&lt;0,BR4=BQ4,ISERROR(INDEX(세부시간표!$A$3:$L$1183,9*BR4-6,10))),"",INDEX(세부시간표!$A$3:$L$1183,9*BR4-6,10))</x:f>
        <x:v/>
      </x:c>
      <x:c r="BS15" s="82" t="str">
        <x:f>IF(OR(BS4&lt;0,BS4=BR4,ISERROR(INDEX(세부시간표!$A$3:$L$1183,9*BS4-6,10))),"",INDEX(세부시간표!$A$3:$L$1183,9*BS4-6,10))</x:f>
        <x:v>Advanced 프로젝트</x:v>
      </x:c>
      <x:c r="BT15" s="82" t="str">
        <x:f>IF(OR(BT4&lt;0,BT4=BS4,ISERROR(INDEX(세부시간표!$A$3:$L$1183,9*BT4-6,10))),"",INDEX(세부시간표!$A$3:$L$1183,9*BT4-6,10))</x:f>
        <x:v>Advanced 프로젝트</x:v>
      </x:c>
      <x:c r="BU15" s="82" t="str">
        <x:f>IF(OR(BU4&lt;0,BU4=BT4,ISERROR(INDEX(세부시간표!$A$3:$L$1183,9*BU4-6,10))),"",INDEX(세부시간표!$A$3:$L$1183,9*BU4-6,10))</x:f>
        <x:v>Advanced 프로젝트</x:v>
      </x:c>
      <x:c r="BV15" s="82" t="str">
        <x:f>IF(OR(BV4&lt;0,BV4=BU4,ISERROR(INDEX(세부시간표!$A$3:$L$1183,9*BV4-6,10))),"",INDEX(세부시간표!$A$3:$L$1183,9*BV4-6,10))</x:f>
        <x:v>빅데이터 분석 및 시각화</x:v>
      </x:c>
      <x:c r="BW15" s="82" t="str">
        <x:f>IF(OR(BW4&lt;0,BW4=BV4,ISERROR(INDEX(세부시간표!$A$3:$L$1183,9*BW4-6,10))),"",INDEX(세부시간표!$A$3:$L$1183,9*BW4-6,10))</x:f>
        <x:v/>
      </x:c>
      <x:c r="BX15" s="82" t="str">
        <x:f>IF(OR(BX4&lt;0,BX4=BW4,ISERROR(INDEX(세부시간표!$A$3:$L$1183,9*BX4-6,10))),"",INDEX(세부시간표!$A$3:$L$1183,9*BX4-6,10))</x:f>
        <x:v>빅데이터 분석 및 시각화</x:v>
      </x:c>
      <x:c r="BY15" s="82" t="str">
        <x:f>IF(OR(BY4&lt;0,BY4=BX4,ISERROR(INDEX(세부시간표!$A$3:$L$1183,9*BY4-6,10))),"",INDEX(세부시간표!$A$3:$L$1183,9*BY4-6,10))</x:f>
        <x:v>빅데이터 분석 및 시각화</x:v>
      </x:c>
      <x:c r="BZ15" s="82" t="str">
        <x:f>IF(OR(BZ4&lt;0,BZ4=BY4,ISERROR(INDEX(세부시간표!$A$3:$L$1183,9*BZ4-6,10))),"",INDEX(세부시간표!$A$3:$L$1183,9*BZ4-6,10))</x:f>
        <x:v>빅데이터 분석 및 시각화</x:v>
      </x:c>
      <x:c r="CA15" s="82" t="str">
        <x:f>IF(OR(CA4&lt;0,CA4=BZ4,ISERROR(INDEX(세부시간표!$A$3:$L$1183,9*CA4-6,10))),"",INDEX(세부시간표!$A$3:$L$1183,9*CA4-6,10))</x:f>
        <x:v>빅데이터 분석 및 시각화</x:v>
      </x:c>
      <x:c r="CB15" s="82" t="str">
        <x:f>IF(OR(CB4&lt;0,CB4=CA4,ISERROR(INDEX(세부시간표!$A$3:$L$1183,9*CB4-6,10))),"",INDEX(세부시간표!$A$3:$L$1183,9*CB4-6,10))</x:f>
        <x:v>빅데이터 시스템 구축</x:v>
      </x:c>
      <x:c r="CC15" s="82" t="str">
        <x:f>IF(OR(CC4&lt;0,CC4=CB4,ISERROR(INDEX(세부시간표!$A$3:$L$1183,9*CC4-6,10))),"",INDEX(세부시간표!$A$3:$L$1183,9*CC4-6,10))</x:f>
        <x:v>빅데이터 시스템 구축</x:v>
      </x:c>
      <x:c r="CD15" s="82" t="str">
        <x:f>IF(OR(CD4&lt;0,CD4=CC4,ISERROR(INDEX(세부시간표!$A$3:$L$1183,9*CD4-6,10))),"",INDEX(세부시간표!$A$3:$L$1183,9*CD4-6,10))</x:f>
        <x:v>빅데이터 시스템 구축</x:v>
      </x:c>
      <x:c r="CE15" s="82" t="str">
        <x:f>IF(OR(CE4&lt;0,CE4=CD4,ISERROR(INDEX(세부시간표!$A$3:$L$1183,9*CE4-6,10))),"",INDEX(세부시간표!$A$3:$L$1183,9*CE4-6,10))</x:f>
        <x:v>빅데이터 시스템 구축</x:v>
      </x:c>
      <x:c r="CF15" s="82" t="str">
        <x:f>IF(OR(CF4&lt;0,CF4=CE4,ISERROR(INDEX(세부시간표!$A$3:$L$1183,9*CF4-6,10))),"",INDEX(세부시간표!$A$3:$L$1183,9*CF4-6,10))</x:f>
        <x:v>빅데이터 시스템 구축</x:v>
      </x:c>
      <x:c r="CG15" s="82" t="str">
        <x:f>IF(OR(CG4&lt;0,CG4=CF4,ISERROR(INDEX(세부시간표!$A$3:$L$1183,9*CG4-6,10))),"",INDEX(세부시간표!$A$3:$L$1183,9*CG4-6,10))</x:f>
        <x:v>빅데이터 시스템 구축</x:v>
      </x:c>
      <x:c r="CH15" s="82" t="str">
        <x:f>IF(OR(CH4&lt;0,CH4=CG4,ISERROR(INDEX(세부시간표!$A$3:$L$1183,9*CH4-6,10))),"",INDEX(세부시간표!$A$3:$L$1183,9*CH4-6,10))</x:f>
        <x:v>빅데이터 시스템 구축</x:v>
      </x:c>
      <x:c r="CI15" s="82" t="str">
        <x:f>IF(OR(CI4&lt;0,CI4=CH4,ISERROR(INDEX(세부시간표!$A$3:$L$1183,9*CI4-6,10))),"",INDEX(세부시간표!$A$3:$L$1183,9*CI4-6,10))</x:f>
        <x:v>빅데이터 시스템 구축</x:v>
      </x:c>
      <x:c r="CJ15" s="82" t="str">
        <x:f>IF(OR(CJ4&lt;0,CJ4=CI4,ISERROR(INDEX(세부시간표!$A$3:$L$1183,9*CJ4-6,10))),"",INDEX(세부시간표!$A$3:$L$1183,9*CJ4-6,10))</x:f>
        <x:v>빅데이터 시스템 구축</x:v>
      </x:c>
      <x:c r="CK15" s="82" t="str">
        <x:f>IF(OR(CK4&lt;0,CK4=CJ4,ISERROR(INDEX(세부시간표!$A$3:$L$1183,9*CK4-6,10))),"",INDEX(세부시간표!$A$3:$L$1183,9*CK4-6,10))</x:f>
        <x:v>빅데이터 시스템 구축</x:v>
      </x:c>
      <x:c r="CL15" s="82" t="str">
        <x:f>IF(OR(CL4&lt;0,CL4=CK4,ISERROR(INDEX(세부시간표!$A$3:$L$1183,9*CL4-6,10))),"",INDEX(세부시간표!$A$3:$L$1183,9*CL4-6,10))</x:f>
        <x:v>빅데이터 플랫폼 개발</x:v>
      </x:c>
      <x:c r="CM15" s="82" t="str">
        <x:f>IF(OR(CM4&lt;0,CM4=CL4,ISERROR(INDEX(세부시간표!$A$3:$L$1183,9*CM4-6,10))),"",INDEX(세부시간표!$A$3:$L$1183,9*CM4-6,10))</x:f>
        <x:v>빅데이터 플랫폼 개발</x:v>
      </x:c>
      <x:c r="CN15" s="82" t="str">
        <x:f>IF(OR(CN4&lt;0,CN4=CM4,ISERROR(INDEX(세부시간표!$A$3:$L$1183,9*CN4-6,10))),"",INDEX(세부시간표!$A$3:$L$1183,9*CN4-6,10))</x:f>
        <x:v>빅데이터 플랫폼 개발</x:v>
      </x:c>
      <x:c r="CO15" s="82" t="str">
        <x:f>IF(OR(CO4&lt;0,CO4=CN4,ISERROR(INDEX(세부시간표!$A$3:$L$1183,9*CO4-6,10))),"",INDEX(세부시간표!$A$3:$L$1183,9*CO4-6,10))</x:f>
        <x:v>빅데이터 플랫폼 개발</x:v>
      </x:c>
      <x:c r="CP15" s="82" t="str">
        <x:f>IF(OR(CP4&lt;0,CP4=CO4,ISERROR(INDEX(세부시간표!$A$3:$L$1183,9*CP4-6,10))),"",INDEX(세부시간표!$A$3:$L$1183,9*CP4-6,10))</x:f>
        <x:v>빅데이터 플랫폼 개발</x:v>
      </x:c>
      <x:c r="CQ15" s="82" t="str">
        <x:f>IF(OR(CQ4&lt;0,CQ4=CP4,ISERROR(INDEX(세부시간표!$A$3:$L$1183,9*CQ4-6,10))),"",INDEX(세부시간표!$A$3:$L$1183,9*CQ4-6,10))</x:f>
        <x:v>빅데이터 플랫폼 개발</x:v>
      </x:c>
      <x:c r="CR15" s="82" t="str">
        <x:f>IF(OR(CR4&lt;0,CR4=CQ4,ISERROR(INDEX(세부시간표!$A$3:$L$1183,9*CR4-6,10))),"",INDEX(세부시간표!$A$3:$L$1183,9*CR4-6,10))</x:f>
        <x:v>빅데이터 플랫폼 개발</x:v>
      </x:c>
      <x:c r="CS15" s="82" t="str">
        <x:f>IF(OR(CS4&lt;0,CS4=CR4,ISERROR(INDEX(세부시간표!$A$3:$L$1183,9*CS4-6,10))),"",INDEX(세부시간표!$A$3:$L$1183,9*CS4-6,10))</x:f>
        <x:v>Final 프로젝트</x:v>
      </x:c>
      <x:c r="CT15" s="82" t="str">
        <x:f>IF(OR(CT4&lt;0,CT4=CS4,ISERROR(INDEX(세부시간표!$A$3:$L$1183,9*CT4-6,10))),"",INDEX(세부시간표!$A$3:$L$1183,9*CT4-6,10))</x:f>
        <x:v>Final 프로젝트</x:v>
      </x:c>
      <x:c r="CU15" s="82" t="str">
        <x:f>IF(OR(CU4&lt;0,CU4=CT4,ISERROR(INDEX(세부시간표!$A$3:$L$1183,9*CU4-6,10))),"",INDEX(세부시간표!$A$3:$L$1183,9*CU4-6,10))</x:f>
        <x:v>Final 프로젝트</x:v>
      </x:c>
      <x:c r="CV15" s="82" t="str">
        <x:f>IF(OR(CV4&lt;0,CV4=CU4,ISERROR(INDEX(세부시간표!$A$3:$L$1183,9*CV4-6,10))),"",INDEX(세부시간표!$A$3:$L$1183,9*CV4-6,10))</x:f>
        <x:v>Final 프로젝트</x:v>
      </x:c>
      <x:c r="CW15" s="82" t="str">
        <x:f>IF(OR(CW4&lt;0,CW4=CV4,ISERROR(INDEX(세부시간표!$A$3:$L$1183,9*CW4-6,10))),"",INDEX(세부시간표!$A$3:$L$1183,9*CW4-6,10))</x:f>
        <x:v>Final 프로젝트</x:v>
      </x:c>
      <x:c r="CX15" s="82" t="str">
        <x:f>IF(OR(CX4&lt;0,CX4=CW4,ISERROR(INDEX(세부시간표!$A$3:$L$1183,9*CX4-6,10))),"",INDEX(세부시간표!$A$3:$L$1183,9*CX4-6,10))</x:f>
        <x:v>Final 프로젝트</x:v>
      </x:c>
      <x:c r="CY15" s="82" t="str">
        <x:f>IF(OR(CY4&lt;0,CY4=CX4,ISERROR(INDEX(세부시간표!$A$3:$L$1183,9*CY4-6,10))),"",INDEX(세부시간표!$A$3:$L$1183,9*CY4-6,10))</x:f>
        <x:v>Final 프로젝트</x:v>
      </x:c>
      <x:c r="CZ15" s="82" t="str">
        <x:f>IF(OR(CZ4&lt;0,CZ4=CY4,ISERROR(INDEX(세부시간표!$A$3:$L$1183,9*CZ4-6,10))),"",INDEX(세부시간표!$A$3:$L$1183,9*CZ4-6,10))</x:f>
        <x:v>Final 프로젝트</x:v>
      </x:c>
      <x:c r="DA15" s="82" t="str">
        <x:f>IF(OR(DA4&lt;0,DA4=CZ4,ISERROR(INDEX(세부시간표!$A$3:$L$1183,9*DA4-6,10))),"",INDEX(세부시간표!$A$3:$L$1183,9*DA4-6,10))</x:f>
        <x:v>Final 프로젝트</x:v>
      </x:c>
      <x:c r="DB15" s="82" t="str">
        <x:f>IF(OR(DB4&lt;0,DB4=DA4,ISERROR(INDEX(세부시간표!$A$3:$L$1183,9*DB4-6,10))),"",INDEX(세부시간표!$A$3:$L$1183,9*DB4-6,10))</x:f>
        <x:v>Final 프로젝트</x:v>
      </x:c>
      <x:c r="DC15" s="82" t="str">
        <x:f>IF(OR(DC4&lt;0,DC4=DB4,ISERROR(INDEX(세부시간표!$A$3:$L$1183,9*DC4-6,10))),"",INDEX(세부시간표!$A$3:$L$1183,9*DC4-6,10))</x:f>
        <x:v/>
      </x:c>
      <x:c r="DD15" s="82" t="str">
        <x:f>IF(OR(DD4&lt;0,DD4=DC4,ISERROR(INDEX(세부시간표!$A$3:$L$1183,9*DD4-6,10))),"",INDEX(세부시간표!$A$3:$L$1183,9*DD4-6,10))</x:f>
        <x:v/>
      </x:c>
      <x:c r="DE15" s="82" t="str">
        <x:f>IF(OR(DE4&lt;0,DE4=DD4,ISERROR(INDEX(세부시간표!$A$3:$L$1183,9*DE4-6,10))),"",INDEX(세부시간표!$A$3:$L$1183,9*DE4-6,10))</x:f>
        <x:v/>
      </x:c>
      <x:c r="DF15" s="82" t="str">
        <x:f>IF(OR(DF4&lt;0,DF4=DE4,ISERROR(INDEX(세부시간표!$A$3:$L$1183,9*DF4-6,10))),"",INDEX(세부시간표!$A$3:$L$1183,9*DF4-6,10))</x:f>
        <x:v>Final 프로젝트</x:v>
      </x:c>
      <x:c r="DG15" s="82" t="str">
        <x:f>IF(OR(DG4&lt;0,DG4=DF4,ISERROR(INDEX(세부시간표!$A$3:$L$1183,9*DG4-6,10))),"",INDEX(세부시간표!$A$3:$L$1183,9*DG4-6,10))</x:f>
        <x:v>Final 프로젝트</x:v>
      </x:c>
      <x:c r="DH15" s="82" t="str">
        <x:f>IF(OR(DH4&lt;0,DH4=DG4,ISERROR(INDEX(세부시간표!$A$3:$L$1183,9*DH4-6,10))),"",INDEX(세부시간표!$A$3:$L$1183,9*DH4-6,10))</x:f>
        <x:v>Final 프로젝트</x:v>
      </x:c>
      <x:c r="DI15" s="82" t="str">
        <x:f>IF(OR(DI4&lt;0,DI4=DH4,ISERROR(INDEX(세부시간표!$A$3:$L$1183,9*DI4-6,10))),"",INDEX(세부시간표!$A$3:$L$1183,9*DI4-6,10))</x:f>
        <x:v>Final 프로젝트</x:v>
      </x:c>
      <x:c r="DJ15" s="82" t="str">
        <x:f>IF(OR(DJ4&lt;0,DJ4=DI4,ISERROR(INDEX(세부시간표!$A$3:$L$1183,9*DJ4-6,10))),"",INDEX(세부시간표!$A$3:$L$1183,9*DJ4-6,10))</x:f>
        <x:v>Final 프로젝트</x:v>
      </x:c>
      <x:c r="DK15" s="82" t="str">
        <x:f>IF(OR(DK4&lt;0,DK4=DJ4,ISERROR(INDEX(세부시간표!$A$3:$L$1183,9*DK4-6,10))),"",INDEX(세부시간표!$A$3:$L$1183,9*DK4-6,10))</x:f>
        <x:v>Final 프로젝트</x:v>
      </x:c>
      <x:c r="DL15" s="82" t="str">
        <x:f>IF(OR(DL4&lt;0,DL4=DK4,ISERROR(INDEX(세부시간표!$A$3:$L$1183,9*DL4-6,10))),"",INDEX(세부시간표!$A$3:$L$1183,9*DL4-6,10))</x:f>
        <x:v>Final 프로젝트</x:v>
      </x:c>
      <x:c r="DM15" s="82" t="str">
        <x:f>IF(OR(DM4&lt;0,DM4=DL4,ISERROR(INDEX(세부시간표!$A$3:$L$1183,9*DM4-6,10))),"",INDEX(세부시간표!$A$3:$L$1183,9*DM4-6,10))</x:f>
        <x:v/>
      </x:c>
      <x:c r="DN15" s="82" t="str">
        <x:f>IF(OR(DN4&lt;0,DN4=DM4,ISERROR(INDEX(세부시간표!$A$3:$L$1183,9*DN4-6,10))),"",INDEX(세부시간표!$A$3:$L$1183,9*DN4-6,10))</x:f>
        <x:v>Final 프로젝트</x:v>
      </x:c>
      <x:c r="DO15" s="82" t="str">
        <x:f>IF(OR(DO4&lt;0,DO4=DN4,ISERROR(INDEX(세부시간표!$A$3:$L$1183,9*DO4-6,10))),"",INDEX(세부시간표!$A$3:$L$1183,9*DO4-6,10))</x:f>
        <x:v>Final 프로젝트</x:v>
      </x:c>
      <x:c r="DP15" s="82" t="str">
        <x:f>IF(OR(DP4&lt;0,DP4=DO4,ISERROR(INDEX(세부시간표!$A$3:$L$1183,9*DP4-6,10))),"",INDEX(세부시간표!$A$3:$L$1183,9*DP4-6,10))</x:f>
        <x:v>Final 프로젝트</x:v>
      </x:c>
      <x:c r="DQ15" s="82" t="str">
        <x:f>IF(OR(DQ4&lt;0,DQ4=DP4,ISERROR(INDEX(세부시간표!$A$3:$L$1183,9*DQ4-6,10))),"",INDEX(세부시간표!$A$3:$L$1183,9*DQ4-6,10))</x:f>
        <x:v>Final 프로젝트</x:v>
      </x:c>
      <x:c r="DR15" s="82" t="str">
        <x:f>IF(OR(DR4&lt;0,DR4=DQ4,ISERROR(INDEX(세부시간표!$A$3:$L$1183,9*DR4-6,10))),"",INDEX(세부시간표!$A$3:$L$1183,9*DR4-6,10))</x:f>
        <x:v>Final 프로젝트</x:v>
      </x:c>
      <x:c r="DS15" s="82" t="str">
        <x:f>IF(OR(DS4&lt;0,DS4=DR4,ISERROR(INDEX(세부시간표!$A$3:$L$1183,9*DS4-6,10))),"",INDEX(세부시간표!$A$3:$L$1183,9*DS4-6,10))</x:f>
        <x:v>Final 프로젝트</x:v>
      </x:c>
      <x:c r="DT15" s="82" t="str">
        <x:f>IF(OR(DT4&lt;0,DT4=DS4,ISERROR(INDEX(세부시간표!$A$3:$L$1183,9*DT4-6,10))),"",INDEX(세부시간표!$A$3:$L$1183,9*DT4-6,10))</x:f>
        <x:v>Final 프로젝트</x:v>
      </x:c>
      <x:c r="DU15" s="82" t="str">
        <x:f>IF(OR(DU4&lt;0,DU4=DT4,ISERROR(INDEX(세부시간표!$A$3:$L$1183,9*DU4-6,10))),"",INDEX(세부시간표!$A$3:$L$1183,9*DU4-6,10))</x:f>
        <x:v>Final 프로젝트</x:v>
      </x:c>
      <x:c r="DV15" s="82" t="str">
        <x:f>IF(OR(DV4&lt;0,DV4=DU4,ISERROR(INDEX(세부시간표!$A$3:$L$1183,9*DV4-6,10))),"",INDEX(세부시간표!$A$3:$L$1183,9*DV4-6,10))</x:f>
        <x:v>Final 프로젝트</x:v>
      </x:c>
      <x:c r="DW15" s="82" t="str">
        <x:f>IF(OR(DW4&lt;0,DW4=DV4,ISERROR(INDEX(세부시간표!$A$3:$L$1183,9*DW4-6,10))),"",INDEX(세부시간표!$A$3:$L$1183,9*DW4-6,10))</x:f>
        <x:v>Final 프로젝트</x:v>
      </x:c>
      <x:c r="DX15" s="82" t="str">
        <x:f>IF(OR(DX4&lt;0,DX4=DW4,ISERROR(INDEX(세부시간표!$A$3:$L$1183,9*DX4-6,10))),"",INDEX(세부시간표!$A$3:$L$1183,9*DX4-6,10))</x:f>
        <x:v>Final 프로젝트</x:v>
      </x:c>
      <x:c r="DY15" s="82" t="str">
        <x:f>IF(OR(DY4&lt;0,DY4=DX4,ISERROR(INDEX(세부시간표!$A$3:$L$1183,9*DY4-6,10))),"",INDEX(세부시간표!$A$3:$L$1183,9*DY4-6,10))</x:f>
        <x:v>Final 프로젝트</x:v>
      </x:c>
      <x:c r="DZ15" s="82" t="str">
        <x:f>IF(OR(DZ4&lt;0,DZ4=DY4,ISERROR(INDEX(세부시간표!$A$3:$L$1183,9*DZ4-6,10))),"",INDEX(세부시간표!$A$3:$L$1183,9*DZ4-6,10))</x:f>
        <x:v>Final 프로젝트</x:v>
      </x:c>
      <x:c r="EA15" s="82" t="str">
        <x:f>IF(OR(EA4&lt;0,EA4=DZ4,ISERROR(INDEX(세부시간표!$A$3:$L$1183,9*EA4-6,10))),"",INDEX(세부시간표!$A$3:$L$1183,9*EA4-6,10))</x:f>
        <x:v>Final 프로젝트</x:v>
      </x:c>
      <x:c r="EB15" s="82" t="str">
        <x:f>IF(OR(EB4&lt;0,EB4=EA4,ISERROR(INDEX(세부시간표!$A$3:$L$1183,9*EB4-6,10))),"",INDEX(세부시간표!$A$3:$L$1183,9*EB4-6,10))</x:f>
        <x:v>Final 프로젝트</x:v>
      </x:c>
      <x:c r="EC15" s="82" t="str">
        <x:f>IF(OR(EC4&lt;0,EC4=EB4,ISERROR(INDEX(세부시간표!$A$3:$L$1183,9*EC4-6,10))),"",INDEX(세부시간표!$A$3:$L$1183,9*EC4-6,10))</x:f>
        <x:v>산업체특강 , 프로젝트 발표(시연), 수료식</x:v>
      </x:c>
      <x:c r="ED15" s="82" t="str">
        <x:f>IF(OR(ED4&lt;0,ED4=EC4,ISERROR(INDEX(세부시간표!$A$3:$L$1183,9*ED4-6,10))),"",INDEX(세부시간표!$A$3:$L$1183,9*ED4-6,10))</x:f>
        <x:v>취업특강 및 모의면접</x:v>
      </x:c>
      <x:c r="EE15" s="82" t="str">
        <x:f>IF(OR(EE4&lt;0,EE4=ED4,ISERROR(INDEX(세부시간표!$A$3:$L$1183,9*EE4-6,10))),"",INDEX(세부시간표!$A$3:$L$1183,9*EE4-6,10))</x:f>
        <x:v/>
      </x:c>
      <x:c r="EF15" s="82" t="str">
        <x:f>IF(OR(EF4&lt;0,EF4=EE4,ISERROR(INDEX(세부시간표!$A$3:$L$1183,9*EF4-6,10))),"",INDEX(세부시간표!$A$3:$L$1183,9*EF4-6,10))</x:f>
        <x:v/>
      </x:c>
      <x:c r="EG15" s="82" t="str">
        <x:f>IF(OR(EG4&lt;0,EG4=EF4,ISERROR(INDEX(세부시간표!$A$3:$L$1183,9*EG4-6,10))),"",INDEX(세부시간표!$A$3:$L$1183,9*EG4-6,10))</x:f>
        <x:v/>
      </x:c>
      <x:c r="EH15" s="82" t="str">
        <x:f>IF(OR(EH4&lt;0,EH4=EG4,ISERROR(INDEX(세부시간표!$A$3:$L$1183,9*EH4-6,10))),"",INDEX(세부시간표!$A$3:$L$1183,9*EH4-6,10))</x:f>
        <x:v/>
      </x:c>
      <x:c r="EI15" s="82" t="str">
        <x:f>IF(OR(EI4&lt;0,EI4=EH4,ISERROR(INDEX(세부시간표!$A$3:$L$1183,9*EI4-6,10))),"",INDEX(세부시간표!$A$3:$L$1183,9*EI4-6,10))</x:f>
        <x:v/>
      </x:c>
      <x:c r="EJ15" s="82" t="str">
        <x:f>IF(OR(EJ4&lt;0,EJ4=EI4,ISERROR(INDEX(세부시간표!$A$3:$L$1183,9*EJ4-6,10))),"",INDEX(세부시간표!$A$3:$L$1183,9*EJ4-6,10))</x:f>
        <x:v/>
      </x:c>
      <x:c r="EK15" s="82" t="str">
        <x:f>IF(OR(EK4&lt;0,EK4=EJ4,ISERROR(INDEX(세부시간표!$A$3:$L$1183,9*EK4-6,10))),"",INDEX(세부시간표!$A$3:$L$1183,9*EK4-6,10))</x:f>
        <x:v/>
      </x:c>
      <x:c r="EL15" s="85" t="str">
        <x:f>IF(OR(EL4&lt;0,EL4=EK4,ISERROR(INDEX(세부시간표!$A$3:$L$1183,9*EL4-6,10))),"",INDEX(세부시간표!$A$3:$L$1183,9*EL4-6,10))</x:f>
        <x:v/>
      </x:c>
      <x:c r="EM15" s="83" t="str">
        <x:f>IF(OR(EM4&lt;0,EM4=EL4,ISERROR(INDEX(세부시간표!$A$3:$L$1183,9*EM4-6,10))),"",INDEX(세부시간표!$A$3:$L$1183,9*EM4-6,10))</x:f>
        <x:v/>
      </x:c>
      <x:c r="EN15" s="83" t="str">
        <x:f>IF(OR(EN4&lt;0,EN4=EM4,ISERROR(INDEX(세부시간표!$A$3:$L$1183,9*EN4-6,10))),"",INDEX(세부시간표!$A$3:$L$1183,9*EN4-6,10))</x:f>
        <x:v/>
      </x:c>
      <x:c r="EO15" s="83" t="str">
        <x:f>IF(OR(EO4&lt;0,EO4=EN4,ISERROR(INDEX(세부시간표!$A$3:$L$1183,9*EO4-6,10))),"",INDEX(세부시간표!$A$3:$L$1183,9*EO4-6,10))</x:f>
        <x:v/>
      </x:c>
      <x:c r="EP15" s="84" t="str">
        <x:f>IF(OR(EP4&lt;0,EP4=EO4,ISERROR(INDEX(세부시간표!$A$3:$L$1183,9*EP4-6,10))),"",INDEX(세부시간표!$A$3:$L$1183,9*EP4-6,10))</x:f>
        <x:v/>
      </x:c>
    </x:row>
    <x:row r="16" spans="1:146" s="88" customFormat="1" ht="30" customHeight="1">
      <x:c r="A16" s="278"/>
      <x:c r="B16" s="64" t="str">
        <x:f>B15</x:f>
        <x:v>웹 애플리케이션 개발</x:v>
      </x:c>
      <x:c r="C16" s="64" t="str">
        <x:f t="shared" ref="C16:BN16" si="22">C15</x:f>
        <x:v>웹 애플리케이션 개발</x:v>
      </x:c>
      <x:c r="D16" s="64" t="str">
        <x:f t="shared" si="22"/>
        <x:v>웹 애플리케이션 개발</x:v>
      </x:c>
      <x:c r="E16" s="64" t="str">
        <x:f t="shared" si="22"/>
        <x:v>웹 애플리케이션 개발</x:v>
      </x:c>
      <x:c r="F16" s="64" t="str">
        <x:f t="shared" si="22"/>
        <x:v>웹 애플리케이션 개발</x:v>
      </x:c>
      <x:c r="G16" s="64" t="str">
        <x:f t="shared" si="22"/>
        <x:v>웹 애플리케이션 개발</x:v>
      </x:c>
      <x:c r="H16" s="64" t="str">
        <x:f t="shared" si="22"/>
        <x:v>웹 애플리케이션 개발</x:v>
      </x:c>
      <x:c r="I16" s="64" t="str">
        <x:f t="shared" si="22"/>
        <x:v>웹 애플리케이션 개발</x:v>
      </x:c>
      <x:c r="J16" s="64" t="str">
        <x:f t="shared" si="22"/>
        <x:v>웹 애플리케이션 개발</x:v>
      </x:c>
      <x:c r="K16" s="64" t="str">
        <x:f t="shared" si="22"/>
        <x:v/>
      </x:c>
      <x:c r="L16" s="64" t="str">
        <x:f t="shared" si="22"/>
        <x:v/>
      </x:c>
      <x:c r="M16" s="64" t="str">
        <x:f t="shared" si="22"/>
        <x:v/>
      </x:c>
      <x:c r="N16" s="64" t="str">
        <x:f t="shared" si="22"/>
        <x:v/>
      </x:c>
      <x:c r="O16" s="64" t="str">
        <x:f t="shared" si="22"/>
        <x:v/>
      </x:c>
      <x:c r="P16" s="64" t="str">
        <x:f t="shared" si="22"/>
        <x:v>웹 애플리케이션 개발</x:v>
      </x:c>
      <x:c r="Q16" s="64" t="str">
        <x:f t="shared" si="22"/>
        <x:v>웹&amp;콘텐츠 서비스 개발</x:v>
      </x:c>
      <x:c r="R16" s="64" t="str">
        <x:f t="shared" si="22"/>
        <x:v>웹&amp;콘텐츠 서비스 개발</x:v>
      </x:c>
      <x:c r="S16" s="64" t="str">
        <x:f t="shared" si="22"/>
        <x:v>웹&amp;콘텐츠 서비스 개발</x:v>
      </x:c>
      <x:c r="T16" s="64" t="str">
        <x:f t="shared" si="22"/>
        <x:v>웹&amp;콘텐츠 서비스 개발</x:v>
      </x:c>
      <x:c r="U16" s="64" t="str">
        <x:f t="shared" si="22"/>
        <x:v>웹&amp;콘텐츠 서비스 개발</x:v>
      </x:c>
      <x:c r="V16" s="64" t="str">
        <x:f t="shared" si="22"/>
        <x:v>SQL 및 데이터 모델링</x:v>
      </x:c>
      <x:c r="W16" s="64" t="str">
        <x:f t="shared" si="22"/>
        <x:v>SQL 및 데이터 모델링</x:v>
      </x:c>
      <x:c r="X16" s="64" t="str">
        <x:f t="shared" si="22"/>
        <x:v>SQL 및 데이터 모델링</x:v>
      </x:c>
      <x:c r="Y16" s="64" t="str">
        <x:f t="shared" si="22"/>
        <x:v>SQL 및 데이터 모델링</x:v>
      </x:c>
      <x:c r="Z16" s="64" t="str">
        <x:f t="shared" si="22"/>
        <x:v>SQL 및 데이터 모델링</x:v>
      </x:c>
      <x:c r="AA16" s="64" t="str">
        <x:f t="shared" si="22"/>
        <x:v>SQL 및 데이터 모델링</x:v>
      </x:c>
      <x:c r="AB16" s="64" t="str">
        <x:f t="shared" si="22"/>
        <x:v>SQL 및 데이터 모델링</x:v>
      </x:c>
      <x:c r="AC16" s="64" t="str">
        <x:f t="shared" si="22"/>
        <x:v>SQL 및 데이터 모델링</x:v>
      </x:c>
      <x:c r="AD16" s="64" t="str">
        <x:f t="shared" si="22"/>
        <x:v>SQL 및 데이터 모델링</x:v>
      </x:c>
      <x:c r="AE16" s="64" t="str">
        <x:f t="shared" si="22"/>
        <x:v>AI개발 기초</x:v>
      </x:c>
      <x:c r="AF16" s="64" t="str">
        <x:f t="shared" si="22"/>
        <x:v>AI개발 기초</x:v>
      </x:c>
      <x:c r="AG16" s="64" t="str">
        <x:f t="shared" si="22"/>
        <x:v>AI개발 기초</x:v>
      </x:c>
      <x:c r="AH16" s="64" t="str">
        <x:f t="shared" si="22"/>
        <x:v>AI개발 기초</x:v>
      </x:c>
      <x:c r="AI16" s="64" t="str">
        <x:f t="shared" si="22"/>
        <x:v>AI개발 기초</x:v>
      </x:c>
      <x:c r="AJ16" s="64" t="str">
        <x:f t="shared" si="22"/>
        <x:v>AI개발 기초</x:v>
      </x:c>
      <x:c r="AK16" s="64" t="str">
        <x:f t="shared" si="22"/>
        <x:v>AI개발 기초</x:v>
      </x:c>
      <x:c r="AL16" s="64" t="str">
        <x:f t="shared" si="22"/>
        <x:v>AI개발 기초</x:v>
      </x:c>
      <x:c r="AM16" s="64" t="str">
        <x:f t="shared" si="22"/>
        <x:v>AI개발 기초</x:v>
      </x:c>
      <x:c r="AN16" s="64" t="str">
        <x:f t="shared" si="22"/>
        <x:v>AI개발 기초</x:v>
      </x:c>
      <x:c r="AO16" s="64" t="str">
        <x:f t="shared" si="22"/>
        <x:v>AI개발 기초</x:v>
      </x:c>
      <x:c r="AP16" s="64" t="str">
        <x:f t="shared" si="22"/>
        <x:v>AI개발 기초</x:v>
      </x:c>
      <x:c r="AQ16" s="64" t="str">
        <x:f t="shared" si="22"/>
        <x:v>AI개발 기초</x:v>
      </x:c>
      <x:c r="AR16" s="64" t="str">
        <x:f t="shared" si="22"/>
        <x:v>인공지능 프로그래밍</x:v>
      </x:c>
      <x:c r="AS16" s="64" t="str">
        <x:f t="shared" si="22"/>
        <x:v>인공지능 프로그래밍</x:v>
      </x:c>
      <x:c r="AT16" s="64" t="str">
        <x:f t="shared" si="22"/>
        <x:v>인공지능 프로그래밍</x:v>
      </x:c>
      <x:c r="AU16" s="64" t="str">
        <x:f t="shared" si="22"/>
        <x:v>인공지능 프로그래밍</x:v>
      </x:c>
      <x:c r="AV16" s="64" t="str">
        <x:f t="shared" si="22"/>
        <x:v>인공지능 프로그래밍</x:v>
      </x:c>
      <x:c r="AW16" s="64" t="str">
        <x:f t="shared" si="22"/>
        <x:v>인공지능 프로그래밍</x:v>
      </x:c>
      <x:c r="AX16" s="64" t="str">
        <x:f t="shared" si="22"/>
        <x:v>인공지능 프로그래밍</x:v>
      </x:c>
      <x:c r="AY16" s="64" t="str">
        <x:f t="shared" si="22"/>
        <x:v>인공지능 프로그래밍</x:v>
      </x:c>
      <x:c r="AZ16" s="64" t="str">
        <x:f t="shared" si="22"/>
        <x:v>인공지능 프로그래밍</x:v>
      </x:c>
      <x:c r="BA16" s="64" t="str">
        <x:f t="shared" si="22"/>
        <x:v>인공지능 프로그래밍</x:v>
      </x:c>
      <x:c r="BB16" s="64" t="str">
        <x:f t="shared" si="22"/>
        <x:v>인공지능 프로그래밍</x:v>
      </x:c>
      <x:c r="BC16" s="64" t="str">
        <x:f t="shared" si="22"/>
        <x:v>인공지능 프로그래밍</x:v>
      </x:c>
      <x:c r="BD16" s="64" t="str">
        <x:f t="shared" si="22"/>
        <x:v>인공지능 프로그래밍</x:v>
      </x:c>
      <x:c r="BE16" s="64" t="str">
        <x:f t="shared" si="22"/>
        <x:v>인공지능 프로그래밍</x:v>
      </x:c>
      <x:c r="BF16" s="64" t="str">
        <x:f t="shared" si="22"/>
        <x:v>인공지능 프로그래밍</x:v>
      </x:c>
      <x:c r="BG16" s="64" t="str">
        <x:f t="shared" si="22"/>
        <x:v>인공지능 프로그래밍</x:v>
      </x:c>
      <x:c r="BH16" s="64" t="str">
        <x:f t="shared" si="22"/>
        <x:v>Advanced 프로젝트</x:v>
      </x:c>
      <x:c r="BI16" s="64" t="str">
        <x:f t="shared" si="22"/>
        <x:v>Advanced 프로젝트</x:v>
      </x:c>
      <x:c r="BJ16" s="64" t="str">
        <x:f t="shared" si="22"/>
        <x:v>Advanced 프로젝트</x:v>
      </x:c>
      <x:c r="BK16" s="64" t="str">
        <x:f t="shared" si="22"/>
        <x:v>Advanced 프로젝트</x:v>
      </x:c>
      <x:c r="BL16" s="64" t="str">
        <x:f t="shared" si="22"/>
        <x:v>Advanced 프로젝트</x:v>
      </x:c>
      <x:c r="BM16" s="64" t="str">
        <x:f t="shared" si="22"/>
        <x:v>Advanced 프로젝트</x:v>
      </x:c>
      <x:c r="BN16" s="64" t="str">
        <x:f t="shared" si="22"/>
        <x:v>Advanced 프로젝트</x:v>
      </x:c>
      <x:c r="BO16" s="64" t="str">
        <x:f t="shared" ref="BO16:DZ16" si="23">BO15</x:f>
        <x:v>Advanced 프로젝트</x:v>
      </x:c>
      <x:c r="BP16" s="64" t="str">
        <x:f t="shared" si="23"/>
        <x:v>Advanced 프로젝트</x:v>
      </x:c>
      <x:c r="BQ16" s="64" t="str">
        <x:f t="shared" si="23"/>
        <x:v>Advanced 프로젝트</x:v>
      </x:c>
      <x:c r="BR16" s="64" t="str">
        <x:f t="shared" si="23"/>
        <x:v/>
      </x:c>
      <x:c r="BS16" s="64" t="str">
        <x:f t="shared" si="23"/>
        <x:v>Advanced 프로젝트</x:v>
      </x:c>
      <x:c r="BT16" s="64" t="str">
        <x:f t="shared" si="23"/>
        <x:v>Advanced 프로젝트</x:v>
      </x:c>
      <x:c r="BU16" s="64" t="str">
        <x:f t="shared" si="23"/>
        <x:v>Advanced 프로젝트</x:v>
      </x:c>
      <x:c r="BV16" s="64" t="str">
        <x:f t="shared" si="23"/>
        <x:v>빅데이터 분석 및 시각화</x:v>
      </x:c>
      <x:c r="BW16" s="64" t="str">
        <x:f t="shared" si="23"/>
        <x:v/>
      </x:c>
      <x:c r="BX16" s="64" t="str">
        <x:f t="shared" si="23"/>
        <x:v>빅데이터 분석 및 시각화</x:v>
      </x:c>
      <x:c r="BY16" s="64" t="str">
        <x:f t="shared" si="23"/>
        <x:v>빅데이터 분석 및 시각화</x:v>
      </x:c>
      <x:c r="BZ16" s="64" t="str">
        <x:f t="shared" si="23"/>
        <x:v>빅데이터 분석 및 시각화</x:v>
      </x:c>
      <x:c r="CA16" s="64" t="str">
        <x:f t="shared" si="23"/>
        <x:v>빅데이터 분석 및 시각화</x:v>
      </x:c>
      <x:c r="CB16" s="64" t="str">
        <x:f t="shared" si="23"/>
        <x:v>빅데이터 시스템 구축</x:v>
      </x:c>
      <x:c r="CC16" s="64" t="str">
        <x:f t="shared" si="23"/>
        <x:v>빅데이터 시스템 구축</x:v>
      </x:c>
      <x:c r="CD16" s="64" t="str">
        <x:f t="shared" si="23"/>
        <x:v>빅데이터 시스템 구축</x:v>
      </x:c>
      <x:c r="CE16" s="64" t="str">
        <x:f t="shared" si="23"/>
        <x:v>빅데이터 시스템 구축</x:v>
      </x:c>
      <x:c r="CF16" s="64" t="str">
        <x:f t="shared" si="23"/>
        <x:v>빅데이터 시스템 구축</x:v>
      </x:c>
      <x:c r="CG16" s="64" t="str">
        <x:f t="shared" si="23"/>
        <x:v>빅데이터 시스템 구축</x:v>
      </x:c>
      <x:c r="CH16" s="64" t="str">
        <x:f t="shared" si="23"/>
        <x:v>빅데이터 시스템 구축</x:v>
      </x:c>
      <x:c r="CI16" s="64" t="str">
        <x:f t="shared" si="23"/>
        <x:v>빅데이터 시스템 구축</x:v>
      </x:c>
      <x:c r="CJ16" s="64" t="str">
        <x:f t="shared" si="23"/>
        <x:v>빅데이터 시스템 구축</x:v>
      </x:c>
      <x:c r="CK16" s="64" t="str">
        <x:f t="shared" si="23"/>
        <x:v>빅데이터 시스템 구축</x:v>
      </x:c>
      <x:c r="CL16" s="64" t="str">
        <x:f t="shared" si="23"/>
        <x:v>빅데이터 플랫폼 개발</x:v>
      </x:c>
      <x:c r="CM16" s="64" t="str">
        <x:f t="shared" si="23"/>
        <x:v>빅데이터 플랫폼 개발</x:v>
      </x:c>
      <x:c r="CN16" s="64" t="str">
        <x:f t="shared" si="23"/>
        <x:v>빅데이터 플랫폼 개발</x:v>
      </x:c>
      <x:c r="CO16" s="64" t="str">
        <x:f t="shared" si="23"/>
        <x:v>빅데이터 플랫폼 개발</x:v>
      </x:c>
      <x:c r="CP16" s="64" t="str">
        <x:f t="shared" si="23"/>
        <x:v>빅데이터 플랫폼 개발</x:v>
      </x:c>
      <x:c r="CQ16" s="64" t="str">
        <x:f t="shared" si="23"/>
        <x:v>빅데이터 플랫폼 개발</x:v>
      </x:c>
      <x:c r="CR16" s="64" t="str">
        <x:f t="shared" si="23"/>
        <x:v>빅데이터 플랫폼 개발</x:v>
      </x:c>
      <x:c r="CS16" s="64" t="str">
        <x:f t="shared" si="23"/>
        <x:v>Final 프로젝트</x:v>
      </x:c>
      <x:c r="CT16" s="64" t="str">
        <x:f t="shared" si="23"/>
        <x:v>Final 프로젝트</x:v>
      </x:c>
      <x:c r="CU16" s="64" t="str">
        <x:f t="shared" si="23"/>
        <x:v>Final 프로젝트</x:v>
      </x:c>
      <x:c r="CV16" s="64" t="str">
        <x:f t="shared" si="23"/>
        <x:v>Final 프로젝트</x:v>
      </x:c>
      <x:c r="CW16" s="64" t="str">
        <x:f t="shared" si="23"/>
        <x:v>Final 프로젝트</x:v>
      </x:c>
      <x:c r="CX16" s="64" t="str">
        <x:f t="shared" si="23"/>
        <x:v>Final 프로젝트</x:v>
      </x:c>
      <x:c r="CY16" s="64" t="str">
        <x:f t="shared" si="23"/>
        <x:v>Final 프로젝트</x:v>
      </x:c>
      <x:c r="CZ16" s="64" t="str">
        <x:f t="shared" si="23"/>
        <x:v>Final 프로젝트</x:v>
      </x:c>
      <x:c r="DA16" s="64" t="str">
        <x:f t="shared" si="23"/>
        <x:v>Final 프로젝트</x:v>
      </x:c>
      <x:c r="DB16" s="64" t="str">
        <x:f t="shared" si="23"/>
        <x:v>Final 프로젝트</x:v>
      </x:c>
      <x:c r="DC16" s="64" t="str">
        <x:f t="shared" si="23"/>
        <x:v/>
      </x:c>
      <x:c r="DD16" s="64" t="str">
        <x:f t="shared" si="23"/>
        <x:v/>
      </x:c>
      <x:c r="DE16" s="64" t="str">
        <x:f t="shared" si="23"/>
        <x:v/>
      </x:c>
      <x:c r="DF16" s="64" t="str">
        <x:f t="shared" si="23"/>
        <x:v>Final 프로젝트</x:v>
      </x:c>
      <x:c r="DG16" s="64" t="str">
        <x:f t="shared" si="23"/>
        <x:v>Final 프로젝트</x:v>
      </x:c>
      <x:c r="DH16" s="64" t="str">
        <x:f t="shared" si="23"/>
        <x:v>Final 프로젝트</x:v>
      </x:c>
      <x:c r="DI16" s="64" t="str">
        <x:f t="shared" si="23"/>
        <x:v>Final 프로젝트</x:v>
      </x:c>
      <x:c r="DJ16" s="64" t="str">
        <x:f t="shared" si="23"/>
        <x:v>Final 프로젝트</x:v>
      </x:c>
      <x:c r="DK16" s="64" t="str">
        <x:f t="shared" si="23"/>
        <x:v>Final 프로젝트</x:v>
      </x:c>
      <x:c r="DL16" s="64" t="str">
        <x:f t="shared" si="23"/>
        <x:v>Final 프로젝트</x:v>
      </x:c>
      <x:c r="DM16" s="64" t="str">
        <x:f t="shared" si="23"/>
        <x:v/>
      </x:c>
      <x:c r="DN16" s="64" t="str">
        <x:f t="shared" si="23"/>
        <x:v>Final 프로젝트</x:v>
      </x:c>
      <x:c r="DO16" s="64" t="str">
        <x:f t="shared" si="23"/>
        <x:v>Final 프로젝트</x:v>
      </x:c>
      <x:c r="DP16" s="64" t="str">
        <x:f t="shared" si="23"/>
        <x:v>Final 프로젝트</x:v>
      </x:c>
      <x:c r="DQ16" s="64" t="str">
        <x:f t="shared" si="23"/>
        <x:v>Final 프로젝트</x:v>
      </x:c>
      <x:c r="DR16" s="64" t="str">
        <x:f t="shared" si="23"/>
        <x:v>Final 프로젝트</x:v>
      </x:c>
      <x:c r="DS16" s="64" t="str">
        <x:f t="shared" si="23"/>
        <x:v>Final 프로젝트</x:v>
      </x:c>
      <x:c r="DT16" s="64" t="str">
        <x:f t="shared" si="23"/>
        <x:v>Final 프로젝트</x:v>
      </x:c>
      <x:c r="DU16" s="64" t="str">
        <x:f t="shared" si="23"/>
        <x:v>Final 프로젝트</x:v>
      </x:c>
      <x:c r="DV16" s="64" t="str">
        <x:f t="shared" si="23"/>
        <x:v>Final 프로젝트</x:v>
      </x:c>
      <x:c r="DW16" s="64" t="str">
        <x:f t="shared" si="23"/>
        <x:v>Final 프로젝트</x:v>
      </x:c>
      <x:c r="DX16" s="64" t="str">
        <x:f t="shared" si="23"/>
        <x:v>Final 프로젝트</x:v>
      </x:c>
      <x:c r="DY16" s="64" t="str">
        <x:f t="shared" si="23"/>
        <x:v>Final 프로젝트</x:v>
      </x:c>
      <x:c r="DZ16" s="64" t="str">
        <x:f t="shared" si="23"/>
        <x:v>Final 프로젝트</x:v>
      </x:c>
      <x:c r="EA16" s="64" t="str">
        <x:f t="shared" ref="EA16:EK16" si="24">EA15</x:f>
        <x:v>Final 프로젝트</x:v>
      </x:c>
      <x:c r="EB16" s="64" t="str">
        <x:f t="shared" si="24"/>
        <x:v>Final 프로젝트</x:v>
      </x:c>
      <x:c r="EC16" s="64" t="str">
        <x:f t="shared" si="24"/>
        <x:v>산업체특강 , 프로젝트 발표(시연), 수료식</x:v>
      </x:c>
      <x:c r="ED16" s="64" t="str">
        <x:f t="shared" si="24"/>
        <x:v>취업특강 및 모의면접</x:v>
      </x:c>
      <x:c r="EE16" s="64" t="str">
        <x:f t="shared" si="24"/>
        <x:v/>
      </x:c>
      <x:c r="EF16" s="64" t="str">
        <x:f t="shared" si="24"/>
        <x:v/>
      </x:c>
      <x:c r="EG16" s="64" t="str">
        <x:f t="shared" si="24"/>
        <x:v/>
      </x:c>
      <x:c r="EH16" s="64" t="str">
        <x:f t="shared" si="24"/>
        <x:v/>
      </x:c>
      <x:c r="EI16" s="64" t="str">
        <x:f t="shared" si="24"/>
        <x:v/>
      </x:c>
      <x:c r="EJ16" s="64" t="str">
        <x:f t="shared" si="24"/>
        <x:v/>
      </x:c>
      <x:c r="EK16" s="64" t="str">
        <x:f t="shared" si="24"/>
        <x:v/>
      </x:c>
      <x:c r="EL16" s="60" t="str">
        <x:f>EL15</x:f>
        <x:v/>
      </x:c>
      <x:c r="EM16" s="58" t="str">
        <x:f>EM15</x:f>
        <x:v/>
      </x:c>
      <x:c r="EN16" s="58" t="str">
        <x:f>EN15</x:f>
        <x:v/>
      </x:c>
      <x:c r="EO16" s="58" t="str">
        <x:f>EO15</x:f>
        <x:v/>
      </x:c>
      <x:c r="EP16" s="59" t="str">
        <x:f>EP15</x:f>
        <x:v/>
      </x:c>
    </x:row>
    <x:row r="17" spans="1:146" s="47" customFormat="1" ht="15" customHeight="1">
      <x:c r="A17" s="278"/>
      <x:c r="B17" s="65" t="str">
        <x:f>IF(OR(B4&lt;0,B4=A4,ISERROR(INDEX(세부시간표!$A$3:$L$1183,9*B4-6,11))),"",LEFT(INDEX(세부시간표!$A$3:$L$1183,9*B4-6,11),4))</x:f>
        <x:v>1교육실</x:v>
      </x:c>
      <x:c r="C17" s="65" t="str">
        <x:f>IF(OR(C4&lt;0,C4=B4,ISERROR(INDEX(세부시간표!$A$3:$L$1183,9*C4-6,11))),"",LEFT(INDEX(세부시간표!$A$3:$L$1183,9*C4-6,11),4))</x:f>
        <x:v>1교육실</x:v>
      </x:c>
      <x:c r="D17" s="65" t="str">
        <x:f>IF(OR(D4&lt;0,D4=C4,ISERROR(INDEX(세부시간표!$A$3:$L$1183,9*D4-6,11))),"",LEFT(INDEX(세부시간표!$A$3:$L$1183,9*D4-6,11),4))</x:f>
        <x:v>1교육실</x:v>
      </x:c>
      <x:c r="E17" s="65" t="str">
        <x:f>IF(OR(E4&lt;0,E4=D4,ISERROR(INDEX(세부시간표!$A$3:$L$1183,9*E4-6,11))),"",LEFT(INDEX(세부시간표!$A$3:$L$1183,9*E4-6,11),4))</x:f>
        <x:v>1교육실</x:v>
      </x:c>
      <x:c r="F17" s="65" t="str">
        <x:f>IF(OR(F4&lt;0,F4=E4,ISERROR(INDEX(세부시간표!$A$3:$L$1183,9*F4-6,11))),"",LEFT(INDEX(세부시간표!$A$3:$L$1183,9*F4-6,11),4))</x:f>
        <x:v>1교육실</x:v>
      </x:c>
      <x:c r="G17" s="65" t="str">
        <x:f>IF(OR(G4&lt;0,G4=F4,ISERROR(INDEX(세부시간표!$A$3:$L$1183,9*G4-6,11))),"",LEFT(INDEX(세부시간표!$A$3:$L$1183,9*G4-6,11),4))</x:f>
        <x:v>1교육실</x:v>
      </x:c>
      <x:c r="H17" s="65" t="str">
        <x:f>IF(OR(H4&lt;0,H4=G4,ISERROR(INDEX(세부시간표!$A$3:$L$1183,9*H4-6,11))),"",LEFT(INDEX(세부시간표!$A$3:$L$1183,9*H4-6,11),4))</x:f>
        <x:v>1교육실</x:v>
      </x:c>
      <x:c r="I17" s="65" t="str">
        <x:f>IF(OR(I4&lt;0,I4=H4,ISERROR(INDEX(세부시간표!$A$3:$L$1183,9*I4-6,11))),"",LEFT(INDEX(세부시간표!$A$3:$L$1183,9*I4-6,11),4))</x:f>
        <x:v>1교육실</x:v>
      </x:c>
      <x:c r="J17" s="65" t="str">
        <x:f>IF(OR(J4&lt;0,J4=I4,ISERROR(INDEX(세부시간표!$A$3:$L$1183,9*J4-6,11))),"",LEFT(INDEX(세부시간표!$A$3:$L$1183,9*J4-6,11),4))</x:f>
        <x:v>1교육실</x:v>
      </x:c>
      <x:c r="K17" s="65" t="str">
        <x:f>IF(OR(K4&lt;0,K4=J4,ISERROR(INDEX(세부시간표!$A$3:$L$1183,9*K4-6,11))),"",LEFT(INDEX(세부시간표!$A$3:$L$1183,9*K4-6,11),4))</x:f>
        <x:v/>
      </x:c>
      <x:c r="L17" s="65" t="str">
        <x:f>IF(OR(L4&lt;0,L4=K4,ISERROR(INDEX(세부시간표!$A$3:$L$1183,9*L4-6,11))),"",LEFT(INDEX(세부시간표!$A$3:$L$1183,9*L4-6,11),4))</x:f>
        <x:v/>
      </x:c>
      <x:c r="M17" s="65" t="str">
        <x:f>IF(OR(M4&lt;0,M4=L4,ISERROR(INDEX(세부시간표!$A$3:$L$1183,9*M4-6,11))),"",LEFT(INDEX(세부시간표!$A$3:$L$1183,9*M4-6,11),4))</x:f>
        <x:v/>
      </x:c>
      <x:c r="N17" s="65" t="str">
        <x:f>IF(OR(N4&lt;0,N4=M4,ISERROR(INDEX(세부시간표!$A$3:$L$1183,9*N4-6,11))),"",LEFT(INDEX(세부시간표!$A$3:$L$1183,9*N4-6,11),4))</x:f>
        <x:v/>
      </x:c>
      <x:c r="O17" s="65" t="str">
        <x:f>IF(OR(O4&lt;0,O4=N4,ISERROR(INDEX(세부시간표!$A$3:$L$1183,9*O4-6,11))),"",LEFT(INDEX(세부시간표!$A$3:$L$1183,9*O4-6,11),4))</x:f>
        <x:v/>
      </x:c>
      <x:c r="P17" s="65" t="str">
        <x:f>IF(OR(P4&lt;0,P4=O4,ISERROR(INDEX(세부시간표!$A$3:$L$1183,9*P4-6,11))),"",LEFT(INDEX(세부시간표!$A$3:$L$1183,9*P4-6,11),4))</x:f>
        <x:v>1교육실</x:v>
      </x:c>
      <x:c r="Q17" s="65" t="str">
        <x:f>IF(OR(Q4&lt;0,Q4=P4,ISERROR(INDEX(세부시간표!$A$3:$L$1183,9*Q4-6,11))),"",LEFT(INDEX(세부시간표!$A$3:$L$1183,9*Q4-6,11),4))</x:f>
        <x:v>1교육실</x:v>
      </x:c>
      <x:c r="R17" s="65" t="str">
        <x:f>IF(OR(R4&lt;0,R4=Q4,ISERROR(INDEX(세부시간표!$A$3:$L$1183,9*R4-6,11))),"",LEFT(INDEX(세부시간표!$A$3:$L$1183,9*R4-6,11),4))</x:f>
        <x:v>1교육실</x:v>
      </x:c>
      <x:c r="S17" s="65" t="str">
        <x:f>IF(OR(S4&lt;0,S4=R4,ISERROR(INDEX(세부시간표!$A$3:$L$1183,9*S4-6,11))),"",LEFT(INDEX(세부시간표!$A$3:$L$1183,9*S4-6,11),4))</x:f>
        <x:v>1교육실</x:v>
      </x:c>
      <x:c r="T17" s="65" t="str">
        <x:f>IF(OR(T4&lt;0,T4=S4,ISERROR(INDEX(세부시간표!$A$3:$L$1183,9*T4-6,11))),"",LEFT(INDEX(세부시간표!$A$3:$L$1183,9*T4-6,11),4))</x:f>
        <x:v>1교육실</x:v>
      </x:c>
      <x:c r="U17" s="65" t="str">
        <x:f>IF(OR(U4&lt;0,U4=T4,ISERROR(INDEX(세부시간표!$A$3:$L$1183,9*U4-6,11))),"",LEFT(INDEX(세부시간표!$A$3:$L$1183,9*U4-6,11),4))</x:f>
        <x:v>1교육실</x:v>
      </x:c>
      <x:c r="V17" s="65" t="str">
        <x:f>IF(OR(V4&lt;0,V4=U4,ISERROR(INDEX(세부시간표!$A$3:$L$1183,9*V4-6,11))),"",LEFT(INDEX(세부시간표!$A$3:$L$1183,9*V4-6,11),4))</x:f>
        <x:v>1교육실</x:v>
      </x:c>
      <x:c r="W17" s="65" t="str">
        <x:f>IF(OR(W4&lt;0,W4=V4,ISERROR(INDEX(세부시간표!$A$3:$L$1183,9*W4-6,11))),"",LEFT(INDEX(세부시간표!$A$3:$L$1183,9*W4-6,11),4))</x:f>
        <x:v>1교육실</x:v>
      </x:c>
      <x:c r="X17" s="65" t="str">
        <x:f>IF(OR(X4&lt;0,X4=W4,ISERROR(INDEX(세부시간표!$A$3:$L$1183,9*X4-6,11))),"",LEFT(INDEX(세부시간표!$A$3:$L$1183,9*X4-6,11),4))</x:f>
        <x:v>1교육실</x:v>
      </x:c>
      <x:c r="Y17" s="65" t="str">
        <x:f>IF(OR(Y4&lt;0,Y4=X4,ISERROR(INDEX(세부시간표!$A$3:$L$1183,9*Y4-6,11))),"",LEFT(INDEX(세부시간표!$A$3:$L$1183,9*Y4-6,11),4))</x:f>
        <x:v>1교육실</x:v>
      </x:c>
      <x:c r="Z17" s="65" t="str">
        <x:f>IF(OR(Z4&lt;0,Z4=Y4,ISERROR(INDEX(세부시간표!$A$3:$L$1183,9*Z4-6,11))),"",LEFT(INDEX(세부시간표!$A$3:$L$1183,9*Z4-6,11),4))</x:f>
        <x:v>1교육실</x:v>
      </x:c>
      <x:c r="AA17" s="65" t="str">
        <x:f>IF(OR(AA4&lt;0,AA4=Z4,ISERROR(INDEX(세부시간표!$A$3:$L$1183,9*AA4-6,11))),"",LEFT(INDEX(세부시간표!$A$3:$L$1183,9*AA4-6,11),4))</x:f>
        <x:v>1교육실</x:v>
      </x:c>
      <x:c r="AB17" s="65" t="str">
        <x:f>IF(OR(AB4&lt;0,AB4=AA4,ISERROR(INDEX(세부시간표!$A$3:$L$1183,9*AB4-6,11))),"",LEFT(INDEX(세부시간표!$A$3:$L$1183,9*AB4-6,11),4))</x:f>
        <x:v>1교육실</x:v>
      </x:c>
      <x:c r="AC17" s="65" t="str">
        <x:f>IF(OR(AC4&lt;0,AC4=AB4,ISERROR(INDEX(세부시간표!$A$3:$L$1183,9*AC4-6,11))),"",LEFT(INDEX(세부시간표!$A$3:$L$1183,9*AC4-6,11),4))</x:f>
        <x:v>1교육실</x:v>
      </x:c>
      <x:c r="AD17" s="65" t="str">
        <x:f>IF(OR(AD4&lt;0,AD4=AC4,ISERROR(INDEX(세부시간표!$A$3:$L$1183,9*AD4-6,11))),"",LEFT(INDEX(세부시간표!$A$3:$L$1183,9*AD4-6,11),4))</x:f>
        <x:v>1교육실</x:v>
      </x:c>
      <x:c r="AE17" s="65" t="str">
        <x:f>IF(OR(AE4&lt;0,AE4=AD4,ISERROR(INDEX(세부시간표!$A$3:$L$1183,9*AE4-6,11))),"",LEFT(INDEX(세부시간표!$A$3:$L$1183,9*AE4-6,11),4))</x:f>
        <x:v>1교육실</x:v>
      </x:c>
      <x:c r="AF17" s="65" t="str">
        <x:f>IF(OR(AF4&lt;0,AF4=AE4,ISERROR(INDEX(세부시간표!$A$3:$L$1183,9*AF4-6,11))),"",LEFT(INDEX(세부시간표!$A$3:$L$1183,9*AF4-6,11),4))</x:f>
        <x:v>1교육실</x:v>
      </x:c>
      <x:c r="AG17" s="65" t="str">
        <x:f>IF(OR(AG4&lt;0,AG4=AF4,ISERROR(INDEX(세부시간표!$A$3:$L$1183,9*AG4-6,11))),"",LEFT(INDEX(세부시간표!$A$3:$L$1183,9*AG4-6,11),4))</x:f>
        <x:v>1교육실</x:v>
      </x:c>
      <x:c r="AH17" s="65" t="str">
        <x:f>IF(OR(AH4&lt;0,AH4=AG4,ISERROR(INDEX(세부시간표!$A$3:$L$1183,9*AH4-6,11))),"",LEFT(INDEX(세부시간표!$A$3:$L$1183,9*AH4-6,11),4))</x:f>
        <x:v>1교육실</x:v>
      </x:c>
      <x:c r="AI17" s="65" t="str">
        <x:f>IF(OR(AI4&lt;0,AI4=AH4,ISERROR(INDEX(세부시간표!$A$3:$L$1183,9*AI4-6,11))),"",LEFT(INDEX(세부시간표!$A$3:$L$1183,9*AI4-6,11),4))</x:f>
        <x:v>1교육실</x:v>
      </x:c>
      <x:c r="AJ17" s="65" t="str">
        <x:f>IF(OR(AJ4&lt;0,AJ4=AI4,ISERROR(INDEX(세부시간표!$A$3:$L$1183,9*AJ4-6,11))),"",LEFT(INDEX(세부시간표!$A$3:$L$1183,9*AJ4-6,11),4))</x:f>
        <x:v>1교육실</x:v>
      </x:c>
      <x:c r="AK17" s="65" t="str">
        <x:f>IF(OR(AK4&lt;0,AK4=AJ4,ISERROR(INDEX(세부시간표!$A$3:$L$1183,9*AK4-6,11))),"",LEFT(INDEX(세부시간표!$A$3:$L$1183,9*AK4-6,11),4))</x:f>
        <x:v>1교육실</x:v>
      </x:c>
      <x:c r="AL17" s="65" t="str">
        <x:f>IF(OR(AL4&lt;0,AL4=AK4,ISERROR(INDEX(세부시간표!$A$3:$L$1183,9*AL4-6,11))),"",LEFT(INDEX(세부시간표!$A$3:$L$1183,9*AL4-6,11),4))</x:f>
        <x:v>1교육실</x:v>
      </x:c>
      <x:c r="AM17" s="65" t="str">
        <x:f>IF(OR(AM4&lt;0,AM4=AL4,ISERROR(INDEX(세부시간표!$A$3:$L$1183,9*AM4-6,11))),"",LEFT(INDEX(세부시간표!$A$3:$L$1183,9*AM4-6,11),4))</x:f>
        <x:v>1교육실</x:v>
      </x:c>
      <x:c r="AN17" s="65" t="str">
        <x:f>IF(OR(AN4&lt;0,AN4=AM4,ISERROR(INDEX(세부시간표!$A$3:$L$1183,9*AN4-6,11))),"",LEFT(INDEX(세부시간표!$A$3:$L$1183,9*AN4-6,11),4))</x:f>
        <x:v>1교육실</x:v>
      </x:c>
      <x:c r="AO17" s="65" t="str">
        <x:f>IF(OR(AO4&lt;0,AO4=AN4,ISERROR(INDEX(세부시간표!$A$3:$L$1183,9*AO4-6,11))),"",LEFT(INDEX(세부시간표!$A$3:$L$1183,9*AO4-6,11),4))</x:f>
        <x:v>1교육실</x:v>
      </x:c>
      <x:c r="AP17" s="65" t="str">
        <x:f>IF(OR(AP4&lt;0,AP4=AO4,ISERROR(INDEX(세부시간표!$A$3:$L$1183,9*AP4-6,11))),"",LEFT(INDEX(세부시간표!$A$3:$L$1183,9*AP4-6,11),4))</x:f>
        <x:v>1교육실</x:v>
      </x:c>
      <x:c r="AQ17" s="65" t="str">
        <x:f>IF(OR(AQ4&lt;0,AQ4=AP4,ISERROR(INDEX(세부시간표!$A$3:$L$1183,9*AQ4-6,11))),"",LEFT(INDEX(세부시간표!$A$3:$L$1183,9*AQ4-6,11),4))</x:f>
        <x:v>1교육실</x:v>
      </x:c>
      <x:c r="AR17" s="65" t="str">
        <x:f>IF(OR(AR4&lt;0,AR4=AQ4,ISERROR(INDEX(세부시간표!$A$3:$L$1183,9*AR4-6,11))),"",LEFT(INDEX(세부시간표!$A$3:$L$1183,9*AR4-6,11),4))</x:f>
        <x:v>1교육실</x:v>
      </x:c>
      <x:c r="AS17" s="65" t="str">
        <x:f>IF(OR(AS4&lt;0,AS4=AR4,ISERROR(INDEX(세부시간표!$A$3:$L$1183,9*AS4-6,11))),"",LEFT(INDEX(세부시간표!$A$3:$L$1183,9*AS4-6,11),4))</x:f>
        <x:v>1교육실</x:v>
      </x:c>
      <x:c r="AT17" s="65" t="str">
        <x:f>IF(OR(AT4&lt;0,AT4=AS4,ISERROR(INDEX(세부시간표!$A$3:$L$1183,9*AT4-6,11))),"",LEFT(INDEX(세부시간표!$A$3:$L$1183,9*AT4-6,11),4))</x:f>
        <x:v>1교육실</x:v>
      </x:c>
      <x:c r="AU17" s="65" t="str">
        <x:f>IF(OR(AU4&lt;0,AU4=AT4,ISERROR(INDEX(세부시간표!$A$3:$L$1183,9*AU4-6,11))),"",LEFT(INDEX(세부시간표!$A$3:$L$1183,9*AU4-6,11),4))</x:f>
        <x:v>1교육실</x:v>
      </x:c>
      <x:c r="AV17" s="65" t="str">
        <x:f>IF(OR(AV4&lt;0,AV4=AU4,ISERROR(INDEX(세부시간표!$A$3:$L$1183,9*AV4-6,11))),"",LEFT(INDEX(세부시간표!$A$3:$L$1183,9*AV4-6,11),4))</x:f>
        <x:v>1교육실</x:v>
      </x:c>
      <x:c r="AW17" s="65" t="str">
        <x:f>IF(OR(AW4&lt;0,AW4=AV4,ISERROR(INDEX(세부시간표!$A$3:$L$1183,9*AW4-6,11))),"",LEFT(INDEX(세부시간표!$A$3:$L$1183,9*AW4-6,11),4))</x:f>
        <x:v>1교육실</x:v>
      </x:c>
      <x:c r="AX17" s="65" t="str">
        <x:f>IF(OR(AX4&lt;0,AX4=AW4,ISERROR(INDEX(세부시간표!$A$3:$L$1183,9*AX4-6,11))),"",LEFT(INDEX(세부시간표!$A$3:$L$1183,9*AX4-6,11),4))</x:f>
        <x:v>1교육실</x:v>
      </x:c>
      <x:c r="AY17" s="65" t="str">
        <x:f>IF(OR(AY4&lt;0,AY4=AX4,ISERROR(INDEX(세부시간표!$A$3:$L$1183,9*AY4-6,11))),"",LEFT(INDEX(세부시간표!$A$3:$L$1183,9*AY4-6,11),4))</x:f>
        <x:v>1교육실</x:v>
      </x:c>
      <x:c r="AZ17" s="65" t="str">
        <x:f>IF(OR(AZ4&lt;0,AZ4=AY4,ISERROR(INDEX(세부시간표!$A$3:$L$1183,9*AZ4-6,11))),"",LEFT(INDEX(세부시간표!$A$3:$L$1183,9*AZ4-6,11),4))</x:f>
        <x:v>1교육실</x:v>
      </x:c>
      <x:c r="BA17" s="65" t="str">
        <x:f>IF(OR(BA4&lt;0,BA4=AZ4,ISERROR(INDEX(세부시간표!$A$3:$L$1183,9*BA4-6,11))),"",LEFT(INDEX(세부시간표!$A$3:$L$1183,9*BA4-6,11),4))</x:f>
        <x:v>1교육실</x:v>
      </x:c>
      <x:c r="BB17" s="65" t="str">
        <x:f>IF(OR(BB4&lt;0,BB4=BA4,ISERROR(INDEX(세부시간표!$A$3:$L$1183,9*BB4-6,11))),"",LEFT(INDEX(세부시간표!$A$3:$L$1183,9*BB4-6,11),4))</x:f>
        <x:v>1교육실</x:v>
      </x:c>
      <x:c r="BC17" s="65" t="str">
        <x:f>IF(OR(BC4&lt;0,BC4=BB4,ISERROR(INDEX(세부시간표!$A$3:$L$1183,9*BC4-6,11))),"",LEFT(INDEX(세부시간표!$A$3:$L$1183,9*BC4-6,11),4))</x:f>
        <x:v>1교육실</x:v>
      </x:c>
      <x:c r="BD17" s="65" t="str">
        <x:f>IF(OR(BD4&lt;0,BD4=BC4,ISERROR(INDEX(세부시간표!$A$3:$L$1183,9*BD4-6,11))),"",LEFT(INDEX(세부시간표!$A$3:$L$1183,9*BD4-6,11),4))</x:f>
        <x:v>1교육실</x:v>
      </x:c>
      <x:c r="BE17" s="65" t="str">
        <x:f>IF(OR(BE4&lt;0,BE4=BD4,ISERROR(INDEX(세부시간표!$A$3:$L$1183,9*BE4-6,11))),"",LEFT(INDEX(세부시간표!$A$3:$L$1183,9*BE4-6,11),4))</x:f>
        <x:v>1교육실</x:v>
      </x:c>
      <x:c r="BF17" s="65" t="str">
        <x:f>IF(OR(BF4&lt;0,BF4=BE4,ISERROR(INDEX(세부시간표!$A$3:$L$1183,9*BF4-6,11))),"",LEFT(INDEX(세부시간표!$A$3:$L$1183,9*BF4-6,11),4))</x:f>
        <x:v>1교육실</x:v>
      </x:c>
      <x:c r="BG17" s="65" t="str">
        <x:f>IF(OR(BG4&lt;0,BG4=BF4,ISERROR(INDEX(세부시간표!$A$3:$L$1183,9*BG4-6,11))),"",LEFT(INDEX(세부시간표!$A$3:$L$1183,9*BG4-6,11),4))</x:f>
        <x:v>1교육실</x:v>
      </x:c>
      <x:c r="BH17" s="65" t="str">
        <x:f>IF(OR(BH4&lt;0,BH4=BG4,ISERROR(INDEX(세부시간표!$A$3:$L$1183,9*BH4-6,11))),"",LEFT(INDEX(세부시간표!$A$3:$L$1183,9*BH4-6,11),4))</x:f>
        <x:v>1교육실</x:v>
      </x:c>
      <x:c r="BI17" s="65" t="str">
        <x:f>IF(OR(BI4&lt;0,BI4=BH4,ISERROR(INDEX(세부시간표!$A$3:$L$1183,9*BI4-6,11))),"",LEFT(INDEX(세부시간표!$A$3:$L$1183,9*BI4-6,11),4))</x:f>
        <x:v>1교육실</x:v>
      </x:c>
      <x:c r="BJ17" s="65" t="str">
        <x:f>IF(OR(BJ4&lt;0,BJ4=BI4,ISERROR(INDEX(세부시간표!$A$3:$L$1183,9*BJ4-6,11))),"",LEFT(INDEX(세부시간표!$A$3:$L$1183,9*BJ4-6,11),4))</x:f>
        <x:v>1교육실</x:v>
      </x:c>
      <x:c r="BK17" s="65" t="str">
        <x:f>IF(OR(BK4&lt;0,BK4=BJ4,ISERROR(INDEX(세부시간표!$A$3:$L$1183,9*BK4-6,11))),"",LEFT(INDEX(세부시간표!$A$3:$L$1183,9*BK4-6,11),4))</x:f>
        <x:v>1교육실</x:v>
      </x:c>
      <x:c r="BL17" s="65" t="str">
        <x:f>IF(OR(BL4&lt;0,BL4=BK4,ISERROR(INDEX(세부시간표!$A$3:$L$1183,9*BL4-6,11))),"",LEFT(INDEX(세부시간표!$A$3:$L$1183,9*BL4-6,11),4))</x:f>
        <x:v>1교육실</x:v>
      </x:c>
      <x:c r="BM17" s="65" t="str">
        <x:f>IF(OR(BM4&lt;0,BM4=BL4,ISERROR(INDEX(세부시간표!$A$3:$L$1183,9*BM4-6,11))),"",LEFT(INDEX(세부시간표!$A$3:$L$1183,9*BM4-6,11),4))</x:f>
        <x:v>1교육실</x:v>
      </x:c>
      <x:c r="BN17" s="65" t="str">
        <x:f>IF(OR(BN4&lt;0,BN4=BM4,ISERROR(INDEX(세부시간표!$A$3:$L$1183,9*BN4-6,11))),"",LEFT(INDEX(세부시간표!$A$3:$L$1183,9*BN4-6,11),4))</x:f>
        <x:v>1교육실</x:v>
      </x:c>
      <x:c r="BO17" s="65" t="str">
        <x:f>IF(OR(BO4&lt;0,BO4=BN4,ISERROR(INDEX(세부시간표!$A$3:$L$1183,9*BO4-6,11))),"",LEFT(INDEX(세부시간표!$A$3:$L$1183,9*BO4-6,11),4))</x:f>
        <x:v>1교육실</x:v>
      </x:c>
      <x:c r="BP17" s="65" t="str">
        <x:f>IF(OR(BP4&lt;0,BP4=BO4,ISERROR(INDEX(세부시간표!$A$3:$L$1183,9*BP4-6,11))),"",LEFT(INDEX(세부시간표!$A$3:$L$1183,9*BP4-6,11),4))</x:f>
        <x:v>1교육실</x:v>
      </x:c>
      <x:c r="BQ17" s="65" t="str">
        <x:f>IF(OR(BQ4&lt;0,BQ4=BP4,ISERROR(INDEX(세부시간표!$A$3:$L$1183,9*BQ4-6,11))),"",LEFT(INDEX(세부시간표!$A$3:$L$1183,9*BQ4-6,11),4))</x:f>
        <x:v>1교육실</x:v>
      </x:c>
      <x:c r="BR17" s="65" t="str">
        <x:f>IF(OR(BR4&lt;0,BR4=BQ4,ISERROR(INDEX(세부시간표!$A$3:$L$1183,9*BR4-6,11))),"",LEFT(INDEX(세부시간표!$A$3:$L$1183,9*BR4-6,11),4))</x:f>
        <x:v/>
      </x:c>
      <x:c r="BS17" s="65" t="str">
        <x:f>IF(OR(BS4&lt;0,BS4=BR4,ISERROR(INDEX(세부시간표!$A$3:$L$1183,9*BS4-6,11))),"",LEFT(INDEX(세부시간표!$A$3:$L$1183,9*BS4-6,11),4))</x:f>
        <x:v>1교육실</x:v>
      </x:c>
      <x:c r="BT17" s="65" t="str">
        <x:f>IF(OR(BT4&lt;0,BT4=BS4,ISERROR(INDEX(세부시간표!$A$3:$L$1183,9*BT4-6,11))),"",LEFT(INDEX(세부시간표!$A$3:$L$1183,9*BT4-6,11),4))</x:f>
        <x:v>1교육실</x:v>
      </x:c>
      <x:c r="BU17" s="65" t="str">
        <x:f>IF(OR(BU4&lt;0,BU4=BT4,ISERROR(INDEX(세부시간표!$A$3:$L$1183,9*BU4-6,11))),"",LEFT(INDEX(세부시간표!$A$3:$L$1183,9*BU4-6,11),4))</x:f>
        <x:v>1교육실</x:v>
      </x:c>
      <x:c r="BV17" s="65" t="str">
        <x:f>IF(OR(BV4&lt;0,BV4=BU4,ISERROR(INDEX(세부시간표!$A$3:$L$1183,9*BV4-6,11))),"",LEFT(INDEX(세부시간표!$A$3:$L$1183,9*BV4-6,11),4))</x:f>
        <x:v>1교육실</x:v>
      </x:c>
      <x:c r="BW17" s="65" t="str">
        <x:f>IF(OR(BW4&lt;0,BW4=BV4,ISERROR(INDEX(세부시간표!$A$3:$L$1183,9*BW4-6,11))),"",LEFT(INDEX(세부시간표!$A$3:$L$1183,9*BW4-6,11),4))</x:f>
        <x:v/>
      </x:c>
      <x:c r="BX17" s="65" t="str">
        <x:f>IF(OR(BX4&lt;0,BX4=BW4,ISERROR(INDEX(세부시간표!$A$3:$L$1183,9*BX4-6,11))),"",LEFT(INDEX(세부시간표!$A$3:$L$1183,9*BX4-6,11),4))</x:f>
        <x:v>1교육실</x:v>
      </x:c>
      <x:c r="BY17" s="65" t="str">
        <x:f>IF(OR(BY4&lt;0,BY4=BX4,ISERROR(INDEX(세부시간표!$A$3:$L$1183,9*BY4-6,11))),"",LEFT(INDEX(세부시간표!$A$3:$L$1183,9*BY4-6,11),4))</x:f>
        <x:v>1교육실</x:v>
      </x:c>
      <x:c r="BZ17" s="65" t="str">
        <x:f>IF(OR(BZ4&lt;0,BZ4=BY4,ISERROR(INDEX(세부시간표!$A$3:$L$1183,9*BZ4-6,11))),"",LEFT(INDEX(세부시간표!$A$3:$L$1183,9*BZ4-6,11),4))</x:f>
        <x:v>1교육실</x:v>
      </x:c>
      <x:c r="CA17" s="65" t="str">
        <x:f>IF(OR(CA4&lt;0,CA4=BZ4,ISERROR(INDEX(세부시간표!$A$3:$L$1183,9*CA4-6,11))),"",LEFT(INDEX(세부시간표!$A$3:$L$1183,9*CA4-6,11),4))</x:f>
        <x:v>1교육실</x:v>
      </x:c>
      <x:c r="CB17" s="65" t="str">
        <x:f>IF(OR(CB4&lt;0,CB4=CA4,ISERROR(INDEX(세부시간표!$A$3:$L$1183,9*CB4-6,11))),"",LEFT(INDEX(세부시간표!$A$3:$L$1183,9*CB4-6,11),4))</x:f>
        <x:v>1교육실</x:v>
      </x:c>
      <x:c r="CC17" s="65" t="str">
        <x:f>IF(OR(CC4&lt;0,CC4=CB4,ISERROR(INDEX(세부시간표!$A$3:$L$1183,9*CC4-6,11))),"",LEFT(INDEX(세부시간표!$A$3:$L$1183,9*CC4-6,11),4))</x:f>
        <x:v>1교육실</x:v>
      </x:c>
      <x:c r="CD17" s="65" t="str">
        <x:f>IF(OR(CD4&lt;0,CD4=CC4,ISERROR(INDEX(세부시간표!$A$3:$L$1183,9*CD4-6,11))),"",LEFT(INDEX(세부시간표!$A$3:$L$1183,9*CD4-6,11),4))</x:f>
        <x:v>1교육실</x:v>
      </x:c>
      <x:c r="CE17" s="65" t="str">
        <x:f>IF(OR(CE4&lt;0,CE4=CD4,ISERROR(INDEX(세부시간표!$A$3:$L$1183,9*CE4-6,11))),"",LEFT(INDEX(세부시간표!$A$3:$L$1183,9*CE4-6,11),4))</x:f>
        <x:v>1교육실</x:v>
      </x:c>
      <x:c r="CF17" s="65" t="str">
        <x:f>IF(OR(CF4&lt;0,CF4=CE4,ISERROR(INDEX(세부시간표!$A$3:$L$1183,9*CF4-6,11))),"",LEFT(INDEX(세부시간표!$A$3:$L$1183,9*CF4-6,11),4))</x:f>
        <x:v>1교육실</x:v>
      </x:c>
      <x:c r="CG17" s="65" t="str">
        <x:f>IF(OR(CG4&lt;0,CG4=CF4,ISERROR(INDEX(세부시간표!$A$3:$L$1183,9*CG4-6,11))),"",LEFT(INDEX(세부시간표!$A$3:$L$1183,9*CG4-6,11),4))</x:f>
        <x:v>1교육실</x:v>
      </x:c>
      <x:c r="CH17" s="65" t="str">
        <x:f>IF(OR(CH4&lt;0,CH4=CG4,ISERROR(INDEX(세부시간표!$A$3:$L$1183,9*CH4-6,11))),"",LEFT(INDEX(세부시간표!$A$3:$L$1183,9*CH4-6,11),4))</x:f>
        <x:v>1교육실</x:v>
      </x:c>
      <x:c r="CI17" s="65" t="str">
        <x:f>IF(OR(CI4&lt;0,CI4=CH4,ISERROR(INDEX(세부시간표!$A$3:$L$1183,9*CI4-6,11))),"",LEFT(INDEX(세부시간표!$A$3:$L$1183,9*CI4-6,11),4))</x:f>
        <x:v>1교육실</x:v>
      </x:c>
      <x:c r="CJ17" s="65" t="str">
        <x:f>IF(OR(CJ4&lt;0,CJ4=CI4,ISERROR(INDEX(세부시간표!$A$3:$L$1183,9*CJ4-6,11))),"",LEFT(INDEX(세부시간표!$A$3:$L$1183,9*CJ4-6,11),4))</x:f>
        <x:v>1교육실</x:v>
      </x:c>
      <x:c r="CK17" s="65" t="str">
        <x:f>IF(OR(CK4&lt;0,CK4=CJ4,ISERROR(INDEX(세부시간표!$A$3:$L$1183,9*CK4-6,11))),"",LEFT(INDEX(세부시간표!$A$3:$L$1183,9*CK4-6,11),4))</x:f>
        <x:v>1교육실</x:v>
      </x:c>
      <x:c r="CL17" s="65" t="str">
        <x:f>IF(OR(CL4&lt;0,CL4=CK4,ISERROR(INDEX(세부시간표!$A$3:$L$1183,9*CL4-6,11))),"",LEFT(INDEX(세부시간표!$A$3:$L$1183,9*CL4-6,11),4))</x:f>
        <x:v>1교육실</x:v>
      </x:c>
      <x:c r="CM17" s="65" t="str">
        <x:f>IF(OR(CM4&lt;0,CM4=CL4,ISERROR(INDEX(세부시간표!$A$3:$L$1183,9*CM4-6,11))),"",LEFT(INDEX(세부시간표!$A$3:$L$1183,9*CM4-6,11),4))</x:f>
        <x:v>1교육실</x:v>
      </x:c>
      <x:c r="CN17" s="65" t="str">
        <x:f>IF(OR(CN4&lt;0,CN4=CM4,ISERROR(INDEX(세부시간표!$A$3:$L$1183,9*CN4-6,11))),"",LEFT(INDEX(세부시간표!$A$3:$L$1183,9*CN4-6,11),4))</x:f>
        <x:v>1교육실</x:v>
      </x:c>
      <x:c r="CO17" s="65" t="str">
        <x:f>IF(OR(CO4&lt;0,CO4=CN4,ISERROR(INDEX(세부시간표!$A$3:$L$1183,9*CO4-6,11))),"",LEFT(INDEX(세부시간표!$A$3:$L$1183,9*CO4-6,11),4))</x:f>
        <x:v>1교육실</x:v>
      </x:c>
      <x:c r="CP17" s="65" t="str">
        <x:f>IF(OR(CP4&lt;0,CP4=CO4,ISERROR(INDEX(세부시간표!$A$3:$L$1183,9*CP4-6,11))),"",LEFT(INDEX(세부시간표!$A$3:$L$1183,9*CP4-6,11),4))</x:f>
        <x:v>1교육실</x:v>
      </x:c>
      <x:c r="CQ17" s="65" t="str">
        <x:f>IF(OR(CQ4&lt;0,CQ4=CP4,ISERROR(INDEX(세부시간표!$A$3:$L$1183,9*CQ4-6,11))),"",LEFT(INDEX(세부시간표!$A$3:$L$1183,9*CQ4-6,11),4))</x:f>
        <x:v>1교육실</x:v>
      </x:c>
      <x:c r="CR17" s="65" t="str">
        <x:f>IF(OR(CR4&lt;0,CR4=CQ4,ISERROR(INDEX(세부시간표!$A$3:$L$1183,9*CR4-6,11))),"",LEFT(INDEX(세부시간표!$A$3:$L$1183,9*CR4-6,11),4))</x:f>
        <x:v>1교육실</x:v>
      </x:c>
      <x:c r="CS17" s="65" t="str">
        <x:f>IF(OR(CS4&lt;0,CS4=CR4,ISERROR(INDEX(세부시간표!$A$3:$L$1183,9*CS4-6,11))),"",LEFT(INDEX(세부시간표!$A$3:$L$1183,9*CS4-6,11),4))</x:f>
        <x:v>1교육실</x:v>
      </x:c>
      <x:c r="CT17" s="65" t="str">
        <x:f>IF(OR(CT4&lt;0,CT4=CS4,ISERROR(INDEX(세부시간표!$A$3:$L$1183,9*CT4-6,11))),"",LEFT(INDEX(세부시간표!$A$3:$L$1183,9*CT4-6,11),4))</x:f>
        <x:v>1교육실</x:v>
      </x:c>
      <x:c r="CU17" s="65" t="str">
        <x:f>IF(OR(CU4&lt;0,CU4=CT4,ISERROR(INDEX(세부시간표!$A$3:$L$1183,9*CU4-6,11))),"",LEFT(INDEX(세부시간표!$A$3:$L$1183,9*CU4-6,11),4))</x:f>
        <x:v>1교육실</x:v>
      </x:c>
      <x:c r="CV17" s="65" t="str">
        <x:f>IF(OR(CV4&lt;0,CV4=CU4,ISERROR(INDEX(세부시간표!$A$3:$L$1183,9*CV4-6,11))),"",LEFT(INDEX(세부시간표!$A$3:$L$1183,9*CV4-6,11),4))</x:f>
        <x:v>1교육실</x:v>
      </x:c>
      <x:c r="CW17" s="65" t="str">
        <x:f>IF(OR(CW4&lt;0,CW4=CV4,ISERROR(INDEX(세부시간표!$A$3:$L$1183,9*CW4-6,11))),"",LEFT(INDEX(세부시간표!$A$3:$L$1183,9*CW4-6,11),4))</x:f>
        <x:v>1교육실</x:v>
      </x:c>
      <x:c r="CX17" s="65" t="str">
        <x:f>IF(OR(CX4&lt;0,CX4=CW4,ISERROR(INDEX(세부시간표!$A$3:$L$1183,9*CX4-6,11))),"",LEFT(INDEX(세부시간표!$A$3:$L$1183,9*CX4-6,11),4))</x:f>
        <x:v>1교육실</x:v>
      </x:c>
      <x:c r="CY17" s="65" t="str">
        <x:f>IF(OR(CY4&lt;0,CY4=CX4,ISERROR(INDEX(세부시간표!$A$3:$L$1183,9*CY4-6,11))),"",LEFT(INDEX(세부시간표!$A$3:$L$1183,9*CY4-6,11),4))</x:f>
        <x:v>1교육실</x:v>
      </x:c>
      <x:c r="CZ17" s="65" t="str">
        <x:f>IF(OR(CZ4&lt;0,CZ4=CY4,ISERROR(INDEX(세부시간표!$A$3:$L$1183,9*CZ4-6,11))),"",LEFT(INDEX(세부시간표!$A$3:$L$1183,9*CZ4-6,11),4))</x:f>
        <x:v>1교육실</x:v>
      </x:c>
      <x:c r="DA17" s="65" t="str">
        <x:f>IF(OR(DA4&lt;0,DA4=CZ4,ISERROR(INDEX(세부시간표!$A$3:$L$1183,9*DA4-6,11))),"",LEFT(INDEX(세부시간표!$A$3:$L$1183,9*DA4-6,11),4))</x:f>
        <x:v>1교육실</x:v>
      </x:c>
      <x:c r="DB17" s="65" t="str">
        <x:f>IF(OR(DB4&lt;0,DB4=DA4,ISERROR(INDEX(세부시간표!$A$3:$L$1183,9*DB4-6,11))),"",LEFT(INDEX(세부시간표!$A$3:$L$1183,9*DB4-6,11),4))</x:f>
        <x:v>1교육실</x:v>
      </x:c>
      <x:c r="DC17" s="65" t="str">
        <x:f>IF(OR(DC4&lt;0,DC4=DB4,ISERROR(INDEX(세부시간표!$A$3:$L$1183,9*DC4-6,11))),"",LEFT(INDEX(세부시간표!$A$3:$L$1183,9*DC4-6,11),4))</x:f>
        <x:v/>
      </x:c>
      <x:c r="DD17" s="65" t="str">
        <x:f>IF(OR(DD4&lt;0,DD4=DC4,ISERROR(INDEX(세부시간표!$A$3:$L$1183,9*DD4-6,11))),"",LEFT(INDEX(세부시간표!$A$3:$L$1183,9*DD4-6,11),4))</x:f>
        <x:v/>
      </x:c>
      <x:c r="DE17" s="65" t="str">
        <x:f>IF(OR(DE4&lt;0,DE4=DD4,ISERROR(INDEX(세부시간표!$A$3:$L$1183,9*DE4-6,11))),"",LEFT(INDEX(세부시간표!$A$3:$L$1183,9*DE4-6,11),4))</x:f>
        <x:v/>
      </x:c>
      <x:c r="DF17" s="65" t="str">
        <x:f>IF(OR(DF4&lt;0,DF4=DE4,ISERROR(INDEX(세부시간표!$A$3:$L$1183,9*DF4-6,11))),"",LEFT(INDEX(세부시간표!$A$3:$L$1183,9*DF4-6,11),4))</x:f>
        <x:v>1교육실</x:v>
      </x:c>
      <x:c r="DG17" s="65" t="str">
        <x:f>IF(OR(DG4&lt;0,DG4=DF4,ISERROR(INDEX(세부시간표!$A$3:$L$1183,9*DG4-6,11))),"",LEFT(INDEX(세부시간표!$A$3:$L$1183,9*DG4-6,11),4))</x:f>
        <x:v>1교육실</x:v>
      </x:c>
      <x:c r="DH17" s="65" t="str">
        <x:f>IF(OR(DH4&lt;0,DH4=DG4,ISERROR(INDEX(세부시간표!$A$3:$L$1183,9*DH4-6,11))),"",LEFT(INDEX(세부시간표!$A$3:$L$1183,9*DH4-6,11),4))</x:f>
        <x:v>1교육실</x:v>
      </x:c>
      <x:c r="DI17" s="65" t="str">
        <x:f>IF(OR(DI4&lt;0,DI4=DH4,ISERROR(INDEX(세부시간표!$A$3:$L$1183,9*DI4-6,11))),"",LEFT(INDEX(세부시간표!$A$3:$L$1183,9*DI4-6,11),4))</x:f>
        <x:v>1교육실</x:v>
      </x:c>
      <x:c r="DJ17" s="65" t="str">
        <x:f>IF(OR(DJ4&lt;0,DJ4=DI4,ISERROR(INDEX(세부시간표!$A$3:$L$1183,9*DJ4-6,11))),"",LEFT(INDEX(세부시간표!$A$3:$L$1183,9*DJ4-6,11),4))</x:f>
        <x:v>1교육실</x:v>
      </x:c>
      <x:c r="DK17" s="65" t="str">
        <x:f>IF(OR(DK4&lt;0,DK4=DJ4,ISERROR(INDEX(세부시간표!$A$3:$L$1183,9*DK4-6,11))),"",LEFT(INDEX(세부시간표!$A$3:$L$1183,9*DK4-6,11),4))</x:f>
        <x:v>1교육실</x:v>
      </x:c>
      <x:c r="DL17" s="65" t="str">
        <x:f>IF(OR(DL4&lt;0,DL4=DK4,ISERROR(INDEX(세부시간표!$A$3:$L$1183,9*DL4-6,11))),"",LEFT(INDEX(세부시간표!$A$3:$L$1183,9*DL4-6,11),4))</x:f>
        <x:v>1교육실</x:v>
      </x:c>
      <x:c r="DM17" s="65" t="str">
        <x:f>IF(OR(DM4&lt;0,DM4=DL4,ISERROR(INDEX(세부시간표!$A$3:$L$1183,9*DM4-6,11))),"",LEFT(INDEX(세부시간표!$A$3:$L$1183,9*DM4-6,11),4))</x:f>
        <x:v/>
      </x:c>
      <x:c r="DN17" s="65" t="str">
        <x:f>IF(OR(DN4&lt;0,DN4=DM4,ISERROR(INDEX(세부시간표!$A$3:$L$1183,9*DN4-6,11))),"",LEFT(INDEX(세부시간표!$A$3:$L$1183,9*DN4-6,11),4))</x:f>
        <x:v>1교육실</x:v>
      </x:c>
      <x:c r="DO17" s="65" t="str">
        <x:f>IF(OR(DO4&lt;0,DO4=DN4,ISERROR(INDEX(세부시간표!$A$3:$L$1183,9*DO4-6,11))),"",LEFT(INDEX(세부시간표!$A$3:$L$1183,9*DO4-6,11),4))</x:f>
        <x:v>1교육실</x:v>
      </x:c>
      <x:c r="DP17" s="65" t="str">
        <x:f>IF(OR(DP4&lt;0,DP4=DO4,ISERROR(INDEX(세부시간표!$A$3:$L$1183,9*DP4-6,11))),"",LEFT(INDEX(세부시간표!$A$3:$L$1183,9*DP4-6,11),4))</x:f>
        <x:v>1교육실</x:v>
      </x:c>
      <x:c r="DQ17" s="65" t="str">
        <x:f>IF(OR(DQ4&lt;0,DQ4=DP4,ISERROR(INDEX(세부시간표!$A$3:$L$1183,9*DQ4-6,11))),"",LEFT(INDEX(세부시간표!$A$3:$L$1183,9*DQ4-6,11),4))</x:f>
        <x:v>1교육실</x:v>
      </x:c>
      <x:c r="DR17" s="65" t="str">
        <x:f>IF(OR(DR4&lt;0,DR4=DQ4,ISERROR(INDEX(세부시간표!$A$3:$L$1183,9*DR4-6,11))),"",LEFT(INDEX(세부시간표!$A$3:$L$1183,9*DR4-6,11),4))</x:f>
        <x:v>1교육실</x:v>
      </x:c>
      <x:c r="DS17" s="65" t="str">
        <x:f>IF(OR(DS4&lt;0,DS4=DR4,ISERROR(INDEX(세부시간표!$A$3:$L$1183,9*DS4-6,11))),"",LEFT(INDEX(세부시간표!$A$3:$L$1183,9*DS4-6,11),4))</x:f>
        <x:v>1교육실</x:v>
      </x:c>
      <x:c r="DT17" s="65" t="str">
        <x:f>IF(OR(DT4&lt;0,DT4=DS4,ISERROR(INDEX(세부시간표!$A$3:$L$1183,9*DT4-6,11))),"",LEFT(INDEX(세부시간표!$A$3:$L$1183,9*DT4-6,11),4))</x:f>
        <x:v>1교육실</x:v>
      </x:c>
      <x:c r="DU17" s="65" t="str">
        <x:f>IF(OR(DU4&lt;0,DU4=DT4,ISERROR(INDEX(세부시간표!$A$3:$L$1183,9*DU4-6,11))),"",LEFT(INDEX(세부시간표!$A$3:$L$1183,9*DU4-6,11),4))</x:f>
        <x:v>1교육실</x:v>
      </x:c>
      <x:c r="DV17" s="65" t="str">
        <x:f>IF(OR(DV4&lt;0,DV4=DU4,ISERROR(INDEX(세부시간표!$A$3:$L$1183,9*DV4-6,11))),"",LEFT(INDEX(세부시간표!$A$3:$L$1183,9*DV4-6,11),4))</x:f>
        <x:v>1교육실</x:v>
      </x:c>
      <x:c r="DW17" s="65" t="str">
        <x:f>IF(OR(DW4&lt;0,DW4=DV4,ISERROR(INDEX(세부시간표!$A$3:$L$1183,9*DW4-6,11))),"",LEFT(INDEX(세부시간표!$A$3:$L$1183,9*DW4-6,11),4))</x:f>
        <x:v>1교육실</x:v>
      </x:c>
      <x:c r="DX17" s="65" t="str">
        <x:f>IF(OR(DX4&lt;0,DX4=DW4,ISERROR(INDEX(세부시간표!$A$3:$L$1183,9*DX4-6,11))),"",LEFT(INDEX(세부시간표!$A$3:$L$1183,9*DX4-6,11),4))</x:f>
        <x:v>1교육실</x:v>
      </x:c>
      <x:c r="DY17" s="65" t="str">
        <x:f>IF(OR(DY4&lt;0,DY4=DX4,ISERROR(INDEX(세부시간표!$A$3:$L$1183,9*DY4-6,11))),"",LEFT(INDEX(세부시간표!$A$3:$L$1183,9*DY4-6,11),4))</x:f>
        <x:v>1교육실</x:v>
      </x:c>
      <x:c r="DZ17" s="65" t="str">
        <x:f>IF(OR(DZ4&lt;0,DZ4=DY4,ISERROR(INDEX(세부시간표!$A$3:$L$1183,9*DZ4-6,11))),"",LEFT(INDEX(세부시간표!$A$3:$L$1183,9*DZ4-6,11),4))</x:f>
        <x:v>1교육실</x:v>
      </x:c>
      <x:c r="EA17" s="65" t="str">
        <x:f>IF(OR(EA4&lt;0,EA4=DZ4,ISERROR(INDEX(세부시간표!$A$3:$L$1183,9*EA4-6,11))),"",LEFT(INDEX(세부시간표!$A$3:$L$1183,9*EA4-6,11),4))</x:f>
        <x:v>1교육실</x:v>
      </x:c>
      <x:c r="EB17" s="65" t="str">
        <x:f>IF(OR(EB4&lt;0,EB4=EA4,ISERROR(INDEX(세부시간표!$A$3:$L$1183,9*EB4-6,11))),"",LEFT(INDEX(세부시간표!$A$3:$L$1183,9*EB4-6,11),4))</x:f>
        <x:v>1교육실</x:v>
      </x:c>
      <x:c r="EC17" s="65" t="str">
        <x:f>IF(OR(EC4&lt;0,EC4=EB4,ISERROR(INDEX(세부시간표!$A$3:$L$1183,9*EC4-6,11))),"",LEFT(INDEX(세부시간표!$A$3:$L$1183,9*EC4-6,11),4))</x:f>
        <x:v>1교육실</x:v>
      </x:c>
      <x:c r="ED17" s="65" t="str">
        <x:f>IF(OR(ED4&lt;0,ED4=EC4,ISERROR(INDEX(세부시간표!$A$3:$L$1183,9*ED4-6,11))),"",LEFT(INDEX(세부시간표!$A$3:$L$1183,9*ED4-6,11),4))</x:f>
        <x:v>1교육실</x:v>
      </x:c>
      <x:c r="EE17" s="65" t="str">
        <x:f>IF(OR(EE4&lt;0,EE4=ED4,ISERROR(INDEX(세부시간표!$A$3:$L$1183,9*EE4-6,11))),"",LEFT(INDEX(세부시간표!$A$3:$L$1183,9*EE4-6,11),4))</x:f>
        <x:v/>
      </x:c>
      <x:c r="EF17" s="65" t="str">
        <x:f>IF(OR(EF4&lt;0,EF4=EE4,ISERROR(INDEX(세부시간표!$A$3:$L$1183,9*EF4-6,11))),"",LEFT(INDEX(세부시간표!$A$3:$L$1183,9*EF4-6,11),4))</x:f>
        <x:v/>
      </x:c>
      <x:c r="EG17" s="65" t="str">
        <x:f>IF(OR(EG4&lt;0,EG4=EF4,ISERROR(INDEX(세부시간표!$A$3:$L$1183,9*EG4-6,11))),"",LEFT(INDEX(세부시간표!$A$3:$L$1183,9*EG4-6,11),4))</x:f>
        <x:v/>
      </x:c>
      <x:c r="EH17" s="65" t="str">
        <x:f>IF(OR(EH4&lt;0,EH4=EG4,ISERROR(INDEX(세부시간표!$A$3:$L$1183,9*EH4-6,11))),"",LEFT(INDEX(세부시간표!$A$3:$L$1183,9*EH4-6,11),4))</x:f>
        <x:v/>
      </x:c>
      <x:c r="EI17" s="65" t="str">
        <x:f>IF(OR(EI4&lt;0,EI4=EH4,ISERROR(INDEX(세부시간표!$A$3:$L$1183,9*EI4-6,11))),"",LEFT(INDEX(세부시간표!$A$3:$L$1183,9*EI4-6,11),4))</x:f>
        <x:v/>
      </x:c>
      <x:c r="EJ17" s="65" t="str">
        <x:f>IF(OR(EJ4&lt;0,EJ4=EI4,ISERROR(INDEX(세부시간표!$A$3:$L$1183,9*EJ4-6,11))),"",LEFT(INDEX(세부시간표!$A$3:$L$1183,9*EJ4-6,11),4))</x:f>
        <x:v/>
      </x:c>
      <x:c r="EK17" s="65" t="str">
        <x:f>IF(OR(EK4&lt;0,EK4=EJ4,ISERROR(INDEX(세부시간표!$A$3:$L$1183,9*EK4-6,11))),"",LEFT(INDEX(세부시간표!$A$3:$L$1183,9*EK4-6,11),4))</x:f>
        <x:v/>
      </x:c>
      <x:c r="EL17" s="49" t="str">
        <x:f>IF(OR(EL4&lt;0,EL4=EK4,ISERROR(INDEX(세부시간표!$A$3:$L$1183,9*EL4-6,11))),"",INDEX(세부시간표!$A$3:$L$1183,9*EL4-6,11))</x:f>
        <x:v/>
      </x:c>
      <x:c r="EM17" s="48" t="str">
        <x:f>IF(OR(EM4&lt;0,EM4=EL4,ISERROR(INDEX(세부시간표!$A$3:$L$1183,9*EM4-6,11))),"",INDEX(세부시간표!$A$3:$L$1183,9*EM4-6,11))</x:f>
        <x:v/>
      </x:c>
      <x:c r="EN17" s="48" t="str">
        <x:f>IF(OR(EN4&lt;0,EN4=EM4,ISERROR(INDEX(세부시간표!$A$3:$L$1183,9*EN4-6,11))),"",INDEX(세부시간표!$A$3:$L$1183,9*EN4-6,11))</x:f>
        <x:v/>
      </x:c>
      <x:c r="EO17" s="48" t="str">
        <x:f>IF(OR(EO4&lt;0,EO4=EN4,ISERROR(INDEX(세부시간표!$A$3:$L$1183,9*EO4-6,11))),"",INDEX(세부시간표!$A$3:$L$1183,9*EO4-6,11))</x:f>
        <x:v/>
      </x:c>
      <x:c r="EP17" s="50" t="str">
        <x:f>IF(OR(EP4&lt;0,EP4=EO4,ISERROR(INDEX(세부시간표!$A$3:$L$1183,9*EP4-6,11))),"",INDEX(세부시간표!$A$3:$L$1183,9*EP4-6,11))</x:f>
        <x:v/>
      </x:c>
    </x:row>
    <x:row r="18" spans="1:146" s="47" customFormat="1" ht="15" customHeight="1">
      <x:c r="A18" s="279"/>
      <x:c r="B18" s="66" t="str">
        <x:f>IF(OR(B4&lt;0,B4=A4,ISERROR(INDEX(세부시간표!$A$3:$L$1183,9*B4-6,12))),"",INDEX(세부시간표!$A$3:$L$1183,9*B4-6,12))</x:f>
        <x:v>양현수</x:v>
      </x:c>
      <x:c r="C18" s="66" t="str">
        <x:f>IF(OR(C4&lt;0,C4=B4,ISERROR(INDEX(세부시간표!$A$3:$L$1183,9*C4-6,12))),"",INDEX(세부시간표!$A$3:$L$1183,9*C4-6,12))</x:f>
        <x:v>양현수</x:v>
      </x:c>
      <x:c r="D18" s="66" t="str">
        <x:f>IF(OR(D4&lt;0,D4=C4,ISERROR(INDEX(세부시간표!$A$3:$L$1183,9*D4-6,12))),"",INDEX(세부시간표!$A$3:$L$1183,9*D4-6,12))</x:f>
        <x:v>양현수</x:v>
      </x:c>
      <x:c r="E18" s="66" t="str">
        <x:f>IF(OR(E4&lt;0,E4=D4,ISERROR(INDEX(세부시간표!$A$3:$L$1183,9*E4-6,12))),"",INDEX(세부시간표!$A$3:$L$1183,9*E4-6,12))</x:f>
        <x:v>양현수</x:v>
      </x:c>
      <x:c r="F18" s="66" t="str">
        <x:f>IF(OR(F4&lt;0,F4=E4,ISERROR(INDEX(세부시간표!$A$3:$L$1183,9*F4-6,12))),"",INDEX(세부시간표!$A$3:$L$1183,9*F4-6,12))</x:f>
        <x:v>양현수</x:v>
      </x:c>
      <x:c r="G18" s="66" t="str">
        <x:f>IF(OR(G4&lt;0,G4=F4,ISERROR(INDEX(세부시간표!$A$3:$L$1183,9*G4-6,12))),"",INDEX(세부시간표!$A$3:$L$1183,9*G4-6,12))</x:f>
        <x:v>양현수</x:v>
      </x:c>
      <x:c r="H18" s="66" t="str">
        <x:f>IF(OR(H4&lt;0,H4=G4,ISERROR(INDEX(세부시간표!$A$3:$L$1183,9*H4-6,12))),"",INDEX(세부시간표!$A$3:$L$1183,9*H4-6,12))</x:f>
        <x:v>양현수</x:v>
      </x:c>
      <x:c r="I18" s="66" t="str">
        <x:f>IF(OR(I4&lt;0,I4=H4,ISERROR(INDEX(세부시간표!$A$3:$L$1183,9*I4-6,12))),"",INDEX(세부시간표!$A$3:$L$1183,9*I4-6,12))</x:f>
        <x:v>양현수</x:v>
      </x:c>
      <x:c r="J18" s="66" t="str">
        <x:f>IF(OR(J4&lt;0,J4=I4,ISERROR(INDEX(세부시간표!$A$3:$L$1183,9*J4-6,12))),"",INDEX(세부시간표!$A$3:$L$1183,9*J4-6,12))</x:f>
        <x:v>양현수</x:v>
      </x:c>
      <x:c r="K18" s="66" t="str">
        <x:f>IF(OR(K4&lt;0,K4=J4,ISERROR(INDEX(세부시간표!$A$3:$L$1183,9*K4-6,12))),"",INDEX(세부시간표!$A$3:$L$1183,9*K4-6,12))</x:f>
        <x:v/>
      </x:c>
      <x:c r="L18" s="66" t="str">
        <x:f>IF(OR(L4&lt;0,L4=K4,ISERROR(INDEX(세부시간표!$A$3:$L$1183,9*L4-6,12))),"",INDEX(세부시간표!$A$3:$L$1183,9*L4-6,12))</x:f>
        <x:v/>
      </x:c>
      <x:c r="M18" s="66" t="str">
        <x:f>IF(OR(M4&lt;0,M4=L4,ISERROR(INDEX(세부시간표!$A$3:$L$1183,9*M4-6,12))),"",INDEX(세부시간표!$A$3:$L$1183,9*M4-6,12))</x:f>
        <x:v/>
      </x:c>
      <x:c r="N18" s="66" t="str">
        <x:f>IF(OR(N4&lt;0,N4=M4,ISERROR(INDEX(세부시간표!$A$3:$L$1183,9*N4-6,12))),"",INDEX(세부시간표!$A$3:$L$1183,9*N4-6,12))</x:f>
        <x:v/>
      </x:c>
      <x:c r="O18" s="66" t="str">
        <x:f>IF(OR(O4&lt;0,O4=N4,ISERROR(INDEX(세부시간표!$A$3:$L$1183,9*O4-6,12))),"",INDEX(세부시간표!$A$3:$L$1183,9*O4-6,12))</x:f>
        <x:v/>
      </x:c>
      <x:c r="P18" s="66" t="str">
        <x:f>IF(OR(P4&lt;0,P4=O4,ISERROR(INDEX(세부시간표!$A$3:$L$1183,9*P4-6,12))),"",INDEX(세부시간표!$A$3:$L$1183,9*P4-6,12))</x:f>
        <x:v>양현수</x:v>
      </x:c>
      <x:c r="Q18" s="66" t="str">
        <x:f>IF(OR(Q4&lt;0,Q4=P4,ISERROR(INDEX(세부시간표!$A$3:$L$1183,9*Q4-6,12))),"",INDEX(세부시간표!$A$3:$L$1183,9*Q4-6,12))</x:f>
        <x:v>양현수</x:v>
      </x:c>
      <x:c r="R18" s="66" t="str">
        <x:f>IF(OR(R4&lt;0,R4=Q4,ISERROR(INDEX(세부시간표!$A$3:$L$1183,9*R4-6,12))),"",INDEX(세부시간표!$A$3:$L$1183,9*R4-6,12))</x:f>
        <x:v>양현수</x:v>
      </x:c>
      <x:c r="S18" s="66" t="str">
        <x:f>IF(OR(S4&lt;0,S4=R4,ISERROR(INDEX(세부시간표!$A$3:$L$1183,9*S4-6,12))),"",INDEX(세부시간표!$A$3:$L$1183,9*S4-6,12))</x:f>
        <x:v>양현수</x:v>
      </x:c>
      <x:c r="T18" s="66" t="str">
        <x:f>IF(OR(T4&lt;0,T4=S4,ISERROR(INDEX(세부시간표!$A$3:$L$1183,9*T4-6,12))),"",INDEX(세부시간표!$A$3:$L$1183,9*T4-6,12))</x:f>
        <x:v>양현수</x:v>
      </x:c>
      <x:c r="U18" s="66" t="str">
        <x:f>IF(OR(U4&lt;0,U4=T4,ISERROR(INDEX(세부시간표!$A$3:$L$1183,9*U4-6,12))),"",INDEX(세부시간표!$A$3:$L$1183,9*U4-6,12))</x:f>
        <x:v>양현수</x:v>
      </x:c>
      <x:c r="V18" s="66" t="str">
        <x:f>IF(OR(V4&lt;0,V4=U4,ISERROR(INDEX(세부시간표!$A$3:$L$1183,9*V4-6,12))),"",INDEX(세부시간표!$A$3:$L$1183,9*V4-6,12))</x:f>
        <x:v>양현수</x:v>
      </x:c>
      <x:c r="W18" s="66" t="str">
        <x:f>IF(OR(W4&lt;0,W4=V4,ISERROR(INDEX(세부시간표!$A$3:$L$1183,9*W4-6,12))),"",INDEX(세부시간표!$A$3:$L$1183,9*W4-6,12))</x:f>
        <x:v>양현수</x:v>
      </x:c>
      <x:c r="X18" s="66" t="str">
        <x:f>IF(OR(X4&lt;0,X4=W4,ISERROR(INDEX(세부시간표!$A$3:$L$1183,9*X4-6,12))),"",INDEX(세부시간표!$A$3:$L$1183,9*X4-6,12))</x:f>
        <x:v>양현수</x:v>
      </x:c>
      <x:c r="Y18" s="66" t="str">
        <x:f>IF(OR(Y4&lt;0,Y4=X4,ISERROR(INDEX(세부시간표!$A$3:$L$1183,9*Y4-6,12))),"",INDEX(세부시간표!$A$3:$L$1183,9*Y4-6,12))</x:f>
        <x:v>양현수</x:v>
      </x:c>
      <x:c r="Z18" s="66" t="str">
        <x:f>IF(OR(Z4&lt;0,Z4=Y4,ISERROR(INDEX(세부시간표!$A$3:$L$1183,9*Z4-6,12))),"",INDEX(세부시간표!$A$3:$L$1183,9*Z4-6,12))</x:f>
        <x:v>양현수</x:v>
      </x:c>
      <x:c r="AA18" s="66" t="str">
        <x:f>IF(OR(AA4&lt;0,AA4=Z4,ISERROR(INDEX(세부시간표!$A$3:$L$1183,9*AA4-6,12))),"",INDEX(세부시간표!$A$3:$L$1183,9*AA4-6,12))</x:f>
        <x:v>양현수</x:v>
      </x:c>
      <x:c r="AB18" s="66" t="str">
        <x:f>IF(OR(AB4&lt;0,AB4=AA4,ISERROR(INDEX(세부시간표!$A$3:$L$1183,9*AB4-6,12))),"",INDEX(세부시간표!$A$3:$L$1183,9*AB4-6,12))</x:f>
        <x:v>양현수</x:v>
      </x:c>
      <x:c r="AC18" s="66" t="str">
        <x:f>IF(OR(AC4&lt;0,AC4=AB4,ISERROR(INDEX(세부시간표!$A$3:$L$1183,9*AC4-6,12))),"",INDEX(세부시간표!$A$3:$L$1183,9*AC4-6,12))</x:f>
        <x:v>양현수</x:v>
      </x:c>
      <x:c r="AD18" s="66" t="str">
        <x:f>IF(OR(AD4&lt;0,AD4=AC4,ISERROR(INDEX(세부시간표!$A$3:$L$1183,9*AD4-6,12))),"",INDEX(세부시간표!$A$3:$L$1183,9*AD4-6,12))</x:f>
        <x:v>양현수</x:v>
      </x:c>
      <x:c r="AE18" s="66" t="str">
        <x:f>IF(OR(AE4&lt;0,AE4=AD4,ISERROR(INDEX(세부시간표!$A$3:$L$1183,9*AE4-6,12))),"",INDEX(세부시간표!$A$3:$L$1183,9*AE4-6,12))</x:f>
        <x:v>양현수</x:v>
      </x:c>
      <x:c r="AF18" s="66" t="str">
        <x:f>IF(OR(AF4&lt;0,AF4=AE4,ISERROR(INDEX(세부시간표!$A$3:$L$1183,9*AF4-6,12))),"",INDEX(세부시간표!$A$3:$L$1183,9*AF4-6,12))</x:f>
        <x:v>양현수</x:v>
      </x:c>
      <x:c r="AG18" s="66" t="str">
        <x:f>IF(OR(AG4&lt;0,AG4=AF4,ISERROR(INDEX(세부시간표!$A$3:$L$1183,9*AG4-6,12))),"",INDEX(세부시간표!$A$3:$L$1183,9*AG4-6,12))</x:f>
        <x:v>양현수</x:v>
      </x:c>
      <x:c r="AH18" s="66" t="str">
        <x:f>IF(OR(AH4&lt;0,AH4=AG4,ISERROR(INDEX(세부시간표!$A$3:$L$1183,9*AH4-6,12))),"",INDEX(세부시간표!$A$3:$L$1183,9*AH4-6,12))</x:f>
        <x:v>양현수</x:v>
      </x:c>
      <x:c r="AI18" s="66" t="str">
        <x:f>IF(OR(AI4&lt;0,AI4=AH4,ISERROR(INDEX(세부시간표!$A$3:$L$1183,9*AI4-6,12))),"",INDEX(세부시간표!$A$3:$L$1183,9*AI4-6,12))</x:f>
        <x:v>양현수</x:v>
      </x:c>
      <x:c r="AJ18" s="66" t="str">
        <x:f>IF(OR(AJ4&lt;0,AJ4=AI4,ISERROR(INDEX(세부시간표!$A$3:$L$1183,9*AJ4-6,12))),"",INDEX(세부시간표!$A$3:$L$1183,9*AJ4-6,12))</x:f>
        <x:v>양현수</x:v>
      </x:c>
      <x:c r="AK18" s="66" t="str">
        <x:f>IF(OR(AK4&lt;0,AK4=AJ4,ISERROR(INDEX(세부시간표!$A$3:$L$1183,9*AK4-6,12))),"",INDEX(세부시간표!$A$3:$L$1183,9*AK4-6,12))</x:f>
        <x:v>양현수</x:v>
      </x:c>
      <x:c r="AL18" s="66" t="str">
        <x:f>IF(OR(AL4&lt;0,AL4=AK4,ISERROR(INDEX(세부시간표!$A$3:$L$1183,9*AL4-6,12))),"",INDEX(세부시간표!$A$3:$L$1183,9*AL4-6,12))</x:f>
        <x:v>양현수</x:v>
      </x:c>
      <x:c r="AM18" s="66" t="str">
        <x:f>IF(OR(AM4&lt;0,AM4=AL4,ISERROR(INDEX(세부시간표!$A$3:$L$1183,9*AM4-6,12))),"",INDEX(세부시간표!$A$3:$L$1183,9*AM4-6,12))</x:f>
        <x:v>양현수</x:v>
      </x:c>
      <x:c r="AN18" s="66" t="str">
        <x:f>IF(OR(AN4&lt;0,AN4=AM4,ISERROR(INDEX(세부시간표!$A$3:$L$1183,9*AN4-6,12))),"",INDEX(세부시간표!$A$3:$L$1183,9*AN4-6,12))</x:f>
        <x:v>양현수</x:v>
      </x:c>
      <x:c r="AO18" s="66" t="str">
        <x:f>IF(OR(AO4&lt;0,AO4=AN4,ISERROR(INDEX(세부시간표!$A$3:$L$1183,9*AO4-6,12))),"",INDEX(세부시간표!$A$3:$L$1183,9*AO4-6,12))</x:f>
        <x:v>양현수</x:v>
      </x:c>
      <x:c r="AP18" s="66" t="str">
        <x:f>IF(OR(AP4&lt;0,AP4=AO4,ISERROR(INDEX(세부시간표!$A$3:$L$1183,9*AP4-6,12))),"",INDEX(세부시간표!$A$3:$L$1183,9*AP4-6,12))</x:f>
        <x:v>양현수</x:v>
      </x:c>
      <x:c r="AQ18" s="66" t="str">
        <x:f>IF(OR(AQ4&lt;0,AQ4=AP4,ISERROR(INDEX(세부시간표!$A$3:$L$1183,9*AQ4-6,12))),"",INDEX(세부시간표!$A$3:$L$1183,9*AQ4-6,12))</x:f>
        <x:v>양현수</x:v>
      </x:c>
      <x:c r="AR18" s="66" t="str">
        <x:f>IF(OR(AR4&lt;0,AR4=AQ4,ISERROR(INDEX(세부시간표!$A$3:$L$1183,9*AR4-6,12))),"",INDEX(세부시간표!$A$3:$L$1183,9*AR4-6,12))</x:f>
        <x:v>양현수</x:v>
      </x:c>
      <x:c r="AS18" s="66" t="str">
        <x:f>IF(OR(AS4&lt;0,AS4=AR4,ISERROR(INDEX(세부시간표!$A$3:$L$1183,9*AS4-6,12))),"",INDEX(세부시간표!$A$3:$L$1183,9*AS4-6,12))</x:f>
        <x:v>양현수</x:v>
      </x:c>
      <x:c r="AT18" s="66" t="str">
        <x:f>IF(OR(AT4&lt;0,AT4=AS4,ISERROR(INDEX(세부시간표!$A$3:$L$1183,9*AT4-6,12))),"",INDEX(세부시간표!$A$3:$L$1183,9*AT4-6,12))</x:f>
        <x:v>양현수</x:v>
      </x:c>
      <x:c r="AU18" s="66" t="str">
        <x:f>IF(OR(AU4&lt;0,AU4=AT4,ISERROR(INDEX(세부시간표!$A$3:$L$1183,9*AU4-6,12))),"",INDEX(세부시간표!$A$3:$L$1183,9*AU4-6,12))</x:f>
        <x:v>양현수</x:v>
      </x:c>
      <x:c r="AV18" s="66" t="str">
        <x:f>IF(OR(AV4&lt;0,AV4=AU4,ISERROR(INDEX(세부시간표!$A$3:$L$1183,9*AV4-6,12))),"",INDEX(세부시간표!$A$3:$L$1183,9*AV4-6,12))</x:f>
        <x:v>양현수</x:v>
      </x:c>
      <x:c r="AW18" s="66" t="str">
        <x:f>IF(OR(AW4&lt;0,AW4=AV4,ISERROR(INDEX(세부시간표!$A$3:$L$1183,9*AW4-6,12))),"",INDEX(세부시간표!$A$3:$L$1183,9*AW4-6,12))</x:f>
        <x:v>양현수</x:v>
      </x:c>
      <x:c r="AX18" s="66" t="str">
        <x:f>IF(OR(AX4&lt;0,AX4=AW4,ISERROR(INDEX(세부시간표!$A$3:$L$1183,9*AX4-6,12))),"",INDEX(세부시간표!$A$3:$L$1183,9*AX4-6,12))</x:f>
        <x:v>양현수</x:v>
      </x:c>
      <x:c r="AY18" s="66" t="str">
        <x:f>IF(OR(AY4&lt;0,AY4=AX4,ISERROR(INDEX(세부시간표!$A$3:$L$1183,9*AY4-6,12))),"",INDEX(세부시간표!$A$3:$L$1183,9*AY4-6,12))</x:f>
        <x:v>양현수</x:v>
      </x:c>
      <x:c r="AZ18" s="66" t="str">
        <x:f>IF(OR(AZ4&lt;0,AZ4=AY4,ISERROR(INDEX(세부시간표!$A$3:$L$1183,9*AZ4-6,12))),"",INDEX(세부시간표!$A$3:$L$1183,9*AZ4-6,12))</x:f>
        <x:v>양현수</x:v>
      </x:c>
      <x:c r="BA18" s="66" t="str">
        <x:f>IF(OR(BA4&lt;0,BA4=AZ4,ISERROR(INDEX(세부시간표!$A$3:$L$1183,9*BA4-6,12))),"",INDEX(세부시간표!$A$3:$L$1183,9*BA4-6,12))</x:f>
        <x:v>양현수</x:v>
      </x:c>
      <x:c r="BB18" s="66" t="str">
        <x:f>IF(OR(BB4&lt;0,BB4=BA4,ISERROR(INDEX(세부시간표!$A$3:$L$1183,9*BB4-6,12))),"",INDEX(세부시간표!$A$3:$L$1183,9*BB4-6,12))</x:f>
        <x:v>양현수</x:v>
      </x:c>
      <x:c r="BC18" s="66" t="str">
        <x:f>IF(OR(BC4&lt;0,BC4=BB4,ISERROR(INDEX(세부시간표!$A$3:$L$1183,9*BC4-6,12))),"",INDEX(세부시간표!$A$3:$L$1183,9*BC4-6,12))</x:f>
        <x:v>양현수</x:v>
      </x:c>
      <x:c r="BD18" s="66" t="str">
        <x:f>IF(OR(BD4&lt;0,BD4=BC4,ISERROR(INDEX(세부시간표!$A$3:$L$1183,9*BD4-6,12))),"",INDEX(세부시간표!$A$3:$L$1183,9*BD4-6,12))</x:f>
        <x:v>양현수</x:v>
      </x:c>
      <x:c r="BE18" s="66" t="str">
        <x:f>IF(OR(BE4&lt;0,BE4=BD4,ISERROR(INDEX(세부시간표!$A$3:$L$1183,9*BE4-6,12))),"",INDEX(세부시간표!$A$3:$L$1183,9*BE4-6,12))</x:f>
        <x:v>양현수</x:v>
      </x:c>
      <x:c r="BF18" s="66" t="str">
        <x:f>IF(OR(BF4&lt;0,BF4=BE4,ISERROR(INDEX(세부시간표!$A$3:$L$1183,9*BF4-6,12))),"",INDEX(세부시간표!$A$3:$L$1183,9*BF4-6,12))</x:f>
        <x:v>양현수</x:v>
      </x:c>
      <x:c r="BG18" s="66" t="str">
        <x:f>IF(OR(BG4&lt;0,BG4=BF4,ISERROR(INDEX(세부시간표!$A$3:$L$1183,9*BG4-6,12))),"",INDEX(세부시간표!$A$3:$L$1183,9*BG4-6,12))</x:f>
        <x:v>양현수</x:v>
      </x:c>
      <x:c r="BH18" s="66" t="str">
        <x:f>IF(OR(BH4&lt;0,BH4=BG4,ISERROR(INDEX(세부시간표!$A$3:$L$1183,9*BH4-6,12))),"",INDEX(세부시간표!$A$3:$L$1183,9*BH4-6,12))</x:f>
        <x:v>양현수</x:v>
      </x:c>
      <x:c r="BI18" s="66" t="str">
        <x:f>IF(OR(BI4&lt;0,BI4=BH4,ISERROR(INDEX(세부시간표!$A$3:$L$1183,9*BI4-6,12))),"",INDEX(세부시간표!$A$3:$L$1183,9*BI4-6,12))</x:f>
        <x:v>양현수</x:v>
      </x:c>
      <x:c r="BJ18" s="66" t="str">
        <x:f>IF(OR(BJ4&lt;0,BJ4=BI4,ISERROR(INDEX(세부시간표!$A$3:$L$1183,9*BJ4-6,12))),"",INDEX(세부시간표!$A$3:$L$1183,9*BJ4-6,12))</x:f>
        <x:v>양현수</x:v>
      </x:c>
      <x:c r="BK18" s="66" t="str">
        <x:f>IF(OR(BK4&lt;0,BK4=BJ4,ISERROR(INDEX(세부시간표!$A$3:$L$1183,9*BK4-6,12))),"",INDEX(세부시간표!$A$3:$L$1183,9*BK4-6,12))</x:f>
        <x:v>양현수</x:v>
      </x:c>
      <x:c r="BL18" s="66" t="str">
        <x:f>IF(OR(BL4&lt;0,BL4=BK4,ISERROR(INDEX(세부시간표!$A$3:$L$1183,9*BL4-6,12))),"",INDEX(세부시간표!$A$3:$L$1183,9*BL4-6,12))</x:f>
        <x:v>양현수</x:v>
      </x:c>
      <x:c r="BM18" s="66" t="str">
        <x:f>IF(OR(BM4&lt;0,BM4=BL4,ISERROR(INDEX(세부시간표!$A$3:$L$1183,9*BM4-6,12))),"",INDEX(세부시간표!$A$3:$L$1183,9*BM4-6,12))</x:f>
        <x:v>양현수</x:v>
      </x:c>
      <x:c r="BN18" s="66" t="str">
        <x:f>IF(OR(BN4&lt;0,BN4=BM4,ISERROR(INDEX(세부시간표!$A$3:$L$1183,9*BN4-6,12))),"",INDEX(세부시간표!$A$3:$L$1183,9*BN4-6,12))</x:f>
        <x:v>양현수</x:v>
      </x:c>
      <x:c r="BO18" s="66" t="str">
        <x:f>IF(OR(BO4&lt;0,BO4=BN4,ISERROR(INDEX(세부시간표!$A$3:$L$1183,9*BO4-6,12))),"",INDEX(세부시간표!$A$3:$L$1183,9*BO4-6,12))</x:f>
        <x:v>양현수</x:v>
      </x:c>
      <x:c r="BP18" s="66" t="str">
        <x:f>IF(OR(BP4&lt;0,BP4=BO4,ISERROR(INDEX(세부시간표!$A$3:$L$1183,9*BP4-6,12))),"",INDEX(세부시간표!$A$3:$L$1183,9*BP4-6,12))</x:f>
        <x:v>양현수</x:v>
      </x:c>
      <x:c r="BQ18" s="66" t="str">
        <x:f>IF(OR(BQ4&lt;0,BQ4=BP4,ISERROR(INDEX(세부시간표!$A$3:$L$1183,9*BQ4-6,12))),"",INDEX(세부시간표!$A$3:$L$1183,9*BQ4-6,12))</x:f>
        <x:v>양현수</x:v>
      </x:c>
      <x:c r="BR18" s="66" t="str">
        <x:f>IF(OR(BR4&lt;0,BR4=BQ4,ISERROR(INDEX(세부시간표!$A$3:$L$1183,9*BR4-6,12))),"",INDEX(세부시간표!$A$3:$L$1183,9*BR4-6,12))</x:f>
        <x:v/>
      </x:c>
      <x:c r="BS18" s="66" t="str">
        <x:f>IF(OR(BS4&lt;0,BS4=BR4,ISERROR(INDEX(세부시간표!$A$3:$L$1183,9*BS4-6,12))),"",INDEX(세부시간표!$A$3:$L$1183,9*BS4-6,12))</x:f>
        <x:v>양현수</x:v>
      </x:c>
      <x:c r="BT18" s="66" t="str">
        <x:f>IF(OR(BT4&lt;0,BT4=BS4,ISERROR(INDEX(세부시간표!$A$3:$L$1183,9*BT4-6,12))),"",INDEX(세부시간표!$A$3:$L$1183,9*BT4-6,12))</x:f>
        <x:v>양현수</x:v>
      </x:c>
      <x:c r="BU18" s="66" t="str">
        <x:f>IF(OR(BU4&lt;0,BU4=BT4,ISERROR(INDEX(세부시간표!$A$3:$L$1183,9*BU4-6,12))),"",INDEX(세부시간표!$A$3:$L$1183,9*BU4-6,12))</x:f>
        <x:v>양현수</x:v>
      </x:c>
      <x:c r="BV18" s="66" t="str">
        <x:f>IF(OR(BV4&lt;0,BV4=BU4,ISERROR(INDEX(세부시간표!$A$3:$L$1183,9*BV4-6,12))),"",INDEX(세부시간표!$A$3:$L$1183,9*BV4-6,12))</x:f>
        <x:v>양현수</x:v>
      </x:c>
      <x:c r="BW18" s="66" t="str">
        <x:f>IF(OR(BW4&lt;0,BW4=BV4,ISERROR(INDEX(세부시간표!$A$3:$L$1183,9*BW4-6,12))),"",INDEX(세부시간표!$A$3:$L$1183,9*BW4-6,12))</x:f>
        <x:v/>
      </x:c>
      <x:c r="BX18" s="66" t="str">
        <x:f>IF(OR(BX4&lt;0,BX4=BW4,ISERROR(INDEX(세부시간표!$A$3:$L$1183,9*BX4-6,12))),"",INDEX(세부시간표!$A$3:$L$1183,9*BX4-6,12))</x:f>
        <x:v>양현수</x:v>
      </x:c>
      <x:c r="BY18" s="66" t="str">
        <x:f>IF(OR(BY4&lt;0,BY4=BX4,ISERROR(INDEX(세부시간표!$A$3:$L$1183,9*BY4-6,12))),"",INDEX(세부시간표!$A$3:$L$1183,9*BY4-6,12))</x:f>
        <x:v>양현수</x:v>
      </x:c>
      <x:c r="BZ18" s="66" t="str">
        <x:f>IF(OR(BZ4&lt;0,BZ4=BY4,ISERROR(INDEX(세부시간표!$A$3:$L$1183,9*BZ4-6,12))),"",INDEX(세부시간표!$A$3:$L$1183,9*BZ4-6,12))</x:f>
        <x:v>양현수</x:v>
      </x:c>
      <x:c r="CA18" s="66" t="str">
        <x:f>IF(OR(CA4&lt;0,CA4=BZ4,ISERROR(INDEX(세부시간표!$A$3:$L$1183,9*CA4-6,12))),"",INDEX(세부시간표!$A$3:$L$1183,9*CA4-6,12))</x:f>
        <x:v>양현수</x:v>
      </x:c>
      <x:c r="CB18" s="66" t="str">
        <x:f>IF(OR(CB4&lt;0,CB4=CA4,ISERROR(INDEX(세부시간표!$A$3:$L$1183,9*CB4-6,12))),"",INDEX(세부시간표!$A$3:$L$1183,9*CB4-6,12))</x:f>
        <x:v>양현수</x:v>
      </x:c>
      <x:c r="CC18" s="66" t="str">
        <x:f>IF(OR(CC4&lt;0,CC4=CB4,ISERROR(INDEX(세부시간표!$A$3:$L$1183,9*CC4-6,12))),"",INDEX(세부시간표!$A$3:$L$1183,9*CC4-6,12))</x:f>
        <x:v>양현수</x:v>
      </x:c>
      <x:c r="CD18" s="66" t="str">
        <x:f>IF(OR(CD4&lt;0,CD4=CC4,ISERROR(INDEX(세부시간표!$A$3:$L$1183,9*CD4-6,12))),"",INDEX(세부시간표!$A$3:$L$1183,9*CD4-6,12))</x:f>
        <x:v>양현수</x:v>
      </x:c>
      <x:c r="CE18" s="66" t="str">
        <x:f>IF(OR(CE4&lt;0,CE4=CD4,ISERROR(INDEX(세부시간표!$A$3:$L$1183,9*CE4-6,12))),"",INDEX(세부시간표!$A$3:$L$1183,9*CE4-6,12))</x:f>
        <x:v>양현수</x:v>
      </x:c>
      <x:c r="CF18" s="66" t="str">
        <x:f>IF(OR(CF4&lt;0,CF4=CE4,ISERROR(INDEX(세부시간표!$A$3:$L$1183,9*CF4-6,12))),"",INDEX(세부시간표!$A$3:$L$1183,9*CF4-6,12))</x:f>
        <x:v>양현수</x:v>
      </x:c>
      <x:c r="CG18" s="66" t="str">
        <x:f>IF(OR(CG4&lt;0,CG4=CF4,ISERROR(INDEX(세부시간표!$A$3:$L$1183,9*CG4-6,12))),"",INDEX(세부시간표!$A$3:$L$1183,9*CG4-6,12))</x:f>
        <x:v>양현수</x:v>
      </x:c>
      <x:c r="CH18" s="66" t="str">
        <x:f>IF(OR(CH4&lt;0,CH4=CG4,ISERROR(INDEX(세부시간표!$A$3:$L$1183,9*CH4-6,12))),"",INDEX(세부시간표!$A$3:$L$1183,9*CH4-6,12))</x:f>
        <x:v>양현수</x:v>
      </x:c>
      <x:c r="CI18" s="66" t="str">
        <x:f>IF(OR(CI4&lt;0,CI4=CH4,ISERROR(INDEX(세부시간표!$A$3:$L$1183,9*CI4-6,12))),"",INDEX(세부시간표!$A$3:$L$1183,9*CI4-6,12))</x:f>
        <x:v>양현수</x:v>
      </x:c>
      <x:c r="CJ18" s="66" t="str">
        <x:f>IF(OR(CJ4&lt;0,CJ4=CI4,ISERROR(INDEX(세부시간표!$A$3:$L$1183,9*CJ4-6,12))),"",INDEX(세부시간표!$A$3:$L$1183,9*CJ4-6,12))</x:f>
        <x:v>양현수</x:v>
      </x:c>
      <x:c r="CK18" s="66" t="str">
        <x:f>IF(OR(CK4&lt;0,CK4=CJ4,ISERROR(INDEX(세부시간표!$A$3:$L$1183,9*CK4-6,12))),"",INDEX(세부시간표!$A$3:$L$1183,9*CK4-6,12))</x:f>
        <x:v>양현수</x:v>
      </x:c>
      <x:c r="CL18" s="66" t="str">
        <x:f>IF(OR(CL4&lt;0,CL4=CK4,ISERROR(INDEX(세부시간표!$A$3:$L$1183,9*CL4-6,12))),"",INDEX(세부시간표!$A$3:$L$1183,9*CL4-6,12))</x:f>
        <x:v>양현수</x:v>
      </x:c>
      <x:c r="CM18" s="66" t="str">
        <x:f>IF(OR(CM4&lt;0,CM4=CL4,ISERROR(INDEX(세부시간표!$A$3:$L$1183,9*CM4-6,12))),"",INDEX(세부시간표!$A$3:$L$1183,9*CM4-6,12))</x:f>
        <x:v>양현수</x:v>
      </x:c>
      <x:c r="CN18" s="66" t="str">
        <x:f>IF(OR(CN4&lt;0,CN4=CM4,ISERROR(INDEX(세부시간표!$A$3:$L$1183,9*CN4-6,12))),"",INDEX(세부시간표!$A$3:$L$1183,9*CN4-6,12))</x:f>
        <x:v>양현수</x:v>
      </x:c>
      <x:c r="CO18" s="66" t="str">
        <x:f>IF(OR(CO4&lt;0,CO4=CN4,ISERROR(INDEX(세부시간표!$A$3:$L$1183,9*CO4-6,12))),"",INDEX(세부시간표!$A$3:$L$1183,9*CO4-6,12))</x:f>
        <x:v>양현수</x:v>
      </x:c>
      <x:c r="CP18" s="66" t="str">
        <x:f>IF(OR(CP4&lt;0,CP4=CO4,ISERROR(INDEX(세부시간표!$A$3:$L$1183,9*CP4-6,12))),"",INDEX(세부시간표!$A$3:$L$1183,9*CP4-6,12))</x:f>
        <x:v>양현수</x:v>
      </x:c>
      <x:c r="CQ18" s="66" t="str">
        <x:f>IF(OR(CQ4&lt;0,CQ4=CP4,ISERROR(INDEX(세부시간표!$A$3:$L$1183,9*CQ4-6,12))),"",INDEX(세부시간표!$A$3:$L$1183,9*CQ4-6,12))</x:f>
        <x:v>양현수</x:v>
      </x:c>
      <x:c r="CR18" s="66" t="str">
        <x:f>IF(OR(CR4&lt;0,CR4=CQ4,ISERROR(INDEX(세부시간표!$A$3:$L$1183,9*CR4-6,12))),"",INDEX(세부시간표!$A$3:$L$1183,9*CR4-6,12))</x:f>
        <x:v>양현수</x:v>
      </x:c>
      <x:c r="CS18" s="66" t="str">
        <x:f>IF(OR(CS4&lt;0,CS4=CR4,ISERROR(INDEX(세부시간표!$A$3:$L$1183,9*CS4-6,12))),"",INDEX(세부시간표!$A$3:$L$1183,9*CS4-6,12))</x:f>
        <x:v>양현수</x:v>
      </x:c>
      <x:c r="CT18" s="66" t="str">
        <x:f>IF(OR(CT4&lt;0,CT4=CS4,ISERROR(INDEX(세부시간표!$A$3:$L$1183,9*CT4-6,12))),"",INDEX(세부시간표!$A$3:$L$1183,9*CT4-6,12))</x:f>
        <x:v>양현수</x:v>
      </x:c>
      <x:c r="CU18" s="66" t="str">
        <x:f>IF(OR(CU4&lt;0,CU4=CT4,ISERROR(INDEX(세부시간표!$A$3:$L$1183,9*CU4-6,12))),"",INDEX(세부시간표!$A$3:$L$1183,9*CU4-6,12))</x:f>
        <x:v>양현수</x:v>
      </x:c>
      <x:c r="CV18" s="66" t="str">
        <x:f>IF(OR(CV4&lt;0,CV4=CU4,ISERROR(INDEX(세부시간표!$A$3:$L$1183,9*CV4-6,12))),"",INDEX(세부시간표!$A$3:$L$1183,9*CV4-6,12))</x:f>
        <x:v>양현수</x:v>
      </x:c>
      <x:c r="CW18" s="66" t="str">
        <x:f>IF(OR(CW4&lt;0,CW4=CV4,ISERROR(INDEX(세부시간표!$A$3:$L$1183,9*CW4-6,12))),"",INDEX(세부시간표!$A$3:$L$1183,9*CW4-6,12))</x:f>
        <x:v>양현수</x:v>
      </x:c>
      <x:c r="CX18" s="66" t="str">
        <x:f>IF(OR(CX4&lt;0,CX4=CW4,ISERROR(INDEX(세부시간표!$A$3:$L$1183,9*CX4-6,12))),"",INDEX(세부시간표!$A$3:$L$1183,9*CX4-6,12))</x:f>
        <x:v>양현수</x:v>
      </x:c>
      <x:c r="CY18" s="66" t="str">
        <x:f>IF(OR(CY4&lt;0,CY4=CX4,ISERROR(INDEX(세부시간표!$A$3:$L$1183,9*CY4-6,12))),"",INDEX(세부시간표!$A$3:$L$1183,9*CY4-6,12))</x:f>
        <x:v>양현수</x:v>
      </x:c>
      <x:c r="CZ18" s="66" t="str">
        <x:f>IF(OR(CZ4&lt;0,CZ4=CY4,ISERROR(INDEX(세부시간표!$A$3:$L$1183,9*CZ4-6,12))),"",INDEX(세부시간표!$A$3:$L$1183,9*CZ4-6,12))</x:f>
        <x:v>양현수</x:v>
      </x:c>
      <x:c r="DA18" s="66" t="str">
        <x:f>IF(OR(DA4&lt;0,DA4=CZ4,ISERROR(INDEX(세부시간표!$A$3:$L$1183,9*DA4-6,12))),"",INDEX(세부시간표!$A$3:$L$1183,9*DA4-6,12))</x:f>
        <x:v>양현수</x:v>
      </x:c>
      <x:c r="DB18" s="66" t="str">
        <x:f>IF(OR(DB4&lt;0,DB4=DA4,ISERROR(INDEX(세부시간표!$A$3:$L$1183,9*DB4-6,12))),"",INDEX(세부시간표!$A$3:$L$1183,9*DB4-6,12))</x:f>
        <x:v>양현수</x:v>
      </x:c>
      <x:c r="DC18" s="66" t="str">
        <x:f>IF(OR(DC4&lt;0,DC4=DB4,ISERROR(INDEX(세부시간표!$A$3:$L$1183,9*DC4-6,12))),"",INDEX(세부시간표!$A$3:$L$1183,9*DC4-6,12))</x:f>
        <x:v/>
      </x:c>
      <x:c r="DD18" s="66" t="str">
        <x:f>IF(OR(DD4&lt;0,DD4=DC4,ISERROR(INDEX(세부시간표!$A$3:$L$1183,9*DD4-6,12))),"",INDEX(세부시간표!$A$3:$L$1183,9*DD4-6,12))</x:f>
        <x:v/>
      </x:c>
      <x:c r="DE18" s="66" t="str">
        <x:f>IF(OR(DE4&lt;0,DE4=DD4,ISERROR(INDEX(세부시간표!$A$3:$L$1183,9*DE4-6,12))),"",INDEX(세부시간표!$A$3:$L$1183,9*DE4-6,12))</x:f>
        <x:v/>
      </x:c>
      <x:c r="DF18" s="66" t="str">
        <x:f>IF(OR(DF4&lt;0,DF4=DE4,ISERROR(INDEX(세부시간표!$A$3:$L$1183,9*DF4-6,12))),"",INDEX(세부시간표!$A$3:$L$1183,9*DF4-6,12))</x:f>
        <x:v>양현수</x:v>
      </x:c>
      <x:c r="DG18" s="66" t="str">
        <x:f>IF(OR(DG4&lt;0,DG4=DF4,ISERROR(INDEX(세부시간표!$A$3:$L$1183,9*DG4-6,12))),"",INDEX(세부시간표!$A$3:$L$1183,9*DG4-6,12))</x:f>
        <x:v>양현수</x:v>
      </x:c>
      <x:c r="DH18" s="66" t="str">
        <x:f>IF(OR(DH4&lt;0,DH4=DG4,ISERROR(INDEX(세부시간표!$A$3:$L$1183,9*DH4-6,12))),"",INDEX(세부시간표!$A$3:$L$1183,9*DH4-6,12))</x:f>
        <x:v>양현수</x:v>
      </x:c>
      <x:c r="DI18" s="66" t="str">
        <x:f>IF(OR(DI4&lt;0,DI4=DH4,ISERROR(INDEX(세부시간표!$A$3:$L$1183,9*DI4-6,12))),"",INDEX(세부시간표!$A$3:$L$1183,9*DI4-6,12))</x:f>
        <x:v>양현수</x:v>
      </x:c>
      <x:c r="DJ18" s="66" t="str">
        <x:f>IF(OR(DJ4&lt;0,DJ4=DI4,ISERROR(INDEX(세부시간표!$A$3:$L$1183,9*DJ4-6,12))),"",INDEX(세부시간표!$A$3:$L$1183,9*DJ4-6,12))</x:f>
        <x:v>양현수</x:v>
      </x:c>
      <x:c r="DK18" s="66" t="str">
        <x:f>IF(OR(DK4&lt;0,DK4=DJ4,ISERROR(INDEX(세부시간표!$A$3:$L$1183,9*DK4-6,12))),"",INDEX(세부시간표!$A$3:$L$1183,9*DK4-6,12))</x:f>
        <x:v>양현수</x:v>
      </x:c>
      <x:c r="DL18" s="66" t="str">
        <x:f>IF(OR(DL4&lt;0,DL4=DK4,ISERROR(INDEX(세부시간표!$A$3:$L$1183,9*DL4-6,12))),"",INDEX(세부시간표!$A$3:$L$1183,9*DL4-6,12))</x:f>
        <x:v>양현수</x:v>
      </x:c>
      <x:c r="DM18" s="66" t="str">
        <x:f>IF(OR(DM4&lt;0,DM4=DL4,ISERROR(INDEX(세부시간표!$A$3:$L$1183,9*DM4-6,12))),"",INDEX(세부시간표!$A$3:$L$1183,9*DM4-6,12))</x:f>
        <x:v/>
      </x:c>
      <x:c r="DN18" s="66" t="str">
        <x:f>IF(OR(DN4&lt;0,DN4=DM4,ISERROR(INDEX(세부시간표!$A$3:$L$1183,9*DN4-6,12))),"",INDEX(세부시간표!$A$3:$L$1183,9*DN4-6,12))</x:f>
        <x:v>양현수</x:v>
      </x:c>
      <x:c r="DO18" s="66" t="str">
        <x:f>IF(OR(DO4&lt;0,DO4=DN4,ISERROR(INDEX(세부시간표!$A$3:$L$1183,9*DO4-6,12))),"",INDEX(세부시간표!$A$3:$L$1183,9*DO4-6,12))</x:f>
        <x:v>양현수</x:v>
      </x:c>
      <x:c r="DP18" s="66" t="str">
        <x:f>IF(OR(DP4&lt;0,DP4=DO4,ISERROR(INDEX(세부시간표!$A$3:$L$1183,9*DP4-6,12))),"",INDEX(세부시간표!$A$3:$L$1183,9*DP4-6,12))</x:f>
        <x:v>양현수</x:v>
      </x:c>
      <x:c r="DQ18" s="66" t="str">
        <x:f>IF(OR(DQ4&lt;0,DQ4=DP4,ISERROR(INDEX(세부시간표!$A$3:$L$1183,9*DQ4-6,12))),"",INDEX(세부시간표!$A$3:$L$1183,9*DQ4-6,12))</x:f>
        <x:v>양현수</x:v>
      </x:c>
      <x:c r="DR18" s="66" t="str">
        <x:f>IF(OR(DR4&lt;0,DR4=DQ4,ISERROR(INDEX(세부시간표!$A$3:$L$1183,9*DR4-6,12))),"",INDEX(세부시간표!$A$3:$L$1183,9*DR4-6,12))</x:f>
        <x:v>양현수</x:v>
      </x:c>
      <x:c r="DS18" s="66" t="str">
        <x:f>IF(OR(DS4&lt;0,DS4=DR4,ISERROR(INDEX(세부시간표!$A$3:$L$1183,9*DS4-6,12))),"",INDEX(세부시간표!$A$3:$L$1183,9*DS4-6,12))</x:f>
        <x:v>양현수</x:v>
      </x:c>
      <x:c r="DT18" s="66" t="str">
        <x:f>IF(OR(DT4&lt;0,DT4=DS4,ISERROR(INDEX(세부시간표!$A$3:$L$1183,9*DT4-6,12))),"",INDEX(세부시간표!$A$3:$L$1183,9*DT4-6,12))</x:f>
        <x:v>양현수</x:v>
      </x:c>
      <x:c r="DU18" s="66" t="str">
        <x:f>IF(OR(DU4&lt;0,DU4=DT4,ISERROR(INDEX(세부시간표!$A$3:$L$1183,9*DU4-6,12))),"",INDEX(세부시간표!$A$3:$L$1183,9*DU4-6,12))</x:f>
        <x:v>양현수</x:v>
      </x:c>
      <x:c r="DV18" s="66" t="str">
        <x:f>IF(OR(DV4&lt;0,DV4=DU4,ISERROR(INDEX(세부시간표!$A$3:$L$1183,9*DV4-6,12))),"",INDEX(세부시간표!$A$3:$L$1183,9*DV4-6,12))</x:f>
        <x:v>양현수</x:v>
      </x:c>
      <x:c r="DW18" s="66" t="str">
        <x:f>IF(OR(DW4&lt;0,DW4=DV4,ISERROR(INDEX(세부시간표!$A$3:$L$1183,9*DW4-6,12))),"",INDEX(세부시간표!$A$3:$L$1183,9*DW4-6,12))</x:f>
        <x:v>양현수</x:v>
      </x:c>
      <x:c r="DX18" s="66" t="str">
        <x:f>IF(OR(DX4&lt;0,DX4=DW4,ISERROR(INDEX(세부시간표!$A$3:$L$1183,9*DX4-6,12))),"",INDEX(세부시간표!$A$3:$L$1183,9*DX4-6,12))</x:f>
        <x:v>양현수</x:v>
      </x:c>
      <x:c r="DY18" s="66" t="str">
        <x:f>IF(OR(DY4&lt;0,DY4=DX4,ISERROR(INDEX(세부시간표!$A$3:$L$1183,9*DY4-6,12))),"",INDEX(세부시간표!$A$3:$L$1183,9*DY4-6,12))</x:f>
        <x:v>양현수</x:v>
      </x:c>
      <x:c r="DZ18" s="66" t="str">
        <x:f>IF(OR(DZ4&lt;0,DZ4=DY4,ISERROR(INDEX(세부시간표!$A$3:$L$1183,9*DZ4-6,12))),"",INDEX(세부시간표!$A$3:$L$1183,9*DZ4-6,12))</x:f>
        <x:v>양현수</x:v>
      </x:c>
      <x:c r="EA18" s="66" t="str">
        <x:f>IF(OR(EA4&lt;0,EA4=DZ4,ISERROR(INDEX(세부시간표!$A$3:$L$1183,9*EA4-6,12))),"",INDEX(세부시간표!$A$3:$L$1183,9*EA4-6,12))</x:f>
        <x:v>양현수</x:v>
      </x:c>
      <x:c r="EB18" s="66" t="str">
        <x:f>IF(OR(EB4&lt;0,EB4=EA4,ISERROR(INDEX(세부시간표!$A$3:$L$1183,9*EB4-6,12))),"",INDEX(세부시간표!$A$3:$L$1183,9*EB4-6,12))</x:f>
        <x:v>양현수</x:v>
      </x:c>
      <x:c r="EC18" s="66" t="str">
        <x:f>IF(OR(EC4&lt;0,EC4=EB4,ISERROR(INDEX(세부시간표!$A$3:$L$1183,9*EC4-6,12))),"",INDEX(세부시간표!$A$3:$L$1183,9*EC4-6,12))</x:f>
        <x:v>양현수</x:v>
      </x:c>
      <x:c r="ED18" s="66" t="str">
        <x:f>IF(OR(ED4&lt;0,ED4=EC4,ISERROR(INDEX(세부시간표!$A$3:$L$1183,9*ED4-6,12))),"",INDEX(세부시간표!$A$3:$L$1183,9*ED4-6,12))</x:f>
        <x:v>양현수</x:v>
      </x:c>
      <x:c r="EE18" s="66" t="str">
        <x:f>IF(OR(EE4&lt;0,EE4=ED4,ISERROR(INDEX(세부시간표!$A$3:$L$1183,9*EE4-6,12))),"",INDEX(세부시간표!$A$3:$L$1183,9*EE4-6,12))</x:f>
        <x:v/>
      </x:c>
      <x:c r="EF18" s="66" t="str">
        <x:f>IF(OR(EF4&lt;0,EF4=EE4,ISERROR(INDEX(세부시간표!$A$3:$L$1183,9*EF4-6,12))),"",INDEX(세부시간표!$A$3:$L$1183,9*EF4-6,12))</x:f>
        <x:v/>
      </x:c>
      <x:c r="EG18" s="66" t="str">
        <x:f>IF(OR(EG4&lt;0,EG4=EF4,ISERROR(INDEX(세부시간표!$A$3:$L$1183,9*EG4-6,12))),"",INDEX(세부시간표!$A$3:$L$1183,9*EG4-6,12))</x:f>
        <x:v/>
      </x:c>
      <x:c r="EH18" s="66" t="str">
        <x:f>IF(OR(EH4&lt;0,EH4=EG4,ISERROR(INDEX(세부시간표!$A$3:$L$1183,9*EH4-6,12))),"",INDEX(세부시간표!$A$3:$L$1183,9*EH4-6,12))</x:f>
        <x:v/>
      </x:c>
      <x:c r="EI18" s="66" t="str">
        <x:f>IF(OR(EI4&lt;0,EI4=EH4,ISERROR(INDEX(세부시간표!$A$3:$L$1183,9*EI4-6,12))),"",INDEX(세부시간표!$A$3:$L$1183,9*EI4-6,12))</x:f>
        <x:v/>
      </x:c>
      <x:c r="EJ18" s="66" t="str">
        <x:f>IF(OR(EJ4&lt;0,EJ4=EI4,ISERROR(INDEX(세부시간표!$A$3:$L$1183,9*EJ4-6,12))),"",INDEX(세부시간표!$A$3:$L$1183,9*EJ4-6,12))</x:f>
        <x:v/>
      </x:c>
      <x:c r="EK18" s="66" t="str">
        <x:f>IF(OR(EK4&lt;0,EK4=EJ4,ISERROR(INDEX(세부시간표!$A$3:$L$1183,9*EK4-6,12))),"",INDEX(세부시간표!$A$3:$L$1183,9*EK4-6,12))</x:f>
        <x:v/>
      </x:c>
      <x:c r="EL18" s="57" t="str">
        <x:f>IF(OR(EL4&lt;0,EL4=EK4,ISERROR(INDEX(세부시간표!$A$3:$L$1183,9*EL4-6,12))),"",INDEX(세부시간표!$A$3:$L$1183,9*EL4-6,12))</x:f>
        <x:v/>
      </x:c>
      <x:c r="EM18" s="55" t="str">
        <x:f>IF(OR(EM4&lt;0,EM4=EL4,ISERROR(INDEX(세부시간표!$A$3:$L$1183,9*EM4-6,12))),"",INDEX(세부시간표!$A$3:$L$1183,9*EM4-6,12))</x:f>
        <x:v/>
      </x:c>
      <x:c r="EN18" s="55" t="str">
        <x:f>IF(OR(EN4&lt;0,EN4=EM4,ISERROR(INDEX(세부시간표!$A$3:$L$1183,9*EN4-6,12))),"",INDEX(세부시간표!$A$3:$L$1183,9*EN4-6,12))</x:f>
        <x:v/>
      </x:c>
      <x:c r="EO18" s="55" t="str">
        <x:f>IF(OR(EO4&lt;0,EO4=EN4,ISERROR(INDEX(세부시간표!$A$3:$L$1183,9*EO4-6,12))),"",INDEX(세부시간표!$A$3:$L$1183,9*EO4-6,12))</x:f>
        <x:v/>
      </x:c>
      <x:c r="EP18" s="56" t="str">
        <x:f>IF(OR(EP4&lt;0,EP4=EO4,ISERROR(INDEX(세부시간표!$A$3:$L$1183,9*EP4-6,12))),"",INDEX(세부시간표!$A$3:$L$1183,9*EP4-6,12))</x:f>
        <x:v/>
      </x:c>
    </x:row>
    <x:row r="19" spans="1:146" s="86" customFormat="1" ht="15" customHeight="1">
      <x:c r="A19" s="277" t="s">
        <x:v>62</x:v>
      </x:c>
      <x:c r="B19" s="87" t="str">
        <x:f>IF(OR(B4&lt;0,B4=A4,ISERROR(INDEX(세부시간표!$A$3:$L$1183,9*B4-5,10))),"",INDEX(세부시간표!$A$3:$L$1183,9*B4-5,10))</x:f>
        <x:v>웹 애플리케이션 개발</x:v>
      </x:c>
      <x:c r="C19" s="87" t="str">
        <x:f>IF(OR(C4&lt;0,C4=B4,ISERROR(INDEX(세부시간표!$A$3:$L$1183,9*C4-5,10))),"",INDEX(세부시간표!$A$3:$L$1183,9*C4-5,10))</x:f>
        <x:v>웹 애플리케이션 개발</x:v>
      </x:c>
      <x:c r="D19" s="87" t="str">
        <x:f>IF(OR(D4&lt;0,D4=C4,ISERROR(INDEX(세부시간표!$A$3:$L$1183,9*D4-5,10))),"",INDEX(세부시간표!$A$3:$L$1183,9*D4-5,10))</x:f>
        <x:v>웹 애플리케이션 개발</x:v>
      </x:c>
      <x:c r="E19" s="87" t="str">
        <x:f>IF(OR(E4&lt;0,E4=D4,ISERROR(INDEX(세부시간표!$A$3:$L$1183,9*E4-5,10))),"",INDEX(세부시간표!$A$3:$L$1183,9*E4-5,10))</x:f>
        <x:v>웹 애플리케이션 개발</x:v>
      </x:c>
      <x:c r="F19" s="87" t="str">
        <x:f>IF(OR(F4&lt;0,F4=E4,ISERROR(INDEX(세부시간표!$A$3:$L$1183,9*F4-5,10))),"",INDEX(세부시간표!$A$3:$L$1183,9*F4-5,10))</x:f>
        <x:v>웹 애플리케이션 개발</x:v>
      </x:c>
      <x:c r="G19" s="87" t="str">
        <x:f>IF(OR(G4&lt;0,G4=F4,ISERROR(INDEX(세부시간표!$A$3:$L$1183,9*G4-5,10))),"",INDEX(세부시간표!$A$3:$L$1183,9*G4-5,10))</x:f>
        <x:v>웹 애플리케이션 개발</x:v>
      </x:c>
      <x:c r="H19" s="87" t="str">
        <x:f>IF(OR(H4&lt;0,H4=G4,ISERROR(INDEX(세부시간표!$A$3:$L$1183,9*H4-5,10))),"",INDEX(세부시간표!$A$3:$L$1183,9*H4-5,10))</x:f>
        <x:v>웹 애플리케이션 개발</x:v>
      </x:c>
      <x:c r="I19" s="87" t="str">
        <x:f>IF(OR(I4&lt;0,I4=H4,ISERROR(INDEX(세부시간표!$A$3:$L$1183,9*I4-5,10))),"",INDEX(세부시간표!$A$3:$L$1183,9*I4-5,10))</x:f>
        <x:v>웹 애플리케이션 개발</x:v>
      </x:c>
      <x:c r="J19" s="87" t="str">
        <x:f>IF(OR(J4&lt;0,J4=I4,ISERROR(INDEX(세부시간표!$A$3:$L$1183,9*J4-5,10))),"",INDEX(세부시간표!$A$3:$L$1183,9*J4-5,10))</x:f>
        <x:v>웹 애플리케이션 개발</x:v>
      </x:c>
      <x:c r="K19" s="87" t="str">
        <x:f>IF(OR(K4&lt;0,K4=J4,ISERROR(INDEX(세부시간표!$A$3:$L$1183,9*K4-5,10))),"",INDEX(세부시간표!$A$3:$L$1183,9*K4-5,10))</x:f>
        <x:v/>
      </x:c>
      <x:c r="L19" s="87" t="str">
        <x:f>IF(OR(L4&lt;0,L4=K4,ISERROR(INDEX(세부시간표!$A$3:$L$1183,9*L4-5,10))),"",INDEX(세부시간표!$A$3:$L$1183,9*L4-5,10))</x:f>
        <x:v/>
      </x:c>
      <x:c r="M19" s="87" t="str">
        <x:f>IF(OR(M4&lt;0,M4=L4,ISERROR(INDEX(세부시간표!$A$3:$L$1183,9*M4-5,10))),"",INDEX(세부시간표!$A$3:$L$1183,9*M4-5,10))</x:f>
        <x:v/>
      </x:c>
      <x:c r="N19" s="87" t="str">
        <x:f>IF(OR(N4&lt;0,N4=M4,ISERROR(INDEX(세부시간표!$A$3:$L$1183,9*N4-5,10))),"",INDEX(세부시간표!$A$3:$L$1183,9*N4-5,10))</x:f>
        <x:v/>
      </x:c>
      <x:c r="O19" s="87" t="str">
        <x:f>IF(OR(O4&lt;0,O4=N4,ISERROR(INDEX(세부시간표!$A$3:$L$1183,9*O4-5,10))),"",INDEX(세부시간표!$A$3:$L$1183,9*O4-5,10))</x:f>
        <x:v/>
      </x:c>
      <x:c r="P19" s="87" t="str">
        <x:f>IF(OR(P4&lt;0,P4=O4,ISERROR(INDEX(세부시간표!$A$3:$L$1183,9*P4-5,10))),"",INDEX(세부시간표!$A$3:$L$1183,9*P4-5,10))</x:f>
        <x:v>웹 애플리케이션 개발</x:v>
      </x:c>
      <x:c r="Q19" s="87" t="str">
        <x:f>IF(OR(Q4&lt;0,Q4=P4,ISERROR(INDEX(세부시간표!$A$3:$L$1183,9*Q4-5,10))),"",INDEX(세부시간표!$A$3:$L$1183,9*Q4-5,10))</x:f>
        <x:v>웹&amp;콘텐츠 서비스 개발</x:v>
      </x:c>
      <x:c r="R19" s="87" t="str">
        <x:f>IF(OR(R4&lt;0,R4=Q4,ISERROR(INDEX(세부시간표!$A$3:$L$1183,9*R4-5,10))),"",INDEX(세부시간표!$A$3:$L$1183,9*R4-5,10))</x:f>
        <x:v>웹&amp;콘텐츠 서비스 개발</x:v>
      </x:c>
      <x:c r="S19" s="87" t="str">
        <x:f>IF(OR(S4&lt;0,S4=R4,ISERROR(INDEX(세부시간표!$A$3:$L$1183,9*S4-5,10))),"",INDEX(세부시간표!$A$3:$L$1183,9*S4-5,10))</x:f>
        <x:v>웹&amp;콘텐츠 서비스 개발</x:v>
      </x:c>
      <x:c r="T19" s="87" t="str">
        <x:f>IF(OR(T4&lt;0,T4=S4,ISERROR(INDEX(세부시간표!$A$3:$L$1183,9*T4-5,10))),"",INDEX(세부시간표!$A$3:$L$1183,9*T4-5,10))</x:f>
        <x:v>웹&amp;콘텐츠 서비스 개발</x:v>
      </x:c>
      <x:c r="U19" s="87" t="str">
        <x:f>IF(OR(U4&lt;0,U4=T4,ISERROR(INDEX(세부시간표!$A$3:$L$1183,9*U4-5,10))),"",INDEX(세부시간표!$A$3:$L$1183,9*U4-5,10))</x:f>
        <x:v>웹&amp;콘텐츠 서비스 개발</x:v>
      </x:c>
      <x:c r="V19" s="87" t="str">
        <x:f>IF(OR(V4&lt;0,V4=U4,ISERROR(INDEX(세부시간표!$A$3:$L$1183,9*V4-5,10))),"",INDEX(세부시간표!$A$3:$L$1183,9*V4-5,10))</x:f>
        <x:v>SQL 및 데이터 모델링</x:v>
      </x:c>
      <x:c r="W19" s="87" t="str">
        <x:f>IF(OR(W4&lt;0,W4=V4,ISERROR(INDEX(세부시간표!$A$3:$L$1183,9*W4-5,10))),"",INDEX(세부시간표!$A$3:$L$1183,9*W4-5,10))</x:f>
        <x:v>SQL 및 데이터 모델링</x:v>
      </x:c>
      <x:c r="X19" s="87" t="str">
        <x:f>IF(OR(X4&lt;0,X4=W4,ISERROR(INDEX(세부시간표!$A$3:$L$1183,9*X4-5,10))),"",INDEX(세부시간표!$A$3:$L$1183,9*X4-5,10))</x:f>
        <x:v>SQL 및 데이터 모델링</x:v>
      </x:c>
      <x:c r="Y19" s="87" t="str">
        <x:f>IF(OR(Y4&lt;0,Y4=X4,ISERROR(INDEX(세부시간표!$A$3:$L$1183,9*Y4-5,10))),"",INDEX(세부시간표!$A$3:$L$1183,9*Y4-5,10))</x:f>
        <x:v>SQL 및 데이터 모델링</x:v>
      </x:c>
      <x:c r="Z19" s="87" t="str">
        <x:f>IF(OR(Z4&lt;0,Z4=Y4,ISERROR(INDEX(세부시간표!$A$3:$L$1183,9*Z4-5,10))),"",INDEX(세부시간표!$A$3:$L$1183,9*Z4-5,10))</x:f>
        <x:v>SQL 및 데이터 모델링</x:v>
      </x:c>
      <x:c r="AA19" s="87" t="str">
        <x:f>IF(OR(AA4&lt;0,AA4=Z4,ISERROR(INDEX(세부시간표!$A$3:$L$1183,9*AA4-5,10))),"",INDEX(세부시간표!$A$3:$L$1183,9*AA4-5,10))</x:f>
        <x:v>SQL 및 데이터 모델링</x:v>
      </x:c>
      <x:c r="AB19" s="87" t="str">
        <x:f>IF(OR(AB4&lt;0,AB4=AA4,ISERROR(INDEX(세부시간표!$A$3:$L$1183,9*AB4-5,10))),"",INDEX(세부시간표!$A$3:$L$1183,9*AB4-5,10))</x:f>
        <x:v>SQL 및 데이터 모델링</x:v>
      </x:c>
      <x:c r="AC19" s="87" t="str">
        <x:f>IF(OR(AC4&lt;0,AC4=AB4,ISERROR(INDEX(세부시간표!$A$3:$L$1183,9*AC4-5,10))),"",INDEX(세부시간표!$A$3:$L$1183,9*AC4-5,10))</x:f>
        <x:v>SQL 및 데이터 모델링</x:v>
      </x:c>
      <x:c r="AD19" s="87" t="str">
        <x:f>IF(OR(AD4&lt;0,AD4=AC4,ISERROR(INDEX(세부시간표!$A$3:$L$1183,9*AD4-5,10))),"",INDEX(세부시간표!$A$3:$L$1183,9*AD4-5,10))</x:f>
        <x:v>SQL 및 데이터 모델링</x:v>
      </x:c>
      <x:c r="AE19" s="87" t="str">
        <x:f>IF(OR(AE4&lt;0,AE4=AD4,ISERROR(INDEX(세부시간표!$A$3:$L$1183,9*AE4-5,10))),"",INDEX(세부시간표!$A$3:$L$1183,9*AE4-5,10))</x:f>
        <x:v>AI개발 기초</x:v>
      </x:c>
      <x:c r="AF19" s="87" t="str">
        <x:f>IF(OR(AF4&lt;0,AF4=AE4,ISERROR(INDEX(세부시간표!$A$3:$L$1183,9*AF4-5,10))),"",INDEX(세부시간표!$A$3:$L$1183,9*AF4-5,10))</x:f>
        <x:v>AI개발 기초</x:v>
      </x:c>
      <x:c r="AG19" s="87" t="str">
        <x:f>IF(OR(AG4&lt;0,AG4=AF4,ISERROR(INDEX(세부시간표!$A$3:$L$1183,9*AG4-5,10))),"",INDEX(세부시간표!$A$3:$L$1183,9*AG4-5,10))</x:f>
        <x:v>AI개발 기초</x:v>
      </x:c>
      <x:c r="AH19" s="87" t="str">
        <x:f>IF(OR(AH4&lt;0,AH4=AG4,ISERROR(INDEX(세부시간표!$A$3:$L$1183,9*AH4-5,10))),"",INDEX(세부시간표!$A$3:$L$1183,9*AH4-5,10))</x:f>
        <x:v>AI개발 기초</x:v>
      </x:c>
      <x:c r="AI19" s="87" t="str">
        <x:f>IF(OR(AI4&lt;0,AI4=AH4,ISERROR(INDEX(세부시간표!$A$3:$L$1183,9*AI4-5,10))),"",INDEX(세부시간표!$A$3:$L$1183,9*AI4-5,10))</x:f>
        <x:v>AI개발 기초</x:v>
      </x:c>
      <x:c r="AJ19" s="87" t="str">
        <x:f>IF(OR(AJ4&lt;0,AJ4=AI4,ISERROR(INDEX(세부시간표!$A$3:$L$1183,9*AJ4-5,10))),"",INDEX(세부시간표!$A$3:$L$1183,9*AJ4-5,10))</x:f>
        <x:v>AI개발 기초</x:v>
      </x:c>
      <x:c r="AK19" s="87" t="str">
        <x:f>IF(OR(AK4&lt;0,AK4=AJ4,ISERROR(INDEX(세부시간표!$A$3:$L$1183,9*AK4-5,10))),"",INDEX(세부시간표!$A$3:$L$1183,9*AK4-5,10))</x:f>
        <x:v>AI개발 기초</x:v>
      </x:c>
      <x:c r="AL19" s="87" t="str">
        <x:f>IF(OR(AL4&lt;0,AL4=AK4,ISERROR(INDEX(세부시간표!$A$3:$L$1183,9*AL4-5,10))),"",INDEX(세부시간표!$A$3:$L$1183,9*AL4-5,10))</x:f>
        <x:v>AI개발 기초</x:v>
      </x:c>
      <x:c r="AM19" s="87" t="str">
        <x:f>IF(OR(AM4&lt;0,AM4=AL4,ISERROR(INDEX(세부시간표!$A$3:$L$1183,9*AM4-5,10))),"",INDEX(세부시간표!$A$3:$L$1183,9*AM4-5,10))</x:f>
        <x:v>AI개발 기초</x:v>
      </x:c>
      <x:c r="AN19" s="87" t="str">
        <x:f>IF(OR(AN4&lt;0,AN4=AM4,ISERROR(INDEX(세부시간표!$A$3:$L$1183,9*AN4-5,10))),"",INDEX(세부시간표!$A$3:$L$1183,9*AN4-5,10))</x:f>
        <x:v>AI개발 기초</x:v>
      </x:c>
      <x:c r="AO19" s="87" t="str">
        <x:f>IF(OR(AO4&lt;0,AO4=AN4,ISERROR(INDEX(세부시간표!$A$3:$L$1183,9*AO4-5,10))),"",INDEX(세부시간표!$A$3:$L$1183,9*AO4-5,10))</x:f>
        <x:v>AI개발 기초</x:v>
      </x:c>
      <x:c r="AP19" s="87" t="str">
        <x:f>IF(OR(AP4&lt;0,AP4=AO4,ISERROR(INDEX(세부시간표!$A$3:$L$1183,9*AP4-5,10))),"",INDEX(세부시간표!$A$3:$L$1183,9*AP4-5,10))</x:f>
        <x:v>AI개발 기초</x:v>
      </x:c>
      <x:c r="AQ19" s="87" t="str">
        <x:f>IF(OR(AQ4&lt;0,AQ4=AP4,ISERROR(INDEX(세부시간표!$A$3:$L$1183,9*AQ4-5,10))),"",INDEX(세부시간표!$A$3:$L$1183,9*AQ4-5,10))</x:f>
        <x:v>AI개발 기초</x:v>
      </x:c>
      <x:c r="AR19" s="87" t="str">
        <x:f>IF(OR(AR4&lt;0,AR4=AQ4,ISERROR(INDEX(세부시간표!$A$3:$L$1183,9*AR4-5,10))),"",INDEX(세부시간표!$A$3:$L$1183,9*AR4-5,10))</x:f>
        <x:v>인공지능 프로그래밍</x:v>
      </x:c>
      <x:c r="AS19" s="87" t="str">
        <x:f>IF(OR(AS4&lt;0,AS4=AR4,ISERROR(INDEX(세부시간표!$A$3:$L$1183,9*AS4-5,10))),"",INDEX(세부시간표!$A$3:$L$1183,9*AS4-5,10))</x:f>
        <x:v>인공지능 프로그래밍</x:v>
      </x:c>
      <x:c r="AT19" s="87" t="str">
        <x:f>IF(OR(AT4&lt;0,AT4=AS4,ISERROR(INDEX(세부시간표!$A$3:$L$1183,9*AT4-5,10))),"",INDEX(세부시간표!$A$3:$L$1183,9*AT4-5,10))</x:f>
        <x:v>인공지능 프로그래밍</x:v>
      </x:c>
      <x:c r="AU19" s="87" t="str">
        <x:f>IF(OR(AU4&lt;0,AU4=AT4,ISERROR(INDEX(세부시간표!$A$3:$L$1183,9*AU4-5,10))),"",INDEX(세부시간표!$A$3:$L$1183,9*AU4-5,10))</x:f>
        <x:v>인공지능 프로그래밍</x:v>
      </x:c>
      <x:c r="AV19" s="87" t="str">
        <x:f>IF(OR(AV4&lt;0,AV4=AU4,ISERROR(INDEX(세부시간표!$A$3:$L$1183,9*AV4-5,10))),"",INDEX(세부시간표!$A$3:$L$1183,9*AV4-5,10))</x:f>
        <x:v>인공지능 프로그래밍</x:v>
      </x:c>
      <x:c r="AW19" s="87" t="str">
        <x:f>IF(OR(AW4&lt;0,AW4=AV4,ISERROR(INDEX(세부시간표!$A$3:$L$1183,9*AW4-5,10))),"",INDEX(세부시간표!$A$3:$L$1183,9*AW4-5,10))</x:f>
        <x:v>인공지능 프로그래밍</x:v>
      </x:c>
      <x:c r="AX19" s="87" t="str">
        <x:f>IF(OR(AX4&lt;0,AX4=AW4,ISERROR(INDEX(세부시간표!$A$3:$L$1183,9*AX4-5,10))),"",INDEX(세부시간표!$A$3:$L$1183,9*AX4-5,10))</x:f>
        <x:v>인공지능 프로그래밍</x:v>
      </x:c>
      <x:c r="AY19" s="87" t="str">
        <x:f>IF(OR(AY4&lt;0,AY4=AX4,ISERROR(INDEX(세부시간표!$A$3:$L$1183,9*AY4-5,10))),"",INDEX(세부시간표!$A$3:$L$1183,9*AY4-5,10))</x:f>
        <x:v>인공지능 프로그래밍</x:v>
      </x:c>
      <x:c r="AZ19" s="87" t="str">
        <x:f>IF(OR(AZ4&lt;0,AZ4=AY4,ISERROR(INDEX(세부시간표!$A$3:$L$1183,9*AZ4-5,10))),"",INDEX(세부시간표!$A$3:$L$1183,9*AZ4-5,10))</x:f>
        <x:v>인공지능 프로그래밍</x:v>
      </x:c>
      <x:c r="BA19" s="87" t="str">
        <x:f>IF(OR(BA4&lt;0,BA4=AZ4,ISERROR(INDEX(세부시간표!$A$3:$L$1183,9*BA4-5,10))),"",INDEX(세부시간표!$A$3:$L$1183,9*BA4-5,10))</x:f>
        <x:v>인공지능 프로그래밍</x:v>
      </x:c>
      <x:c r="BB19" s="87" t="str">
        <x:f>IF(OR(BB4&lt;0,BB4=BA4,ISERROR(INDEX(세부시간표!$A$3:$L$1183,9*BB4-5,10))),"",INDEX(세부시간표!$A$3:$L$1183,9*BB4-5,10))</x:f>
        <x:v>인공지능 프로그래밍</x:v>
      </x:c>
      <x:c r="BC19" s="87" t="str">
        <x:f>IF(OR(BC4&lt;0,BC4=BB4,ISERROR(INDEX(세부시간표!$A$3:$L$1183,9*BC4-5,10))),"",INDEX(세부시간표!$A$3:$L$1183,9*BC4-5,10))</x:f>
        <x:v>인공지능 프로그래밍</x:v>
      </x:c>
      <x:c r="BD19" s="87" t="str">
        <x:f>IF(OR(BD4&lt;0,BD4=BC4,ISERROR(INDEX(세부시간표!$A$3:$L$1183,9*BD4-5,10))),"",INDEX(세부시간표!$A$3:$L$1183,9*BD4-5,10))</x:f>
        <x:v>인공지능 프로그래밍</x:v>
      </x:c>
      <x:c r="BE19" s="87" t="str">
        <x:f>IF(OR(BE4&lt;0,BE4=BD4,ISERROR(INDEX(세부시간표!$A$3:$L$1183,9*BE4-5,10))),"",INDEX(세부시간표!$A$3:$L$1183,9*BE4-5,10))</x:f>
        <x:v>인공지능 프로그래밍</x:v>
      </x:c>
      <x:c r="BF19" s="87" t="str">
        <x:f>IF(OR(BF4&lt;0,BF4=BE4,ISERROR(INDEX(세부시간표!$A$3:$L$1183,9*BF4-5,10))),"",INDEX(세부시간표!$A$3:$L$1183,9*BF4-5,10))</x:f>
        <x:v>인공지능 프로그래밍</x:v>
      </x:c>
      <x:c r="BG19" s="87" t="str">
        <x:f>IF(OR(BG4&lt;0,BG4=BF4,ISERROR(INDEX(세부시간표!$A$3:$L$1183,9*BG4-5,10))),"",INDEX(세부시간표!$A$3:$L$1183,9*BG4-5,10))</x:f>
        <x:v>인공지능 프로그래밍</x:v>
      </x:c>
      <x:c r="BH19" s="87" t="str">
        <x:f>IF(OR(BH4&lt;0,BH4=BG4,ISERROR(INDEX(세부시간표!$A$3:$L$1183,9*BH4-5,10))),"",INDEX(세부시간표!$A$3:$L$1183,9*BH4-5,10))</x:f>
        <x:v>Advanced 프로젝트</x:v>
      </x:c>
      <x:c r="BI19" s="87" t="str">
        <x:f>IF(OR(BI4&lt;0,BI4=BH4,ISERROR(INDEX(세부시간표!$A$3:$L$1183,9*BI4-5,10))),"",INDEX(세부시간표!$A$3:$L$1183,9*BI4-5,10))</x:f>
        <x:v>Advanced 프로젝트</x:v>
      </x:c>
      <x:c r="BJ19" s="87" t="str">
        <x:f>IF(OR(BJ4&lt;0,BJ4=BI4,ISERROR(INDEX(세부시간표!$A$3:$L$1183,9*BJ4-5,10))),"",INDEX(세부시간표!$A$3:$L$1183,9*BJ4-5,10))</x:f>
        <x:v>Advanced 프로젝트</x:v>
      </x:c>
      <x:c r="BK19" s="87" t="str">
        <x:f>IF(OR(BK4&lt;0,BK4=BJ4,ISERROR(INDEX(세부시간표!$A$3:$L$1183,9*BK4-5,10))),"",INDEX(세부시간표!$A$3:$L$1183,9*BK4-5,10))</x:f>
        <x:v>Advanced 프로젝트</x:v>
      </x:c>
      <x:c r="BL19" s="87" t="str">
        <x:f>IF(OR(BL4&lt;0,BL4=BK4,ISERROR(INDEX(세부시간표!$A$3:$L$1183,9*BL4-5,10))),"",INDEX(세부시간표!$A$3:$L$1183,9*BL4-5,10))</x:f>
        <x:v>Advanced 프로젝트</x:v>
      </x:c>
      <x:c r="BM19" s="87" t="str">
        <x:f>IF(OR(BM4&lt;0,BM4=BL4,ISERROR(INDEX(세부시간표!$A$3:$L$1183,9*BM4-5,10))),"",INDEX(세부시간표!$A$3:$L$1183,9*BM4-5,10))</x:f>
        <x:v>Advanced 프로젝트</x:v>
      </x:c>
      <x:c r="BN19" s="87" t="str">
        <x:f>IF(OR(BN4&lt;0,BN4=BM4,ISERROR(INDEX(세부시간표!$A$3:$L$1183,9*BN4-5,10))),"",INDEX(세부시간표!$A$3:$L$1183,9*BN4-5,10))</x:f>
        <x:v>Advanced 프로젝트</x:v>
      </x:c>
      <x:c r="BO19" s="87" t="str">
        <x:f>IF(OR(BO4&lt;0,BO4=BN4,ISERROR(INDEX(세부시간표!$A$3:$L$1183,9*BO4-5,10))),"",INDEX(세부시간표!$A$3:$L$1183,9*BO4-5,10))</x:f>
        <x:v>Advanced 프로젝트</x:v>
      </x:c>
      <x:c r="BP19" s="87" t="str">
        <x:f>IF(OR(BP4&lt;0,BP4=BO4,ISERROR(INDEX(세부시간표!$A$3:$L$1183,9*BP4-5,10))),"",INDEX(세부시간표!$A$3:$L$1183,9*BP4-5,10))</x:f>
        <x:v>Advanced 프로젝트</x:v>
      </x:c>
      <x:c r="BQ19" s="87" t="str">
        <x:f>IF(OR(BQ4&lt;0,BQ4=BP4,ISERROR(INDEX(세부시간표!$A$3:$L$1183,9*BQ4-5,10))),"",INDEX(세부시간표!$A$3:$L$1183,9*BQ4-5,10))</x:f>
        <x:v>Advanced 프로젝트</x:v>
      </x:c>
      <x:c r="BR19" s="87" t="str">
        <x:f>IF(OR(BR4&lt;0,BR4=BQ4,ISERROR(INDEX(세부시간표!$A$3:$L$1183,9*BR4-5,10))),"",INDEX(세부시간표!$A$3:$L$1183,9*BR4-5,10))</x:f>
        <x:v/>
      </x:c>
      <x:c r="BS19" s="87" t="str">
        <x:f>IF(OR(BS4&lt;0,BS4=BR4,ISERROR(INDEX(세부시간표!$A$3:$L$1183,9*BS4-5,10))),"",INDEX(세부시간표!$A$3:$L$1183,9*BS4-5,10))</x:f>
        <x:v>Advanced 프로젝트</x:v>
      </x:c>
      <x:c r="BT19" s="87" t="str">
        <x:f>IF(OR(BT4&lt;0,BT4=BS4,ISERROR(INDEX(세부시간표!$A$3:$L$1183,9*BT4-5,10))),"",INDEX(세부시간표!$A$3:$L$1183,9*BT4-5,10))</x:f>
        <x:v>Advanced 프로젝트</x:v>
      </x:c>
      <x:c r="BU19" s="87" t="str">
        <x:f>IF(OR(BU4&lt;0,BU4=BT4,ISERROR(INDEX(세부시간표!$A$3:$L$1183,9*BU4-5,10))),"",INDEX(세부시간표!$A$3:$L$1183,9*BU4-5,10))</x:f>
        <x:v>Advanced 프로젝트</x:v>
      </x:c>
      <x:c r="BV19" s="87" t="str">
        <x:f>IF(OR(BV4&lt;0,BV4=BU4,ISERROR(INDEX(세부시간표!$A$3:$L$1183,9*BV4-5,10))),"",INDEX(세부시간표!$A$3:$L$1183,9*BV4-5,10))</x:f>
        <x:v>빅데이터 분석 및 시각화</x:v>
      </x:c>
      <x:c r="BW19" s="87" t="str">
        <x:f>IF(OR(BW4&lt;0,BW4=BV4,ISERROR(INDEX(세부시간표!$A$3:$L$1183,9*BW4-5,10))),"",INDEX(세부시간표!$A$3:$L$1183,9*BW4-5,10))</x:f>
        <x:v/>
      </x:c>
      <x:c r="BX19" s="87" t="str">
        <x:f>IF(OR(BX4&lt;0,BX4=BW4,ISERROR(INDEX(세부시간표!$A$3:$L$1183,9*BX4-5,10))),"",INDEX(세부시간표!$A$3:$L$1183,9*BX4-5,10))</x:f>
        <x:v>빅데이터 분석 및 시각화</x:v>
      </x:c>
      <x:c r="BY19" s="87" t="str">
        <x:f>IF(OR(BY4&lt;0,BY4=BX4,ISERROR(INDEX(세부시간표!$A$3:$L$1183,9*BY4-5,10))),"",INDEX(세부시간표!$A$3:$L$1183,9*BY4-5,10))</x:f>
        <x:v>빅데이터 분석 및 시각화</x:v>
      </x:c>
      <x:c r="BZ19" s="87" t="str">
        <x:f>IF(OR(BZ4&lt;0,BZ4=BY4,ISERROR(INDEX(세부시간표!$A$3:$L$1183,9*BZ4-5,10))),"",INDEX(세부시간표!$A$3:$L$1183,9*BZ4-5,10))</x:f>
        <x:v>빅데이터 분석 및 시각화</x:v>
      </x:c>
      <x:c r="CA19" s="87" t="str">
        <x:f>IF(OR(CA4&lt;0,CA4=BZ4,ISERROR(INDEX(세부시간표!$A$3:$L$1183,9*CA4-5,10))),"",INDEX(세부시간표!$A$3:$L$1183,9*CA4-5,10))</x:f>
        <x:v>빅데이터 분석 및 시각화</x:v>
      </x:c>
      <x:c r="CB19" s="87" t="str">
        <x:f>IF(OR(CB4&lt;0,CB4=CA4,ISERROR(INDEX(세부시간표!$A$3:$L$1183,9*CB4-5,10))),"",INDEX(세부시간표!$A$3:$L$1183,9*CB4-5,10))</x:f>
        <x:v>빅데이터 시스템 구축</x:v>
      </x:c>
      <x:c r="CC19" s="87" t="str">
        <x:f>IF(OR(CC4&lt;0,CC4=CB4,ISERROR(INDEX(세부시간표!$A$3:$L$1183,9*CC4-5,10))),"",INDEX(세부시간표!$A$3:$L$1183,9*CC4-5,10))</x:f>
        <x:v>빅데이터 시스템 구축</x:v>
      </x:c>
      <x:c r="CD19" s="87" t="str">
        <x:f>IF(OR(CD4&lt;0,CD4=CC4,ISERROR(INDEX(세부시간표!$A$3:$L$1183,9*CD4-5,10))),"",INDEX(세부시간표!$A$3:$L$1183,9*CD4-5,10))</x:f>
        <x:v>빅데이터 시스템 구축</x:v>
      </x:c>
      <x:c r="CE19" s="87" t="str">
        <x:f>IF(OR(CE4&lt;0,CE4=CD4,ISERROR(INDEX(세부시간표!$A$3:$L$1183,9*CE4-5,10))),"",INDEX(세부시간표!$A$3:$L$1183,9*CE4-5,10))</x:f>
        <x:v>빅데이터 시스템 구축</x:v>
      </x:c>
      <x:c r="CF19" s="87" t="str">
        <x:f>IF(OR(CF4&lt;0,CF4=CE4,ISERROR(INDEX(세부시간표!$A$3:$L$1183,9*CF4-5,10))),"",INDEX(세부시간표!$A$3:$L$1183,9*CF4-5,10))</x:f>
        <x:v>빅데이터 시스템 구축</x:v>
      </x:c>
      <x:c r="CG19" s="87" t="str">
        <x:f>IF(OR(CG4&lt;0,CG4=CF4,ISERROR(INDEX(세부시간표!$A$3:$L$1183,9*CG4-5,10))),"",INDEX(세부시간표!$A$3:$L$1183,9*CG4-5,10))</x:f>
        <x:v>빅데이터 시스템 구축</x:v>
      </x:c>
      <x:c r="CH19" s="87" t="str">
        <x:f>IF(OR(CH4&lt;0,CH4=CG4,ISERROR(INDEX(세부시간표!$A$3:$L$1183,9*CH4-5,10))),"",INDEX(세부시간표!$A$3:$L$1183,9*CH4-5,10))</x:f>
        <x:v>빅데이터 시스템 구축</x:v>
      </x:c>
      <x:c r="CI19" s="87" t="str">
        <x:f>IF(OR(CI4&lt;0,CI4=CH4,ISERROR(INDEX(세부시간표!$A$3:$L$1183,9*CI4-5,10))),"",INDEX(세부시간표!$A$3:$L$1183,9*CI4-5,10))</x:f>
        <x:v>빅데이터 시스템 구축</x:v>
      </x:c>
      <x:c r="CJ19" s="87" t="str">
        <x:f>IF(OR(CJ4&lt;0,CJ4=CI4,ISERROR(INDEX(세부시간표!$A$3:$L$1183,9*CJ4-5,10))),"",INDEX(세부시간표!$A$3:$L$1183,9*CJ4-5,10))</x:f>
        <x:v>빅데이터 시스템 구축</x:v>
      </x:c>
      <x:c r="CK19" s="87" t="str">
        <x:f>IF(OR(CK4&lt;0,CK4=CJ4,ISERROR(INDEX(세부시간표!$A$3:$L$1183,9*CK4-5,10))),"",INDEX(세부시간표!$A$3:$L$1183,9*CK4-5,10))</x:f>
        <x:v>빅데이터 시스템 구축</x:v>
      </x:c>
      <x:c r="CL19" s="87" t="str">
        <x:f>IF(OR(CL4&lt;0,CL4=CK4,ISERROR(INDEX(세부시간표!$A$3:$L$1183,9*CL4-5,10))),"",INDEX(세부시간표!$A$3:$L$1183,9*CL4-5,10))</x:f>
        <x:v>빅데이터 플랫폼 개발</x:v>
      </x:c>
      <x:c r="CM19" s="87" t="str">
        <x:f>IF(OR(CM4&lt;0,CM4=CL4,ISERROR(INDEX(세부시간표!$A$3:$L$1183,9*CM4-5,10))),"",INDEX(세부시간표!$A$3:$L$1183,9*CM4-5,10))</x:f>
        <x:v>빅데이터 플랫폼 개발</x:v>
      </x:c>
      <x:c r="CN19" s="87" t="str">
        <x:f>IF(OR(CN4&lt;0,CN4=CM4,ISERROR(INDEX(세부시간표!$A$3:$L$1183,9*CN4-5,10))),"",INDEX(세부시간표!$A$3:$L$1183,9*CN4-5,10))</x:f>
        <x:v>빅데이터 플랫폼 개발</x:v>
      </x:c>
      <x:c r="CO19" s="87" t="str">
        <x:f>IF(OR(CO4&lt;0,CO4=CN4,ISERROR(INDEX(세부시간표!$A$3:$L$1183,9*CO4-5,10))),"",INDEX(세부시간표!$A$3:$L$1183,9*CO4-5,10))</x:f>
        <x:v>빅데이터 플랫폼 개발</x:v>
      </x:c>
      <x:c r="CP19" s="87" t="str">
        <x:f>IF(OR(CP4&lt;0,CP4=CO4,ISERROR(INDEX(세부시간표!$A$3:$L$1183,9*CP4-5,10))),"",INDEX(세부시간표!$A$3:$L$1183,9*CP4-5,10))</x:f>
        <x:v>빅데이터 플랫폼 개발</x:v>
      </x:c>
      <x:c r="CQ19" s="87" t="str">
        <x:f>IF(OR(CQ4&lt;0,CQ4=CP4,ISERROR(INDEX(세부시간표!$A$3:$L$1183,9*CQ4-5,10))),"",INDEX(세부시간표!$A$3:$L$1183,9*CQ4-5,10))</x:f>
        <x:v>빅데이터 플랫폼 개발</x:v>
      </x:c>
      <x:c r="CR19" s="87" t="str">
        <x:f>IF(OR(CR4&lt;0,CR4=CQ4,ISERROR(INDEX(세부시간표!$A$3:$L$1183,9*CR4-5,10))),"",INDEX(세부시간표!$A$3:$L$1183,9*CR4-5,10))</x:f>
        <x:v>빅데이터 플랫폼 개발</x:v>
      </x:c>
      <x:c r="CS19" s="87" t="str">
        <x:f>IF(OR(CS4&lt;0,CS4=CR4,ISERROR(INDEX(세부시간표!$A$3:$L$1183,9*CS4-5,10))),"",INDEX(세부시간표!$A$3:$L$1183,9*CS4-5,10))</x:f>
        <x:v>Final 프로젝트</x:v>
      </x:c>
      <x:c r="CT19" s="87" t="str">
        <x:f>IF(OR(CT4&lt;0,CT4=CS4,ISERROR(INDEX(세부시간표!$A$3:$L$1183,9*CT4-5,10))),"",INDEX(세부시간표!$A$3:$L$1183,9*CT4-5,10))</x:f>
        <x:v>Final 프로젝트</x:v>
      </x:c>
      <x:c r="CU19" s="87" t="str">
        <x:f>IF(OR(CU4&lt;0,CU4=CT4,ISERROR(INDEX(세부시간표!$A$3:$L$1183,9*CU4-5,10))),"",INDEX(세부시간표!$A$3:$L$1183,9*CU4-5,10))</x:f>
        <x:v>Final 프로젝트</x:v>
      </x:c>
      <x:c r="CV19" s="87" t="str">
        <x:f>IF(OR(CV4&lt;0,CV4=CU4,ISERROR(INDEX(세부시간표!$A$3:$L$1183,9*CV4-5,10))),"",INDEX(세부시간표!$A$3:$L$1183,9*CV4-5,10))</x:f>
        <x:v>Final 프로젝트</x:v>
      </x:c>
      <x:c r="CW19" s="87" t="str">
        <x:f>IF(OR(CW4&lt;0,CW4=CV4,ISERROR(INDEX(세부시간표!$A$3:$L$1183,9*CW4-5,10))),"",INDEX(세부시간표!$A$3:$L$1183,9*CW4-5,10))</x:f>
        <x:v>Final 프로젝트</x:v>
      </x:c>
      <x:c r="CX19" s="87" t="str">
        <x:f>IF(OR(CX4&lt;0,CX4=CW4,ISERROR(INDEX(세부시간표!$A$3:$L$1183,9*CX4-5,10))),"",INDEX(세부시간표!$A$3:$L$1183,9*CX4-5,10))</x:f>
        <x:v>Final 프로젝트</x:v>
      </x:c>
      <x:c r="CY19" s="87" t="str">
        <x:f>IF(OR(CY4&lt;0,CY4=CX4,ISERROR(INDEX(세부시간표!$A$3:$L$1183,9*CY4-5,10))),"",INDEX(세부시간표!$A$3:$L$1183,9*CY4-5,10))</x:f>
        <x:v>Final 프로젝트</x:v>
      </x:c>
      <x:c r="CZ19" s="87" t="str">
        <x:f>IF(OR(CZ4&lt;0,CZ4=CY4,ISERROR(INDEX(세부시간표!$A$3:$L$1183,9*CZ4-5,10))),"",INDEX(세부시간표!$A$3:$L$1183,9*CZ4-5,10))</x:f>
        <x:v>Final 프로젝트</x:v>
      </x:c>
      <x:c r="DA19" s="87" t="str">
        <x:f>IF(OR(DA4&lt;0,DA4=CZ4,ISERROR(INDEX(세부시간표!$A$3:$L$1183,9*DA4-5,10))),"",INDEX(세부시간표!$A$3:$L$1183,9*DA4-5,10))</x:f>
        <x:v>Final 프로젝트</x:v>
      </x:c>
      <x:c r="DB19" s="87" t="str">
        <x:f>IF(OR(DB4&lt;0,DB4=DA4,ISERROR(INDEX(세부시간표!$A$3:$L$1183,9*DB4-5,10))),"",INDEX(세부시간표!$A$3:$L$1183,9*DB4-5,10))</x:f>
        <x:v>Final 프로젝트</x:v>
      </x:c>
      <x:c r="DC19" s="87" t="str">
        <x:f>IF(OR(DC4&lt;0,DC4=DB4,ISERROR(INDEX(세부시간표!$A$3:$L$1183,9*DC4-5,10))),"",INDEX(세부시간표!$A$3:$L$1183,9*DC4-5,10))</x:f>
        <x:v/>
      </x:c>
      <x:c r="DD19" s="87" t="str">
        <x:f>IF(OR(DD4&lt;0,DD4=DC4,ISERROR(INDEX(세부시간표!$A$3:$L$1183,9*DD4-5,10))),"",INDEX(세부시간표!$A$3:$L$1183,9*DD4-5,10))</x:f>
        <x:v/>
      </x:c>
      <x:c r="DE19" s="87" t="str">
        <x:f>IF(OR(DE4&lt;0,DE4=DD4,ISERROR(INDEX(세부시간표!$A$3:$L$1183,9*DE4-5,10))),"",INDEX(세부시간표!$A$3:$L$1183,9*DE4-5,10))</x:f>
        <x:v/>
      </x:c>
      <x:c r="DF19" s="87" t="str">
        <x:f>IF(OR(DF4&lt;0,DF4=DE4,ISERROR(INDEX(세부시간표!$A$3:$L$1183,9*DF4-5,10))),"",INDEX(세부시간표!$A$3:$L$1183,9*DF4-5,10))</x:f>
        <x:v>Final 프로젝트</x:v>
      </x:c>
      <x:c r="DG19" s="87" t="str">
        <x:f>IF(OR(DG4&lt;0,DG4=DF4,ISERROR(INDEX(세부시간표!$A$3:$L$1183,9*DG4-5,10))),"",INDEX(세부시간표!$A$3:$L$1183,9*DG4-5,10))</x:f>
        <x:v>Final 프로젝트</x:v>
      </x:c>
      <x:c r="DH19" s="87" t="str">
        <x:f>IF(OR(DH4&lt;0,DH4=DG4,ISERROR(INDEX(세부시간표!$A$3:$L$1183,9*DH4-5,10))),"",INDEX(세부시간표!$A$3:$L$1183,9*DH4-5,10))</x:f>
        <x:v>Final 프로젝트</x:v>
      </x:c>
      <x:c r="DI19" s="87" t="str">
        <x:f>IF(OR(DI4&lt;0,DI4=DH4,ISERROR(INDEX(세부시간표!$A$3:$L$1183,9*DI4-5,10))),"",INDEX(세부시간표!$A$3:$L$1183,9*DI4-5,10))</x:f>
        <x:v>Final 프로젝트</x:v>
      </x:c>
      <x:c r="DJ19" s="87" t="str">
        <x:f>IF(OR(DJ4&lt;0,DJ4=DI4,ISERROR(INDEX(세부시간표!$A$3:$L$1183,9*DJ4-5,10))),"",INDEX(세부시간표!$A$3:$L$1183,9*DJ4-5,10))</x:f>
        <x:v>Final 프로젝트</x:v>
      </x:c>
      <x:c r="DK19" s="87" t="str">
        <x:f>IF(OR(DK4&lt;0,DK4=DJ4,ISERROR(INDEX(세부시간표!$A$3:$L$1183,9*DK4-5,10))),"",INDEX(세부시간표!$A$3:$L$1183,9*DK4-5,10))</x:f>
        <x:v>Final 프로젝트</x:v>
      </x:c>
      <x:c r="DL19" s="87" t="str">
        <x:f>IF(OR(DL4&lt;0,DL4=DK4,ISERROR(INDEX(세부시간표!$A$3:$L$1183,9*DL4-5,10))),"",INDEX(세부시간표!$A$3:$L$1183,9*DL4-5,10))</x:f>
        <x:v>Final 프로젝트</x:v>
      </x:c>
      <x:c r="DM19" s="87" t="str">
        <x:f>IF(OR(DM4&lt;0,DM4=DL4,ISERROR(INDEX(세부시간표!$A$3:$L$1183,9*DM4-5,10))),"",INDEX(세부시간표!$A$3:$L$1183,9*DM4-5,10))</x:f>
        <x:v/>
      </x:c>
      <x:c r="DN19" s="87" t="str">
        <x:f>IF(OR(DN4&lt;0,DN4=DM4,ISERROR(INDEX(세부시간표!$A$3:$L$1183,9*DN4-5,10))),"",INDEX(세부시간표!$A$3:$L$1183,9*DN4-5,10))</x:f>
        <x:v>Final 프로젝트</x:v>
      </x:c>
      <x:c r="DO19" s="87" t="str">
        <x:f>IF(OR(DO4&lt;0,DO4=DN4,ISERROR(INDEX(세부시간표!$A$3:$L$1183,9*DO4-5,10))),"",INDEX(세부시간표!$A$3:$L$1183,9*DO4-5,10))</x:f>
        <x:v>Final 프로젝트</x:v>
      </x:c>
      <x:c r="DP19" s="87" t="str">
        <x:f>IF(OR(DP4&lt;0,DP4=DO4,ISERROR(INDEX(세부시간표!$A$3:$L$1183,9*DP4-5,10))),"",INDEX(세부시간표!$A$3:$L$1183,9*DP4-5,10))</x:f>
        <x:v>Final 프로젝트</x:v>
      </x:c>
      <x:c r="DQ19" s="87" t="str">
        <x:f>IF(OR(DQ4&lt;0,DQ4=DP4,ISERROR(INDEX(세부시간표!$A$3:$L$1183,9*DQ4-5,10))),"",INDEX(세부시간표!$A$3:$L$1183,9*DQ4-5,10))</x:f>
        <x:v>Final 프로젝트</x:v>
      </x:c>
      <x:c r="DR19" s="87" t="str">
        <x:f>IF(OR(DR4&lt;0,DR4=DQ4,ISERROR(INDEX(세부시간표!$A$3:$L$1183,9*DR4-5,10))),"",INDEX(세부시간표!$A$3:$L$1183,9*DR4-5,10))</x:f>
        <x:v>Final 프로젝트</x:v>
      </x:c>
      <x:c r="DS19" s="87" t="str">
        <x:f>IF(OR(DS4&lt;0,DS4=DR4,ISERROR(INDEX(세부시간표!$A$3:$L$1183,9*DS4-5,10))),"",INDEX(세부시간표!$A$3:$L$1183,9*DS4-5,10))</x:f>
        <x:v>Final 프로젝트</x:v>
      </x:c>
      <x:c r="DT19" s="87" t="str">
        <x:f>IF(OR(DT4&lt;0,DT4=DS4,ISERROR(INDEX(세부시간표!$A$3:$L$1183,9*DT4-5,10))),"",INDEX(세부시간표!$A$3:$L$1183,9*DT4-5,10))</x:f>
        <x:v>Final 프로젝트</x:v>
      </x:c>
      <x:c r="DU19" s="87" t="str">
        <x:f>IF(OR(DU4&lt;0,DU4=DT4,ISERROR(INDEX(세부시간표!$A$3:$L$1183,9*DU4-5,10))),"",INDEX(세부시간표!$A$3:$L$1183,9*DU4-5,10))</x:f>
        <x:v>Final 프로젝트</x:v>
      </x:c>
      <x:c r="DV19" s="87" t="str">
        <x:f>IF(OR(DV4&lt;0,DV4=DU4,ISERROR(INDEX(세부시간표!$A$3:$L$1183,9*DV4-5,10))),"",INDEX(세부시간표!$A$3:$L$1183,9*DV4-5,10))</x:f>
        <x:v>Final 프로젝트</x:v>
      </x:c>
      <x:c r="DW19" s="87" t="str">
        <x:f>IF(OR(DW4&lt;0,DW4=DV4,ISERROR(INDEX(세부시간표!$A$3:$L$1183,9*DW4-5,10))),"",INDEX(세부시간표!$A$3:$L$1183,9*DW4-5,10))</x:f>
        <x:v>Final 프로젝트</x:v>
      </x:c>
      <x:c r="DX19" s="87" t="str">
        <x:f>IF(OR(DX4&lt;0,DX4=DW4,ISERROR(INDEX(세부시간표!$A$3:$L$1183,9*DX4-5,10))),"",INDEX(세부시간표!$A$3:$L$1183,9*DX4-5,10))</x:f>
        <x:v>Final 프로젝트</x:v>
      </x:c>
      <x:c r="DY19" s="87" t="str">
        <x:f>IF(OR(DY4&lt;0,DY4=DX4,ISERROR(INDEX(세부시간표!$A$3:$L$1183,9*DY4-5,10))),"",INDEX(세부시간표!$A$3:$L$1183,9*DY4-5,10))</x:f>
        <x:v>Final 프로젝트</x:v>
      </x:c>
      <x:c r="DZ19" s="87" t="str">
        <x:f>IF(OR(DZ4&lt;0,DZ4=DY4,ISERROR(INDEX(세부시간표!$A$3:$L$1183,9*DZ4-5,10))),"",INDEX(세부시간표!$A$3:$L$1183,9*DZ4-5,10))</x:f>
        <x:v>Final 프로젝트</x:v>
      </x:c>
      <x:c r="EA19" s="87" t="str">
        <x:f>IF(OR(EA4&lt;0,EA4=DZ4,ISERROR(INDEX(세부시간표!$A$3:$L$1183,9*EA4-5,10))),"",INDEX(세부시간표!$A$3:$L$1183,9*EA4-5,10))</x:f>
        <x:v>Final 프로젝트</x:v>
      </x:c>
      <x:c r="EB19" s="87" t="str">
        <x:f>IF(OR(EB4&lt;0,EB4=EA4,ISERROR(INDEX(세부시간표!$A$3:$L$1183,9*EB4-5,10))),"",INDEX(세부시간표!$A$3:$L$1183,9*EB4-5,10))</x:f>
        <x:v>Final 프로젝트</x:v>
      </x:c>
      <x:c r="EC19" s="87" t="str">
        <x:f>IF(OR(EC4&lt;0,EC4=EB4,ISERROR(INDEX(세부시간표!$A$3:$L$1183,9*EC4-5,10))),"",INDEX(세부시간표!$A$3:$L$1183,9*EC4-5,10))</x:f>
        <x:v>산업체특강 , 프로젝트 발표(시연), 수료식</x:v>
      </x:c>
      <x:c r="ED19" s="87" t="str">
        <x:f>IF(OR(ED4&lt;0,ED4=EC4,ISERROR(INDEX(세부시간표!$A$3:$L$1183,9*ED4-5,10))),"",INDEX(세부시간표!$A$3:$L$1183,9*ED4-5,10))</x:f>
        <x:v>취업특강 및 모의면접</x:v>
      </x:c>
      <x:c r="EE19" s="87" t="str">
        <x:f>IF(OR(EE4&lt;0,EE4=ED4,ISERROR(INDEX(세부시간표!$A$3:$L$1183,9*EE4-5,10))),"",INDEX(세부시간표!$A$3:$L$1183,9*EE4-5,10))</x:f>
        <x:v/>
      </x:c>
      <x:c r="EF19" s="87" t="str">
        <x:f>IF(OR(EF4&lt;0,EF4=EE4,ISERROR(INDEX(세부시간표!$A$3:$L$1183,9*EF4-5,10))),"",INDEX(세부시간표!$A$3:$L$1183,9*EF4-5,10))</x:f>
        <x:v/>
      </x:c>
      <x:c r="EG19" s="87" t="str">
        <x:f>IF(OR(EG4&lt;0,EG4=EF4,ISERROR(INDEX(세부시간표!$A$3:$L$1183,9*EG4-5,10))),"",INDEX(세부시간표!$A$3:$L$1183,9*EG4-5,10))</x:f>
        <x:v/>
      </x:c>
      <x:c r="EH19" s="87" t="str">
        <x:f>IF(OR(EH4&lt;0,EH4=EG4,ISERROR(INDEX(세부시간표!$A$3:$L$1183,9*EH4-5,10))),"",INDEX(세부시간표!$A$3:$L$1183,9*EH4-5,10))</x:f>
        <x:v/>
      </x:c>
      <x:c r="EI19" s="87" t="str">
        <x:f>IF(OR(EI4&lt;0,EI4=EH4,ISERROR(INDEX(세부시간표!$A$3:$L$1183,9*EI4-5,10))),"",INDEX(세부시간표!$A$3:$L$1183,9*EI4-5,10))</x:f>
        <x:v/>
      </x:c>
      <x:c r="EJ19" s="87" t="str">
        <x:f>IF(OR(EJ4&lt;0,EJ4=EI4,ISERROR(INDEX(세부시간표!$A$3:$L$1183,9*EJ4-5,10))),"",INDEX(세부시간표!$A$3:$L$1183,9*EJ4-5,10))</x:f>
        <x:v/>
      </x:c>
      <x:c r="EK19" s="87" t="str">
        <x:f>IF(OR(EK4&lt;0,EK4=EJ4,ISERROR(INDEX(세부시간표!$A$3:$L$1183,9*EK4-5,10))),"",INDEX(세부시간표!$A$3:$L$1183,9*EK4-5,10))</x:f>
        <x:v/>
      </x:c>
      <x:c r="EL19" s="85" t="str">
        <x:f>IF(OR(EL4&lt;0,EL4=EK4,ISERROR(INDEX(세부시간표!$A$3:$L$1183,9*EL4-5,10))),"",INDEX(세부시간표!$A$3:$L$1183,9*EL4-5,10))</x:f>
        <x:v/>
      </x:c>
      <x:c r="EM19" s="83" t="str">
        <x:f>IF(OR(EM4&lt;0,EM4=EL4,ISERROR(INDEX(세부시간표!$A$3:$L$1183,9*EM4-5,10))),"",INDEX(세부시간표!$A$3:$L$1183,9*EM4-5,10))</x:f>
        <x:v/>
      </x:c>
      <x:c r="EN19" s="83" t="str">
        <x:f>IF(OR(EN4&lt;0,EN4=EM4,ISERROR(INDEX(세부시간표!$A$3:$L$1183,9*EN4-5,10))),"",INDEX(세부시간표!$A$3:$L$1183,9*EN4-5,10))</x:f>
        <x:v/>
      </x:c>
      <x:c r="EO19" s="83" t="str">
        <x:f>IF(OR(EO4&lt;0,EO4=EN4,ISERROR(INDEX(세부시간표!$A$3:$L$1183,9*EO4-5,10))),"",INDEX(세부시간표!$A$3:$L$1183,9*EO4-5,10))</x:f>
        <x:v/>
      </x:c>
      <x:c r="EP19" s="84" t="str">
        <x:f>IF(OR(EP4&lt;0,EP4=EO4,ISERROR(INDEX(세부시간표!$A$3:$L$1183,9*EP4-5,10))),"",INDEX(세부시간표!$A$3:$L$1183,9*EP4-5,10))</x:f>
        <x:v/>
      </x:c>
    </x:row>
    <x:row r="20" spans="1:146" s="88" customFormat="1" ht="30" customHeight="1">
      <x:c r="A20" s="278"/>
      <x:c r="B20" s="64" t="str">
        <x:f>B19</x:f>
        <x:v>웹 애플리케이션 개발</x:v>
      </x:c>
      <x:c r="C20" s="64" t="str">
        <x:f t="shared" ref="C20:BN20" si="25">C19</x:f>
        <x:v>웹 애플리케이션 개발</x:v>
      </x:c>
      <x:c r="D20" s="64" t="str">
        <x:f t="shared" si="25"/>
        <x:v>웹 애플리케이션 개발</x:v>
      </x:c>
      <x:c r="E20" s="64" t="str">
        <x:f t="shared" si="25"/>
        <x:v>웹 애플리케이션 개발</x:v>
      </x:c>
      <x:c r="F20" s="64" t="str">
        <x:f t="shared" si="25"/>
        <x:v>웹 애플리케이션 개발</x:v>
      </x:c>
      <x:c r="G20" s="64" t="str">
        <x:f t="shared" si="25"/>
        <x:v>웹 애플리케이션 개발</x:v>
      </x:c>
      <x:c r="H20" s="64" t="str">
        <x:f t="shared" si="25"/>
        <x:v>웹 애플리케이션 개발</x:v>
      </x:c>
      <x:c r="I20" s="64" t="str">
        <x:f t="shared" si="25"/>
        <x:v>웹 애플리케이션 개발</x:v>
      </x:c>
      <x:c r="J20" s="64" t="str">
        <x:f t="shared" si="25"/>
        <x:v>웹 애플리케이션 개발</x:v>
      </x:c>
      <x:c r="K20" s="64" t="str">
        <x:f t="shared" si="25"/>
        <x:v/>
      </x:c>
      <x:c r="L20" s="64" t="str">
        <x:f t="shared" si="25"/>
        <x:v/>
      </x:c>
      <x:c r="M20" s="64" t="str">
        <x:f t="shared" si="25"/>
        <x:v/>
      </x:c>
      <x:c r="N20" s="64" t="str">
        <x:f t="shared" si="25"/>
        <x:v/>
      </x:c>
      <x:c r="O20" s="64" t="str">
        <x:f t="shared" si="25"/>
        <x:v/>
      </x:c>
      <x:c r="P20" s="64" t="str">
        <x:f t="shared" si="25"/>
        <x:v>웹 애플리케이션 개발</x:v>
      </x:c>
      <x:c r="Q20" s="64" t="str">
        <x:f t="shared" si="25"/>
        <x:v>웹&amp;콘텐츠 서비스 개발</x:v>
      </x:c>
      <x:c r="R20" s="64" t="str">
        <x:f t="shared" si="25"/>
        <x:v>웹&amp;콘텐츠 서비스 개발</x:v>
      </x:c>
      <x:c r="S20" s="64" t="str">
        <x:f t="shared" si="25"/>
        <x:v>웹&amp;콘텐츠 서비스 개발</x:v>
      </x:c>
      <x:c r="T20" s="64" t="str">
        <x:f t="shared" si="25"/>
        <x:v>웹&amp;콘텐츠 서비스 개발</x:v>
      </x:c>
      <x:c r="U20" s="64" t="str">
        <x:f t="shared" si="25"/>
        <x:v>웹&amp;콘텐츠 서비스 개발</x:v>
      </x:c>
      <x:c r="V20" s="64" t="str">
        <x:f t="shared" si="25"/>
        <x:v>SQL 및 데이터 모델링</x:v>
      </x:c>
      <x:c r="W20" s="64" t="str">
        <x:f t="shared" si="25"/>
        <x:v>SQL 및 데이터 모델링</x:v>
      </x:c>
      <x:c r="X20" s="64" t="str">
        <x:f t="shared" si="25"/>
        <x:v>SQL 및 데이터 모델링</x:v>
      </x:c>
      <x:c r="Y20" s="64" t="str">
        <x:f t="shared" si="25"/>
        <x:v>SQL 및 데이터 모델링</x:v>
      </x:c>
      <x:c r="Z20" s="64" t="str">
        <x:f t="shared" si="25"/>
        <x:v>SQL 및 데이터 모델링</x:v>
      </x:c>
      <x:c r="AA20" s="64" t="str">
        <x:f t="shared" si="25"/>
        <x:v>SQL 및 데이터 모델링</x:v>
      </x:c>
      <x:c r="AB20" s="64" t="str">
        <x:f t="shared" si="25"/>
        <x:v>SQL 및 데이터 모델링</x:v>
      </x:c>
      <x:c r="AC20" s="64" t="str">
        <x:f t="shared" si="25"/>
        <x:v>SQL 및 데이터 모델링</x:v>
      </x:c>
      <x:c r="AD20" s="64" t="str">
        <x:f t="shared" si="25"/>
        <x:v>SQL 및 데이터 모델링</x:v>
      </x:c>
      <x:c r="AE20" s="64" t="str">
        <x:f t="shared" si="25"/>
        <x:v>AI개발 기초</x:v>
      </x:c>
      <x:c r="AF20" s="64" t="str">
        <x:f t="shared" si="25"/>
        <x:v>AI개발 기초</x:v>
      </x:c>
      <x:c r="AG20" s="64" t="str">
        <x:f t="shared" si="25"/>
        <x:v>AI개발 기초</x:v>
      </x:c>
      <x:c r="AH20" s="64" t="str">
        <x:f t="shared" si="25"/>
        <x:v>AI개발 기초</x:v>
      </x:c>
      <x:c r="AI20" s="64" t="str">
        <x:f t="shared" si="25"/>
        <x:v>AI개발 기초</x:v>
      </x:c>
      <x:c r="AJ20" s="64" t="str">
        <x:f t="shared" si="25"/>
        <x:v>AI개발 기초</x:v>
      </x:c>
      <x:c r="AK20" s="64" t="str">
        <x:f t="shared" si="25"/>
        <x:v>AI개발 기초</x:v>
      </x:c>
      <x:c r="AL20" s="64" t="str">
        <x:f t="shared" si="25"/>
        <x:v>AI개발 기초</x:v>
      </x:c>
      <x:c r="AM20" s="64" t="str">
        <x:f t="shared" si="25"/>
        <x:v>AI개발 기초</x:v>
      </x:c>
      <x:c r="AN20" s="64" t="str">
        <x:f t="shared" si="25"/>
        <x:v>AI개발 기초</x:v>
      </x:c>
      <x:c r="AO20" s="64" t="str">
        <x:f t="shared" si="25"/>
        <x:v>AI개발 기초</x:v>
      </x:c>
      <x:c r="AP20" s="64" t="str">
        <x:f t="shared" si="25"/>
        <x:v>AI개발 기초</x:v>
      </x:c>
      <x:c r="AQ20" s="64" t="str">
        <x:f t="shared" si="25"/>
        <x:v>AI개발 기초</x:v>
      </x:c>
      <x:c r="AR20" s="64" t="str">
        <x:f t="shared" si="25"/>
        <x:v>인공지능 프로그래밍</x:v>
      </x:c>
      <x:c r="AS20" s="64" t="str">
        <x:f t="shared" si="25"/>
        <x:v>인공지능 프로그래밍</x:v>
      </x:c>
      <x:c r="AT20" s="64" t="str">
        <x:f t="shared" si="25"/>
        <x:v>인공지능 프로그래밍</x:v>
      </x:c>
      <x:c r="AU20" s="64" t="str">
        <x:f t="shared" si="25"/>
        <x:v>인공지능 프로그래밍</x:v>
      </x:c>
      <x:c r="AV20" s="64" t="str">
        <x:f t="shared" si="25"/>
        <x:v>인공지능 프로그래밍</x:v>
      </x:c>
      <x:c r="AW20" s="64" t="str">
        <x:f t="shared" si="25"/>
        <x:v>인공지능 프로그래밍</x:v>
      </x:c>
      <x:c r="AX20" s="64" t="str">
        <x:f t="shared" si="25"/>
        <x:v>인공지능 프로그래밍</x:v>
      </x:c>
      <x:c r="AY20" s="64" t="str">
        <x:f t="shared" si="25"/>
        <x:v>인공지능 프로그래밍</x:v>
      </x:c>
      <x:c r="AZ20" s="64" t="str">
        <x:f t="shared" si="25"/>
        <x:v>인공지능 프로그래밍</x:v>
      </x:c>
      <x:c r="BA20" s="64" t="str">
        <x:f t="shared" si="25"/>
        <x:v>인공지능 프로그래밍</x:v>
      </x:c>
      <x:c r="BB20" s="64" t="str">
        <x:f t="shared" si="25"/>
        <x:v>인공지능 프로그래밍</x:v>
      </x:c>
      <x:c r="BC20" s="64" t="str">
        <x:f t="shared" si="25"/>
        <x:v>인공지능 프로그래밍</x:v>
      </x:c>
      <x:c r="BD20" s="64" t="str">
        <x:f t="shared" si="25"/>
        <x:v>인공지능 프로그래밍</x:v>
      </x:c>
      <x:c r="BE20" s="64" t="str">
        <x:f t="shared" si="25"/>
        <x:v>인공지능 프로그래밍</x:v>
      </x:c>
      <x:c r="BF20" s="64" t="str">
        <x:f t="shared" si="25"/>
        <x:v>인공지능 프로그래밍</x:v>
      </x:c>
      <x:c r="BG20" s="64" t="str">
        <x:f t="shared" si="25"/>
        <x:v>인공지능 프로그래밍</x:v>
      </x:c>
      <x:c r="BH20" s="64" t="str">
        <x:f t="shared" si="25"/>
        <x:v>Advanced 프로젝트</x:v>
      </x:c>
      <x:c r="BI20" s="64" t="str">
        <x:f t="shared" si="25"/>
        <x:v>Advanced 프로젝트</x:v>
      </x:c>
      <x:c r="BJ20" s="64" t="str">
        <x:f t="shared" si="25"/>
        <x:v>Advanced 프로젝트</x:v>
      </x:c>
      <x:c r="BK20" s="64" t="str">
        <x:f t="shared" si="25"/>
        <x:v>Advanced 프로젝트</x:v>
      </x:c>
      <x:c r="BL20" s="64" t="str">
        <x:f t="shared" si="25"/>
        <x:v>Advanced 프로젝트</x:v>
      </x:c>
      <x:c r="BM20" s="64" t="str">
        <x:f t="shared" si="25"/>
        <x:v>Advanced 프로젝트</x:v>
      </x:c>
      <x:c r="BN20" s="64" t="str">
        <x:f t="shared" si="25"/>
        <x:v>Advanced 프로젝트</x:v>
      </x:c>
      <x:c r="BO20" s="64" t="str">
        <x:f t="shared" ref="BO20:DZ20" si="26">BO19</x:f>
        <x:v>Advanced 프로젝트</x:v>
      </x:c>
      <x:c r="BP20" s="64" t="str">
        <x:f t="shared" si="26"/>
        <x:v>Advanced 프로젝트</x:v>
      </x:c>
      <x:c r="BQ20" s="64" t="str">
        <x:f t="shared" si="26"/>
        <x:v>Advanced 프로젝트</x:v>
      </x:c>
      <x:c r="BR20" s="64" t="str">
        <x:f t="shared" si="26"/>
        <x:v/>
      </x:c>
      <x:c r="BS20" s="64" t="str">
        <x:f t="shared" si="26"/>
        <x:v>Advanced 프로젝트</x:v>
      </x:c>
      <x:c r="BT20" s="64" t="str">
        <x:f t="shared" si="26"/>
        <x:v>Advanced 프로젝트</x:v>
      </x:c>
      <x:c r="BU20" s="64" t="str">
        <x:f t="shared" si="26"/>
        <x:v>Advanced 프로젝트</x:v>
      </x:c>
      <x:c r="BV20" s="64" t="str">
        <x:f t="shared" si="26"/>
        <x:v>빅데이터 분석 및 시각화</x:v>
      </x:c>
      <x:c r="BW20" s="64" t="str">
        <x:f t="shared" si="26"/>
        <x:v/>
      </x:c>
      <x:c r="BX20" s="64" t="str">
        <x:f t="shared" si="26"/>
        <x:v>빅데이터 분석 및 시각화</x:v>
      </x:c>
      <x:c r="BY20" s="64" t="str">
        <x:f t="shared" si="26"/>
        <x:v>빅데이터 분석 및 시각화</x:v>
      </x:c>
      <x:c r="BZ20" s="64" t="str">
        <x:f t="shared" si="26"/>
        <x:v>빅데이터 분석 및 시각화</x:v>
      </x:c>
      <x:c r="CA20" s="64" t="str">
        <x:f t="shared" si="26"/>
        <x:v>빅데이터 분석 및 시각화</x:v>
      </x:c>
      <x:c r="CB20" s="64" t="str">
        <x:f t="shared" si="26"/>
        <x:v>빅데이터 시스템 구축</x:v>
      </x:c>
      <x:c r="CC20" s="64" t="str">
        <x:f t="shared" si="26"/>
        <x:v>빅데이터 시스템 구축</x:v>
      </x:c>
      <x:c r="CD20" s="64" t="str">
        <x:f t="shared" si="26"/>
        <x:v>빅데이터 시스템 구축</x:v>
      </x:c>
      <x:c r="CE20" s="64" t="str">
        <x:f t="shared" si="26"/>
        <x:v>빅데이터 시스템 구축</x:v>
      </x:c>
      <x:c r="CF20" s="64" t="str">
        <x:f t="shared" si="26"/>
        <x:v>빅데이터 시스템 구축</x:v>
      </x:c>
      <x:c r="CG20" s="64" t="str">
        <x:f t="shared" si="26"/>
        <x:v>빅데이터 시스템 구축</x:v>
      </x:c>
      <x:c r="CH20" s="64" t="str">
        <x:f t="shared" si="26"/>
        <x:v>빅데이터 시스템 구축</x:v>
      </x:c>
      <x:c r="CI20" s="64" t="str">
        <x:f t="shared" si="26"/>
        <x:v>빅데이터 시스템 구축</x:v>
      </x:c>
      <x:c r="CJ20" s="64" t="str">
        <x:f t="shared" si="26"/>
        <x:v>빅데이터 시스템 구축</x:v>
      </x:c>
      <x:c r="CK20" s="64" t="str">
        <x:f t="shared" si="26"/>
        <x:v>빅데이터 시스템 구축</x:v>
      </x:c>
      <x:c r="CL20" s="64" t="str">
        <x:f t="shared" si="26"/>
        <x:v>빅데이터 플랫폼 개발</x:v>
      </x:c>
      <x:c r="CM20" s="64" t="str">
        <x:f t="shared" si="26"/>
        <x:v>빅데이터 플랫폼 개발</x:v>
      </x:c>
      <x:c r="CN20" s="64" t="str">
        <x:f t="shared" si="26"/>
        <x:v>빅데이터 플랫폼 개발</x:v>
      </x:c>
      <x:c r="CO20" s="64" t="str">
        <x:f t="shared" si="26"/>
        <x:v>빅데이터 플랫폼 개발</x:v>
      </x:c>
      <x:c r="CP20" s="64" t="str">
        <x:f t="shared" si="26"/>
        <x:v>빅데이터 플랫폼 개발</x:v>
      </x:c>
      <x:c r="CQ20" s="64" t="str">
        <x:f t="shared" si="26"/>
        <x:v>빅데이터 플랫폼 개발</x:v>
      </x:c>
      <x:c r="CR20" s="64" t="str">
        <x:f t="shared" si="26"/>
        <x:v>빅데이터 플랫폼 개발</x:v>
      </x:c>
      <x:c r="CS20" s="64" t="str">
        <x:f t="shared" si="26"/>
        <x:v>Final 프로젝트</x:v>
      </x:c>
      <x:c r="CT20" s="64" t="str">
        <x:f t="shared" si="26"/>
        <x:v>Final 프로젝트</x:v>
      </x:c>
      <x:c r="CU20" s="64" t="str">
        <x:f t="shared" si="26"/>
        <x:v>Final 프로젝트</x:v>
      </x:c>
      <x:c r="CV20" s="64" t="str">
        <x:f t="shared" si="26"/>
        <x:v>Final 프로젝트</x:v>
      </x:c>
      <x:c r="CW20" s="64" t="str">
        <x:f t="shared" si="26"/>
        <x:v>Final 프로젝트</x:v>
      </x:c>
      <x:c r="CX20" s="64" t="str">
        <x:f t="shared" si="26"/>
        <x:v>Final 프로젝트</x:v>
      </x:c>
      <x:c r="CY20" s="64" t="str">
        <x:f t="shared" si="26"/>
        <x:v>Final 프로젝트</x:v>
      </x:c>
      <x:c r="CZ20" s="64" t="str">
        <x:f t="shared" si="26"/>
        <x:v>Final 프로젝트</x:v>
      </x:c>
      <x:c r="DA20" s="64" t="str">
        <x:f t="shared" si="26"/>
        <x:v>Final 프로젝트</x:v>
      </x:c>
      <x:c r="DB20" s="64" t="str">
        <x:f t="shared" si="26"/>
        <x:v>Final 프로젝트</x:v>
      </x:c>
      <x:c r="DC20" s="64" t="str">
        <x:f t="shared" si="26"/>
        <x:v/>
      </x:c>
      <x:c r="DD20" s="64" t="str">
        <x:f t="shared" si="26"/>
        <x:v/>
      </x:c>
      <x:c r="DE20" s="64" t="str">
        <x:f t="shared" si="26"/>
        <x:v/>
      </x:c>
      <x:c r="DF20" s="64" t="str">
        <x:f t="shared" si="26"/>
        <x:v>Final 프로젝트</x:v>
      </x:c>
      <x:c r="DG20" s="64" t="str">
        <x:f t="shared" si="26"/>
        <x:v>Final 프로젝트</x:v>
      </x:c>
      <x:c r="DH20" s="64" t="str">
        <x:f t="shared" si="26"/>
        <x:v>Final 프로젝트</x:v>
      </x:c>
      <x:c r="DI20" s="64" t="str">
        <x:f t="shared" si="26"/>
        <x:v>Final 프로젝트</x:v>
      </x:c>
      <x:c r="DJ20" s="64" t="str">
        <x:f t="shared" si="26"/>
        <x:v>Final 프로젝트</x:v>
      </x:c>
      <x:c r="DK20" s="64" t="str">
        <x:f t="shared" si="26"/>
        <x:v>Final 프로젝트</x:v>
      </x:c>
      <x:c r="DL20" s="64" t="str">
        <x:f t="shared" si="26"/>
        <x:v>Final 프로젝트</x:v>
      </x:c>
      <x:c r="DM20" s="64" t="str">
        <x:f t="shared" si="26"/>
        <x:v/>
      </x:c>
      <x:c r="DN20" s="64" t="str">
        <x:f t="shared" si="26"/>
        <x:v>Final 프로젝트</x:v>
      </x:c>
      <x:c r="DO20" s="64" t="str">
        <x:f t="shared" si="26"/>
        <x:v>Final 프로젝트</x:v>
      </x:c>
      <x:c r="DP20" s="64" t="str">
        <x:f t="shared" si="26"/>
        <x:v>Final 프로젝트</x:v>
      </x:c>
      <x:c r="DQ20" s="64" t="str">
        <x:f t="shared" si="26"/>
        <x:v>Final 프로젝트</x:v>
      </x:c>
      <x:c r="DR20" s="64" t="str">
        <x:f t="shared" si="26"/>
        <x:v>Final 프로젝트</x:v>
      </x:c>
      <x:c r="DS20" s="64" t="str">
        <x:f t="shared" si="26"/>
        <x:v>Final 프로젝트</x:v>
      </x:c>
      <x:c r="DT20" s="64" t="str">
        <x:f t="shared" si="26"/>
        <x:v>Final 프로젝트</x:v>
      </x:c>
      <x:c r="DU20" s="64" t="str">
        <x:f t="shared" si="26"/>
        <x:v>Final 프로젝트</x:v>
      </x:c>
      <x:c r="DV20" s="64" t="str">
        <x:f t="shared" si="26"/>
        <x:v>Final 프로젝트</x:v>
      </x:c>
      <x:c r="DW20" s="64" t="str">
        <x:f t="shared" si="26"/>
        <x:v>Final 프로젝트</x:v>
      </x:c>
      <x:c r="DX20" s="64" t="str">
        <x:f t="shared" si="26"/>
        <x:v>Final 프로젝트</x:v>
      </x:c>
      <x:c r="DY20" s="64" t="str">
        <x:f t="shared" si="26"/>
        <x:v>Final 프로젝트</x:v>
      </x:c>
      <x:c r="DZ20" s="64" t="str">
        <x:f t="shared" si="26"/>
        <x:v>Final 프로젝트</x:v>
      </x:c>
      <x:c r="EA20" s="64" t="str">
        <x:f t="shared" ref="EA20:EK20" si="27">EA19</x:f>
        <x:v>Final 프로젝트</x:v>
      </x:c>
      <x:c r="EB20" s="64" t="str">
        <x:f t="shared" si="27"/>
        <x:v>Final 프로젝트</x:v>
      </x:c>
      <x:c r="EC20" s="64" t="str">
        <x:f t="shared" si="27"/>
        <x:v>산업체특강 , 프로젝트 발표(시연), 수료식</x:v>
      </x:c>
      <x:c r="ED20" s="64" t="str">
        <x:f t="shared" si="27"/>
        <x:v>취업특강 및 모의면접</x:v>
      </x:c>
      <x:c r="EE20" s="64" t="str">
        <x:f t="shared" si="27"/>
        <x:v/>
      </x:c>
      <x:c r="EF20" s="64" t="str">
        <x:f t="shared" si="27"/>
        <x:v/>
      </x:c>
      <x:c r="EG20" s="64" t="str">
        <x:f t="shared" si="27"/>
        <x:v/>
      </x:c>
      <x:c r="EH20" s="64" t="str">
        <x:f t="shared" si="27"/>
        <x:v/>
      </x:c>
      <x:c r="EI20" s="64" t="str">
        <x:f t="shared" si="27"/>
        <x:v/>
      </x:c>
      <x:c r="EJ20" s="64" t="str">
        <x:f t="shared" si="27"/>
        <x:v/>
      </x:c>
      <x:c r="EK20" s="64" t="str">
        <x:f t="shared" si="27"/>
        <x:v/>
      </x:c>
      <x:c r="EL20" s="60" t="str">
        <x:f>EL19</x:f>
        <x:v/>
      </x:c>
      <x:c r="EM20" s="58" t="str">
        <x:f>EM19</x:f>
        <x:v/>
      </x:c>
      <x:c r="EN20" s="58" t="str">
        <x:f>EN19</x:f>
        <x:v/>
      </x:c>
      <x:c r="EO20" s="58" t="str">
        <x:f>EO19</x:f>
        <x:v/>
      </x:c>
      <x:c r="EP20" s="59" t="str">
        <x:f>EP19</x:f>
        <x:v/>
      </x:c>
    </x:row>
    <x:row r="21" spans="1:146" s="47" customFormat="1" ht="15" customHeight="1">
      <x:c r="A21" s="278"/>
      <x:c r="B21" s="65" t="str">
        <x:f>IF(OR(B4&lt;0,B4=A4,ISERROR(INDEX(세부시간표!$A$3:$L$1183,9*B4-5,11))),"",LEFT(INDEX(세부시간표!$A$3:$L$1183,9*B4-5,11),4))</x:f>
        <x:v>1교육실</x:v>
      </x:c>
      <x:c r="C21" s="65" t="str">
        <x:f>IF(OR(C4&lt;0,C4=B4,ISERROR(INDEX(세부시간표!$A$3:$L$1183,9*C4-5,11))),"",LEFT(INDEX(세부시간표!$A$3:$L$1183,9*C4-5,11),4))</x:f>
        <x:v>1교육실</x:v>
      </x:c>
      <x:c r="D21" s="65" t="str">
        <x:f>IF(OR(D4&lt;0,D4=C4,ISERROR(INDEX(세부시간표!$A$3:$L$1183,9*D4-5,11))),"",LEFT(INDEX(세부시간표!$A$3:$L$1183,9*D4-5,11),4))</x:f>
        <x:v>1교육실</x:v>
      </x:c>
      <x:c r="E21" s="65" t="str">
        <x:f>IF(OR(E4&lt;0,E4=D4,ISERROR(INDEX(세부시간표!$A$3:$L$1183,9*E4-5,11))),"",LEFT(INDEX(세부시간표!$A$3:$L$1183,9*E4-5,11),4))</x:f>
        <x:v>1교육실</x:v>
      </x:c>
      <x:c r="F21" s="65" t="str">
        <x:f>IF(OR(F4&lt;0,F4=E4,ISERROR(INDEX(세부시간표!$A$3:$L$1183,9*F4-5,11))),"",LEFT(INDEX(세부시간표!$A$3:$L$1183,9*F4-5,11),4))</x:f>
        <x:v>1교육실</x:v>
      </x:c>
      <x:c r="G21" s="65" t="str">
        <x:f>IF(OR(G4&lt;0,G4=F4,ISERROR(INDEX(세부시간표!$A$3:$L$1183,9*G4-5,11))),"",LEFT(INDEX(세부시간표!$A$3:$L$1183,9*G4-5,11),4))</x:f>
        <x:v>1교육실</x:v>
      </x:c>
      <x:c r="H21" s="65" t="str">
        <x:f>IF(OR(H4&lt;0,H4=G4,ISERROR(INDEX(세부시간표!$A$3:$L$1183,9*H4-5,11))),"",LEFT(INDEX(세부시간표!$A$3:$L$1183,9*H4-5,11),4))</x:f>
        <x:v>1교육실</x:v>
      </x:c>
      <x:c r="I21" s="65" t="str">
        <x:f>IF(OR(I4&lt;0,I4=H4,ISERROR(INDEX(세부시간표!$A$3:$L$1183,9*I4-5,11))),"",LEFT(INDEX(세부시간표!$A$3:$L$1183,9*I4-5,11),4))</x:f>
        <x:v>1교육실</x:v>
      </x:c>
      <x:c r="J21" s="65" t="str">
        <x:f>IF(OR(J4&lt;0,J4=I4,ISERROR(INDEX(세부시간표!$A$3:$L$1183,9*J4-5,11))),"",LEFT(INDEX(세부시간표!$A$3:$L$1183,9*J4-5,11),4))</x:f>
        <x:v>1교육실</x:v>
      </x:c>
      <x:c r="K21" s="65" t="str">
        <x:f>IF(OR(K4&lt;0,K4=J4,ISERROR(INDEX(세부시간표!$A$3:$L$1183,9*K4-5,11))),"",LEFT(INDEX(세부시간표!$A$3:$L$1183,9*K4-5,11),4))</x:f>
        <x:v/>
      </x:c>
      <x:c r="L21" s="65" t="str">
        <x:f>IF(OR(L4&lt;0,L4=K4,ISERROR(INDEX(세부시간표!$A$3:$L$1183,9*L4-5,11))),"",LEFT(INDEX(세부시간표!$A$3:$L$1183,9*L4-5,11),4))</x:f>
        <x:v/>
      </x:c>
      <x:c r="M21" s="65" t="str">
        <x:f>IF(OR(M4&lt;0,M4=L4,ISERROR(INDEX(세부시간표!$A$3:$L$1183,9*M4-5,11))),"",LEFT(INDEX(세부시간표!$A$3:$L$1183,9*M4-5,11),4))</x:f>
        <x:v/>
      </x:c>
      <x:c r="N21" s="65" t="str">
        <x:f>IF(OR(N4&lt;0,N4=M4,ISERROR(INDEX(세부시간표!$A$3:$L$1183,9*N4-5,11))),"",LEFT(INDEX(세부시간표!$A$3:$L$1183,9*N4-5,11),4))</x:f>
        <x:v/>
      </x:c>
      <x:c r="O21" s="65" t="str">
        <x:f>IF(OR(O4&lt;0,O4=N4,ISERROR(INDEX(세부시간표!$A$3:$L$1183,9*O4-5,11))),"",LEFT(INDEX(세부시간표!$A$3:$L$1183,9*O4-5,11),4))</x:f>
        <x:v/>
      </x:c>
      <x:c r="P21" s="65" t="str">
        <x:f>IF(OR(P4&lt;0,P4=O4,ISERROR(INDEX(세부시간표!$A$3:$L$1183,9*P4-5,11))),"",LEFT(INDEX(세부시간표!$A$3:$L$1183,9*P4-5,11),4))</x:f>
        <x:v>1교육실</x:v>
      </x:c>
      <x:c r="Q21" s="65" t="str">
        <x:f>IF(OR(Q4&lt;0,Q4=P4,ISERROR(INDEX(세부시간표!$A$3:$L$1183,9*Q4-5,11))),"",LEFT(INDEX(세부시간표!$A$3:$L$1183,9*Q4-5,11),4))</x:f>
        <x:v>1교육실</x:v>
      </x:c>
      <x:c r="R21" s="65" t="str">
        <x:f>IF(OR(R4&lt;0,R4=Q4,ISERROR(INDEX(세부시간표!$A$3:$L$1183,9*R4-5,11))),"",LEFT(INDEX(세부시간표!$A$3:$L$1183,9*R4-5,11),4))</x:f>
        <x:v>1교육실</x:v>
      </x:c>
      <x:c r="S21" s="65" t="str">
        <x:f>IF(OR(S4&lt;0,S4=R4,ISERROR(INDEX(세부시간표!$A$3:$L$1183,9*S4-5,11))),"",LEFT(INDEX(세부시간표!$A$3:$L$1183,9*S4-5,11),4))</x:f>
        <x:v>1교육실</x:v>
      </x:c>
      <x:c r="T21" s="65" t="str">
        <x:f>IF(OR(T4&lt;0,T4=S4,ISERROR(INDEX(세부시간표!$A$3:$L$1183,9*T4-5,11))),"",LEFT(INDEX(세부시간표!$A$3:$L$1183,9*T4-5,11),4))</x:f>
        <x:v>1교육실</x:v>
      </x:c>
      <x:c r="U21" s="65" t="str">
        <x:f>IF(OR(U4&lt;0,U4=T4,ISERROR(INDEX(세부시간표!$A$3:$L$1183,9*U4-5,11))),"",LEFT(INDEX(세부시간표!$A$3:$L$1183,9*U4-5,11),4))</x:f>
        <x:v>1교육실</x:v>
      </x:c>
      <x:c r="V21" s="65" t="str">
        <x:f>IF(OR(V4&lt;0,V4=U4,ISERROR(INDEX(세부시간표!$A$3:$L$1183,9*V4-5,11))),"",LEFT(INDEX(세부시간표!$A$3:$L$1183,9*V4-5,11),4))</x:f>
        <x:v>1교육실</x:v>
      </x:c>
      <x:c r="W21" s="65" t="str">
        <x:f>IF(OR(W4&lt;0,W4=V4,ISERROR(INDEX(세부시간표!$A$3:$L$1183,9*W4-5,11))),"",LEFT(INDEX(세부시간표!$A$3:$L$1183,9*W4-5,11),4))</x:f>
        <x:v>1교육실</x:v>
      </x:c>
      <x:c r="X21" s="65" t="str">
        <x:f>IF(OR(X4&lt;0,X4=W4,ISERROR(INDEX(세부시간표!$A$3:$L$1183,9*X4-5,11))),"",LEFT(INDEX(세부시간표!$A$3:$L$1183,9*X4-5,11),4))</x:f>
        <x:v>1교육실</x:v>
      </x:c>
      <x:c r="Y21" s="65" t="str">
        <x:f>IF(OR(Y4&lt;0,Y4=X4,ISERROR(INDEX(세부시간표!$A$3:$L$1183,9*Y4-5,11))),"",LEFT(INDEX(세부시간표!$A$3:$L$1183,9*Y4-5,11),4))</x:f>
        <x:v>1교육실</x:v>
      </x:c>
      <x:c r="Z21" s="65" t="str">
        <x:f>IF(OR(Z4&lt;0,Z4=Y4,ISERROR(INDEX(세부시간표!$A$3:$L$1183,9*Z4-5,11))),"",LEFT(INDEX(세부시간표!$A$3:$L$1183,9*Z4-5,11),4))</x:f>
        <x:v>1교육실</x:v>
      </x:c>
      <x:c r="AA21" s="65" t="str">
        <x:f>IF(OR(AA4&lt;0,AA4=Z4,ISERROR(INDEX(세부시간표!$A$3:$L$1183,9*AA4-5,11))),"",LEFT(INDEX(세부시간표!$A$3:$L$1183,9*AA4-5,11),4))</x:f>
        <x:v>1교육실</x:v>
      </x:c>
      <x:c r="AB21" s="65" t="str">
        <x:f>IF(OR(AB4&lt;0,AB4=AA4,ISERROR(INDEX(세부시간표!$A$3:$L$1183,9*AB4-5,11))),"",LEFT(INDEX(세부시간표!$A$3:$L$1183,9*AB4-5,11),4))</x:f>
        <x:v>1교육실</x:v>
      </x:c>
      <x:c r="AC21" s="65" t="str">
        <x:f>IF(OR(AC4&lt;0,AC4=AB4,ISERROR(INDEX(세부시간표!$A$3:$L$1183,9*AC4-5,11))),"",LEFT(INDEX(세부시간표!$A$3:$L$1183,9*AC4-5,11),4))</x:f>
        <x:v>1교육실</x:v>
      </x:c>
      <x:c r="AD21" s="65" t="str">
        <x:f>IF(OR(AD4&lt;0,AD4=AC4,ISERROR(INDEX(세부시간표!$A$3:$L$1183,9*AD4-5,11))),"",LEFT(INDEX(세부시간표!$A$3:$L$1183,9*AD4-5,11),4))</x:f>
        <x:v>1교육실</x:v>
      </x:c>
      <x:c r="AE21" s="65" t="str">
        <x:f>IF(OR(AE4&lt;0,AE4=AD4,ISERROR(INDEX(세부시간표!$A$3:$L$1183,9*AE4-5,11))),"",LEFT(INDEX(세부시간표!$A$3:$L$1183,9*AE4-5,11),4))</x:f>
        <x:v>1교육실</x:v>
      </x:c>
      <x:c r="AF21" s="65" t="str">
        <x:f>IF(OR(AF4&lt;0,AF4=AE4,ISERROR(INDEX(세부시간표!$A$3:$L$1183,9*AF4-5,11))),"",LEFT(INDEX(세부시간표!$A$3:$L$1183,9*AF4-5,11),4))</x:f>
        <x:v>1교육실</x:v>
      </x:c>
      <x:c r="AG21" s="65" t="str">
        <x:f>IF(OR(AG4&lt;0,AG4=AF4,ISERROR(INDEX(세부시간표!$A$3:$L$1183,9*AG4-5,11))),"",LEFT(INDEX(세부시간표!$A$3:$L$1183,9*AG4-5,11),4))</x:f>
        <x:v>1교육실</x:v>
      </x:c>
      <x:c r="AH21" s="65" t="str">
        <x:f>IF(OR(AH4&lt;0,AH4=AG4,ISERROR(INDEX(세부시간표!$A$3:$L$1183,9*AH4-5,11))),"",LEFT(INDEX(세부시간표!$A$3:$L$1183,9*AH4-5,11),4))</x:f>
        <x:v>1교육실</x:v>
      </x:c>
      <x:c r="AI21" s="65" t="str">
        <x:f>IF(OR(AI4&lt;0,AI4=AH4,ISERROR(INDEX(세부시간표!$A$3:$L$1183,9*AI4-5,11))),"",LEFT(INDEX(세부시간표!$A$3:$L$1183,9*AI4-5,11),4))</x:f>
        <x:v>1교육실</x:v>
      </x:c>
      <x:c r="AJ21" s="65" t="str">
        <x:f>IF(OR(AJ4&lt;0,AJ4=AI4,ISERROR(INDEX(세부시간표!$A$3:$L$1183,9*AJ4-5,11))),"",LEFT(INDEX(세부시간표!$A$3:$L$1183,9*AJ4-5,11),4))</x:f>
        <x:v>1교육실</x:v>
      </x:c>
      <x:c r="AK21" s="65" t="str">
        <x:f>IF(OR(AK4&lt;0,AK4=AJ4,ISERROR(INDEX(세부시간표!$A$3:$L$1183,9*AK4-5,11))),"",LEFT(INDEX(세부시간표!$A$3:$L$1183,9*AK4-5,11),4))</x:f>
        <x:v>1교육실</x:v>
      </x:c>
      <x:c r="AL21" s="65" t="str">
        <x:f>IF(OR(AL4&lt;0,AL4=AK4,ISERROR(INDEX(세부시간표!$A$3:$L$1183,9*AL4-5,11))),"",LEFT(INDEX(세부시간표!$A$3:$L$1183,9*AL4-5,11),4))</x:f>
        <x:v>1교육실</x:v>
      </x:c>
      <x:c r="AM21" s="65" t="str">
        <x:f>IF(OR(AM4&lt;0,AM4=AL4,ISERROR(INDEX(세부시간표!$A$3:$L$1183,9*AM4-5,11))),"",LEFT(INDEX(세부시간표!$A$3:$L$1183,9*AM4-5,11),4))</x:f>
        <x:v>1교육실</x:v>
      </x:c>
      <x:c r="AN21" s="65" t="str">
        <x:f>IF(OR(AN4&lt;0,AN4=AM4,ISERROR(INDEX(세부시간표!$A$3:$L$1183,9*AN4-5,11))),"",LEFT(INDEX(세부시간표!$A$3:$L$1183,9*AN4-5,11),4))</x:f>
        <x:v>1교육실</x:v>
      </x:c>
      <x:c r="AO21" s="65" t="str">
        <x:f>IF(OR(AO4&lt;0,AO4=AN4,ISERROR(INDEX(세부시간표!$A$3:$L$1183,9*AO4-5,11))),"",LEFT(INDEX(세부시간표!$A$3:$L$1183,9*AO4-5,11),4))</x:f>
        <x:v>1교육실</x:v>
      </x:c>
      <x:c r="AP21" s="65" t="str">
        <x:f>IF(OR(AP4&lt;0,AP4=AO4,ISERROR(INDEX(세부시간표!$A$3:$L$1183,9*AP4-5,11))),"",LEFT(INDEX(세부시간표!$A$3:$L$1183,9*AP4-5,11),4))</x:f>
        <x:v>1교육실</x:v>
      </x:c>
      <x:c r="AQ21" s="65" t="str">
        <x:f>IF(OR(AQ4&lt;0,AQ4=AP4,ISERROR(INDEX(세부시간표!$A$3:$L$1183,9*AQ4-5,11))),"",LEFT(INDEX(세부시간표!$A$3:$L$1183,9*AQ4-5,11),4))</x:f>
        <x:v>1교육실</x:v>
      </x:c>
      <x:c r="AR21" s="65" t="str">
        <x:f>IF(OR(AR4&lt;0,AR4=AQ4,ISERROR(INDEX(세부시간표!$A$3:$L$1183,9*AR4-5,11))),"",LEFT(INDEX(세부시간표!$A$3:$L$1183,9*AR4-5,11),4))</x:f>
        <x:v>1교육실</x:v>
      </x:c>
      <x:c r="AS21" s="65" t="str">
        <x:f>IF(OR(AS4&lt;0,AS4=AR4,ISERROR(INDEX(세부시간표!$A$3:$L$1183,9*AS4-5,11))),"",LEFT(INDEX(세부시간표!$A$3:$L$1183,9*AS4-5,11),4))</x:f>
        <x:v>1교육실</x:v>
      </x:c>
      <x:c r="AT21" s="65" t="str">
        <x:f>IF(OR(AT4&lt;0,AT4=AS4,ISERROR(INDEX(세부시간표!$A$3:$L$1183,9*AT4-5,11))),"",LEFT(INDEX(세부시간표!$A$3:$L$1183,9*AT4-5,11),4))</x:f>
        <x:v>1교육실</x:v>
      </x:c>
      <x:c r="AU21" s="65" t="str">
        <x:f>IF(OR(AU4&lt;0,AU4=AT4,ISERROR(INDEX(세부시간표!$A$3:$L$1183,9*AU4-5,11))),"",LEFT(INDEX(세부시간표!$A$3:$L$1183,9*AU4-5,11),4))</x:f>
        <x:v>1교육실</x:v>
      </x:c>
      <x:c r="AV21" s="65" t="str">
        <x:f>IF(OR(AV4&lt;0,AV4=AU4,ISERROR(INDEX(세부시간표!$A$3:$L$1183,9*AV4-5,11))),"",LEFT(INDEX(세부시간표!$A$3:$L$1183,9*AV4-5,11),4))</x:f>
        <x:v>1교육실</x:v>
      </x:c>
      <x:c r="AW21" s="65" t="str">
        <x:f>IF(OR(AW4&lt;0,AW4=AV4,ISERROR(INDEX(세부시간표!$A$3:$L$1183,9*AW4-5,11))),"",LEFT(INDEX(세부시간표!$A$3:$L$1183,9*AW4-5,11),4))</x:f>
        <x:v>1교육실</x:v>
      </x:c>
      <x:c r="AX21" s="65" t="str">
        <x:f>IF(OR(AX4&lt;0,AX4=AW4,ISERROR(INDEX(세부시간표!$A$3:$L$1183,9*AX4-5,11))),"",LEFT(INDEX(세부시간표!$A$3:$L$1183,9*AX4-5,11),4))</x:f>
        <x:v>1교육실</x:v>
      </x:c>
      <x:c r="AY21" s="65" t="str">
        <x:f>IF(OR(AY4&lt;0,AY4=AX4,ISERROR(INDEX(세부시간표!$A$3:$L$1183,9*AY4-5,11))),"",LEFT(INDEX(세부시간표!$A$3:$L$1183,9*AY4-5,11),4))</x:f>
        <x:v>1교육실</x:v>
      </x:c>
      <x:c r="AZ21" s="65" t="str">
        <x:f>IF(OR(AZ4&lt;0,AZ4=AY4,ISERROR(INDEX(세부시간표!$A$3:$L$1183,9*AZ4-5,11))),"",LEFT(INDEX(세부시간표!$A$3:$L$1183,9*AZ4-5,11),4))</x:f>
        <x:v>1교육실</x:v>
      </x:c>
      <x:c r="BA21" s="65" t="str">
        <x:f>IF(OR(BA4&lt;0,BA4=AZ4,ISERROR(INDEX(세부시간표!$A$3:$L$1183,9*BA4-5,11))),"",LEFT(INDEX(세부시간표!$A$3:$L$1183,9*BA4-5,11),4))</x:f>
        <x:v>1교육실</x:v>
      </x:c>
      <x:c r="BB21" s="65" t="str">
        <x:f>IF(OR(BB4&lt;0,BB4=BA4,ISERROR(INDEX(세부시간표!$A$3:$L$1183,9*BB4-5,11))),"",LEFT(INDEX(세부시간표!$A$3:$L$1183,9*BB4-5,11),4))</x:f>
        <x:v>1교육실</x:v>
      </x:c>
      <x:c r="BC21" s="65" t="str">
        <x:f>IF(OR(BC4&lt;0,BC4=BB4,ISERROR(INDEX(세부시간표!$A$3:$L$1183,9*BC4-5,11))),"",LEFT(INDEX(세부시간표!$A$3:$L$1183,9*BC4-5,11),4))</x:f>
        <x:v>1교육실</x:v>
      </x:c>
      <x:c r="BD21" s="65" t="str">
        <x:f>IF(OR(BD4&lt;0,BD4=BC4,ISERROR(INDEX(세부시간표!$A$3:$L$1183,9*BD4-5,11))),"",LEFT(INDEX(세부시간표!$A$3:$L$1183,9*BD4-5,11),4))</x:f>
        <x:v>1교육실</x:v>
      </x:c>
      <x:c r="BE21" s="65" t="str">
        <x:f>IF(OR(BE4&lt;0,BE4=BD4,ISERROR(INDEX(세부시간표!$A$3:$L$1183,9*BE4-5,11))),"",LEFT(INDEX(세부시간표!$A$3:$L$1183,9*BE4-5,11),4))</x:f>
        <x:v>1교육실</x:v>
      </x:c>
      <x:c r="BF21" s="65" t="str">
        <x:f>IF(OR(BF4&lt;0,BF4=BE4,ISERROR(INDEX(세부시간표!$A$3:$L$1183,9*BF4-5,11))),"",LEFT(INDEX(세부시간표!$A$3:$L$1183,9*BF4-5,11),4))</x:f>
        <x:v>1교육실</x:v>
      </x:c>
      <x:c r="BG21" s="65" t="str">
        <x:f>IF(OR(BG4&lt;0,BG4=BF4,ISERROR(INDEX(세부시간표!$A$3:$L$1183,9*BG4-5,11))),"",LEFT(INDEX(세부시간표!$A$3:$L$1183,9*BG4-5,11),4))</x:f>
        <x:v>1교육실</x:v>
      </x:c>
      <x:c r="BH21" s="65" t="str">
        <x:f>IF(OR(BH4&lt;0,BH4=BG4,ISERROR(INDEX(세부시간표!$A$3:$L$1183,9*BH4-5,11))),"",LEFT(INDEX(세부시간표!$A$3:$L$1183,9*BH4-5,11),4))</x:f>
        <x:v>1교육실</x:v>
      </x:c>
      <x:c r="BI21" s="65" t="str">
        <x:f>IF(OR(BI4&lt;0,BI4=BH4,ISERROR(INDEX(세부시간표!$A$3:$L$1183,9*BI4-5,11))),"",LEFT(INDEX(세부시간표!$A$3:$L$1183,9*BI4-5,11),4))</x:f>
        <x:v>1교육실</x:v>
      </x:c>
      <x:c r="BJ21" s="65" t="str">
        <x:f>IF(OR(BJ4&lt;0,BJ4=BI4,ISERROR(INDEX(세부시간표!$A$3:$L$1183,9*BJ4-5,11))),"",LEFT(INDEX(세부시간표!$A$3:$L$1183,9*BJ4-5,11),4))</x:f>
        <x:v>1교육실</x:v>
      </x:c>
      <x:c r="BK21" s="65" t="str">
        <x:f>IF(OR(BK4&lt;0,BK4=BJ4,ISERROR(INDEX(세부시간표!$A$3:$L$1183,9*BK4-5,11))),"",LEFT(INDEX(세부시간표!$A$3:$L$1183,9*BK4-5,11),4))</x:f>
        <x:v>1교육실</x:v>
      </x:c>
      <x:c r="BL21" s="65" t="str">
        <x:f>IF(OR(BL4&lt;0,BL4=BK4,ISERROR(INDEX(세부시간표!$A$3:$L$1183,9*BL4-5,11))),"",LEFT(INDEX(세부시간표!$A$3:$L$1183,9*BL4-5,11),4))</x:f>
        <x:v>1교육실</x:v>
      </x:c>
      <x:c r="BM21" s="65" t="str">
        <x:f>IF(OR(BM4&lt;0,BM4=BL4,ISERROR(INDEX(세부시간표!$A$3:$L$1183,9*BM4-5,11))),"",LEFT(INDEX(세부시간표!$A$3:$L$1183,9*BM4-5,11),4))</x:f>
        <x:v>1교육실</x:v>
      </x:c>
      <x:c r="BN21" s="65" t="str">
        <x:f>IF(OR(BN4&lt;0,BN4=BM4,ISERROR(INDEX(세부시간표!$A$3:$L$1183,9*BN4-5,11))),"",LEFT(INDEX(세부시간표!$A$3:$L$1183,9*BN4-5,11),4))</x:f>
        <x:v>1교육실</x:v>
      </x:c>
      <x:c r="BO21" s="65" t="str">
        <x:f>IF(OR(BO4&lt;0,BO4=BN4,ISERROR(INDEX(세부시간표!$A$3:$L$1183,9*BO4-5,11))),"",LEFT(INDEX(세부시간표!$A$3:$L$1183,9*BO4-5,11),4))</x:f>
        <x:v>1교육실</x:v>
      </x:c>
      <x:c r="BP21" s="65" t="str">
        <x:f>IF(OR(BP4&lt;0,BP4=BO4,ISERROR(INDEX(세부시간표!$A$3:$L$1183,9*BP4-5,11))),"",LEFT(INDEX(세부시간표!$A$3:$L$1183,9*BP4-5,11),4))</x:f>
        <x:v>1교육실</x:v>
      </x:c>
      <x:c r="BQ21" s="65" t="str">
        <x:f>IF(OR(BQ4&lt;0,BQ4=BP4,ISERROR(INDEX(세부시간표!$A$3:$L$1183,9*BQ4-5,11))),"",LEFT(INDEX(세부시간표!$A$3:$L$1183,9*BQ4-5,11),4))</x:f>
        <x:v>1교육실</x:v>
      </x:c>
      <x:c r="BR21" s="65" t="str">
        <x:f>IF(OR(BR4&lt;0,BR4=BQ4,ISERROR(INDEX(세부시간표!$A$3:$L$1183,9*BR4-5,11))),"",LEFT(INDEX(세부시간표!$A$3:$L$1183,9*BR4-5,11),4))</x:f>
        <x:v/>
      </x:c>
      <x:c r="BS21" s="65" t="str">
        <x:f>IF(OR(BS4&lt;0,BS4=BR4,ISERROR(INDEX(세부시간표!$A$3:$L$1183,9*BS4-5,11))),"",LEFT(INDEX(세부시간표!$A$3:$L$1183,9*BS4-5,11),4))</x:f>
        <x:v>1교육실</x:v>
      </x:c>
      <x:c r="BT21" s="65" t="str">
        <x:f>IF(OR(BT4&lt;0,BT4=BS4,ISERROR(INDEX(세부시간표!$A$3:$L$1183,9*BT4-5,11))),"",LEFT(INDEX(세부시간표!$A$3:$L$1183,9*BT4-5,11),4))</x:f>
        <x:v>1교육실</x:v>
      </x:c>
      <x:c r="BU21" s="65" t="str">
        <x:f>IF(OR(BU4&lt;0,BU4=BT4,ISERROR(INDEX(세부시간표!$A$3:$L$1183,9*BU4-5,11))),"",LEFT(INDEX(세부시간표!$A$3:$L$1183,9*BU4-5,11),4))</x:f>
        <x:v>1교육실</x:v>
      </x:c>
      <x:c r="BV21" s="65" t="str">
        <x:f>IF(OR(BV4&lt;0,BV4=BU4,ISERROR(INDEX(세부시간표!$A$3:$L$1183,9*BV4-5,11))),"",LEFT(INDEX(세부시간표!$A$3:$L$1183,9*BV4-5,11),4))</x:f>
        <x:v>1교육실</x:v>
      </x:c>
      <x:c r="BW21" s="65" t="str">
        <x:f>IF(OR(BW4&lt;0,BW4=BV4,ISERROR(INDEX(세부시간표!$A$3:$L$1183,9*BW4-5,11))),"",LEFT(INDEX(세부시간표!$A$3:$L$1183,9*BW4-5,11),4))</x:f>
        <x:v/>
      </x:c>
      <x:c r="BX21" s="65" t="str">
        <x:f>IF(OR(BX4&lt;0,BX4=BW4,ISERROR(INDEX(세부시간표!$A$3:$L$1183,9*BX4-5,11))),"",LEFT(INDEX(세부시간표!$A$3:$L$1183,9*BX4-5,11),4))</x:f>
        <x:v>1교육실</x:v>
      </x:c>
      <x:c r="BY21" s="65" t="str">
        <x:f>IF(OR(BY4&lt;0,BY4=BX4,ISERROR(INDEX(세부시간표!$A$3:$L$1183,9*BY4-5,11))),"",LEFT(INDEX(세부시간표!$A$3:$L$1183,9*BY4-5,11),4))</x:f>
        <x:v>1교육실</x:v>
      </x:c>
      <x:c r="BZ21" s="65" t="str">
        <x:f>IF(OR(BZ4&lt;0,BZ4=BY4,ISERROR(INDEX(세부시간표!$A$3:$L$1183,9*BZ4-5,11))),"",LEFT(INDEX(세부시간표!$A$3:$L$1183,9*BZ4-5,11),4))</x:f>
        <x:v>1교육실</x:v>
      </x:c>
      <x:c r="CA21" s="65" t="str">
        <x:f>IF(OR(CA4&lt;0,CA4=BZ4,ISERROR(INDEX(세부시간표!$A$3:$L$1183,9*CA4-5,11))),"",LEFT(INDEX(세부시간표!$A$3:$L$1183,9*CA4-5,11),4))</x:f>
        <x:v>1교육실</x:v>
      </x:c>
      <x:c r="CB21" s="65" t="str">
        <x:f>IF(OR(CB4&lt;0,CB4=CA4,ISERROR(INDEX(세부시간표!$A$3:$L$1183,9*CB4-5,11))),"",LEFT(INDEX(세부시간표!$A$3:$L$1183,9*CB4-5,11),4))</x:f>
        <x:v>1교육실</x:v>
      </x:c>
      <x:c r="CC21" s="65" t="str">
        <x:f>IF(OR(CC4&lt;0,CC4=CB4,ISERROR(INDEX(세부시간표!$A$3:$L$1183,9*CC4-5,11))),"",LEFT(INDEX(세부시간표!$A$3:$L$1183,9*CC4-5,11),4))</x:f>
        <x:v>1교육실</x:v>
      </x:c>
      <x:c r="CD21" s="65" t="str">
        <x:f>IF(OR(CD4&lt;0,CD4=CC4,ISERROR(INDEX(세부시간표!$A$3:$L$1183,9*CD4-5,11))),"",LEFT(INDEX(세부시간표!$A$3:$L$1183,9*CD4-5,11),4))</x:f>
        <x:v>1교육실</x:v>
      </x:c>
      <x:c r="CE21" s="65" t="str">
        <x:f>IF(OR(CE4&lt;0,CE4=CD4,ISERROR(INDEX(세부시간표!$A$3:$L$1183,9*CE4-5,11))),"",LEFT(INDEX(세부시간표!$A$3:$L$1183,9*CE4-5,11),4))</x:f>
        <x:v>1교육실</x:v>
      </x:c>
      <x:c r="CF21" s="65" t="str">
        <x:f>IF(OR(CF4&lt;0,CF4=CE4,ISERROR(INDEX(세부시간표!$A$3:$L$1183,9*CF4-5,11))),"",LEFT(INDEX(세부시간표!$A$3:$L$1183,9*CF4-5,11),4))</x:f>
        <x:v>1교육실</x:v>
      </x:c>
      <x:c r="CG21" s="65" t="str">
        <x:f>IF(OR(CG4&lt;0,CG4=CF4,ISERROR(INDEX(세부시간표!$A$3:$L$1183,9*CG4-5,11))),"",LEFT(INDEX(세부시간표!$A$3:$L$1183,9*CG4-5,11),4))</x:f>
        <x:v>1교육실</x:v>
      </x:c>
      <x:c r="CH21" s="65" t="str">
        <x:f>IF(OR(CH4&lt;0,CH4=CG4,ISERROR(INDEX(세부시간표!$A$3:$L$1183,9*CH4-5,11))),"",LEFT(INDEX(세부시간표!$A$3:$L$1183,9*CH4-5,11),4))</x:f>
        <x:v>1교육실</x:v>
      </x:c>
      <x:c r="CI21" s="65" t="str">
        <x:f>IF(OR(CI4&lt;0,CI4=CH4,ISERROR(INDEX(세부시간표!$A$3:$L$1183,9*CI4-5,11))),"",LEFT(INDEX(세부시간표!$A$3:$L$1183,9*CI4-5,11),4))</x:f>
        <x:v>1교육실</x:v>
      </x:c>
      <x:c r="CJ21" s="65" t="str">
        <x:f>IF(OR(CJ4&lt;0,CJ4=CI4,ISERROR(INDEX(세부시간표!$A$3:$L$1183,9*CJ4-5,11))),"",LEFT(INDEX(세부시간표!$A$3:$L$1183,9*CJ4-5,11),4))</x:f>
        <x:v>1교육실</x:v>
      </x:c>
      <x:c r="CK21" s="65" t="str">
        <x:f>IF(OR(CK4&lt;0,CK4=CJ4,ISERROR(INDEX(세부시간표!$A$3:$L$1183,9*CK4-5,11))),"",LEFT(INDEX(세부시간표!$A$3:$L$1183,9*CK4-5,11),4))</x:f>
        <x:v>1교육실</x:v>
      </x:c>
      <x:c r="CL21" s="65" t="str">
        <x:f>IF(OR(CL4&lt;0,CL4=CK4,ISERROR(INDEX(세부시간표!$A$3:$L$1183,9*CL4-5,11))),"",LEFT(INDEX(세부시간표!$A$3:$L$1183,9*CL4-5,11),4))</x:f>
        <x:v>1교육실</x:v>
      </x:c>
      <x:c r="CM21" s="65" t="str">
        <x:f>IF(OR(CM4&lt;0,CM4=CL4,ISERROR(INDEX(세부시간표!$A$3:$L$1183,9*CM4-5,11))),"",LEFT(INDEX(세부시간표!$A$3:$L$1183,9*CM4-5,11),4))</x:f>
        <x:v>1교육실</x:v>
      </x:c>
      <x:c r="CN21" s="65" t="str">
        <x:f>IF(OR(CN4&lt;0,CN4=CM4,ISERROR(INDEX(세부시간표!$A$3:$L$1183,9*CN4-5,11))),"",LEFT(INDEX(세부시간표!$A$3:$L$1183,9*CN4-5,11),4))</x:f>
        <x:v>1교육실</x:v>
      </x:c>
      <x:c r="CO21" s="65" t="str">
        <x:f>IF(OR(CO4&lt;0,CO4=CN4,ISERROR(INDEX(세부시간표!$A$3:$L$1183,9*CO4-5,11))),"",LEFT(INDEX(세부시간표!$A$3:$L$1183,9*CO4-5,11),4))</x:f>
        <x:v>1교육실</x:v>
      </x:c>
      <x:c r="CP21" s="65" t="str">
        <x:f>IF(OR(CP4&lt;0,CP4=CO4,ISERROR(INDEX(세부시간표!$A$3:$L$1183,9*CP4-5,11))),"",LEFT(INDEX(세부시간표!$A$3:$L$1183,9*CP4-5,11),4))</x:f>
        <x:v>1교육실</x:v>
      </x:c>
      <x:c r="CQ21" s="65" t="str">
        <x:f>IF(OR(CQ4&lt;0,CQ4=CP4,ISERROR(INDEX(세부시간표!$A$3:$L$1183,9*CQ4-5,11))),"",LEFT(INDEX(세부시간표!$A$3:$L$1183,9*CQ4-5,11),4))</x:f>
        <x:v>1교육실</x:v>
      </x:c>
      <x:c r="CR21" s="65" t="str">
        <x:f>IF(OR(CR4&lt;0,CR4=CQ4,ISERROR(INDEX(세부시간표!$A$3:$L$1183,9*CR4-5,11))),"",LEFT(INDEX(세부시간표!$A$3:$L$1183,9*CR4-5,11),4))</x:f>
        <x:v>1교육실</x:v>
      </x:c>
      <x:c r="CS21" s="65" t="str">
        <x:f>IF(OR(CS4&lt;0,CS4=CR4,ISERROR(INDEX(세부시간표!$A$3:$L$1183,9*CS4-5,11))),"",LEFT(INDEX(세부시간표!$A$3:$L$1183,9*CS4-5,11),4))</x:f>
        <x:v>1교육실</x:v>
      </x:c>
      <x:c r="CT21" s="65" t="str">
        <x:f>IF(OR(CT4&lt;0,CT4=CS4,ISERROR(INDEX(세부시간표!$A$3:$L$1183,9*CT4-5,11))),"",LEFT(INDEX(세부시간표!$A$3:$L$1183,9*CT4-5,11),4))</x:f>
        <x:v>1교육실</x:v>
      </x:c>
      <x:c r="CU21" s="65" t="str">
        <x:f>IF(OR(CU4&lt;0,CU4=CT4,ISERROR(INDEX(세부시간표!$A$3:$L$1183,9*CU4-5,11))),"",LEFT(INDEX(세부시간표!$A$3:$L$1183,9*CU4-5,11),4))</x:f>
        <x:v>1교육실</x:v>
      </x:c>
      <x:c r="CV21" s="65" t="str">
        <x:f>IF(OR(CV4&lt;0,CV4=CU4,ISERROR(INDEX(세부시간표!$A$3:$L$1183,9*CV4-5,11))),"",LEFT(INDEX(세부시간표!$A$3:$L$1183,9*CV4-5,11),4))</x:f>
        <x:v>1교육실</x:v>
      </x:c>
      <x:c r="CW21" s="65" t="str">
        <x:f>IF(OR(CW4&lt;0,CW4=CV4,ISERROR(INDEX(세부시간표!$A$3:$L$1183,9*CW4-5,11))),"",LEFT(INDEX(세부시간표!$A$3:$L$1183,9*CW4-5,11),4))</x:f>
        <x:v>1교육실</x:v>
      </x:c>
      <x:c r="CX21" s="65" t="str">
        <x:f>IF(OR(CX4&lt;0,CX4=CW4,ISERROR(INDEX(세부시간표!$A$3:$L$1183,9*CX4-5,11))),"",LEFT(INDEX(세부시간표!$A$3:$L$1183,9*CX4-5,11),4))</x:f>
        <x:v>1교육실</x:v>
      </x:c>
      <x:c r="CY21" s="65" t="str">
        <x:f>IF(OR(CY4&lt;0,CY4=CX4,ISERROR(INDEX(세부시간표!$A$3:$L$1183,9*CY4-5,11))),"",LEFT(INDEX(세부시간표!$A$3:$L$1183,9*CY4-5,11),4))</x:f>
        <x:v>1교육실</x:v>
      </x:c>
      <x:c r="CZ21" s="65" t="str">
        <x:f>IF(OR(CZ4&lt;0,CZ4=CY4,ISERROR(INDEX(세부시간표!$A$3:$L$1183,9*CZ4-5,11))),"",LEFT(INDEX(세부시간표!$A$3:$L$1183,9*CZ4-5,11),4))</x:f>
        <x:v>1교육실</x:v>
      </x:c>
      <x:c r="DA21" s="65" t="str">
        <x:f>IF(OR(DA4&lt;0,DA4=CZ4,ISERROR(INDEX(세부시간표!$A$3:$L$1183,9*DA4-5,11))),"",LEFT(INDEX(세부시간표!$A$3:$L$1183,9*DA4-5,11),4))</x:f>
        <x:v>1교육실</x:v>
      </x:c>
      <x:c r="DB21" s="65" t="str">
        <x:f>IF(OR(DB4&lt;0,DB4=DA4,ISERROR(INDEX(세부시간표!$A$3:$L$1183,9*DB4-5,11))),"",LEFT(INDEX(세부시간표!$A$3:$L$1183,9*DB4-5,11),4))</x:f>
        <x:v>1교육실</x:v>
      </x:c>
      <x:c r="DC21" s="65" t="str">
        <x:f>IF(OR(DC4&lt;0,DC4=DB4,ISERROR(INDEX(세부시간표!$A$3:$L$1183,9*DC4-5,11))),"",LEFT(INDEX(세부시간표!$A$3:$L$1183,9*DC4-5,11),4))</x:f>
        <x:v/>
      </x:c>
      <x:c r="DD21" s="65" t="str">
        <x:f>IF(OR(DD4&lt;0,DD4=DC4,ISERROR(INDEX(세부시간표!$A$3:$L$1183,9*DD4-5,11))),"",LEFT(INDEX(세부시간표!$A$3:$L$1183,9*DD4-5,11),4))</x:f>
        <x:v/>
      </x:c>
      <x:c r="DE21" s="65" t="str">
        <x:f>IF(OR(DE4&lt;0,DE4=DD4,ISERROR(INDEX(세부시간표!$A$3:$L$1183,9*DE4-5,11))),"",LEFT(INDEX(세부시간표!$A$3:$L$1183,9*DE4-5,11),4))</x:f>
        <x:v/>
      </x:c>
      <x:c r="DF21" s="65" t="str">
        <x:f>IF(OR(DF4&lt;0,DF4=DE4,ISERROR(INDEX(세부시간표!$A$3:$L$1183,9*DF4-5,11))),"",LEFT(INDEX(세부시간표!$A$3:$L$1183,9*DF4-5,11),4))</x:f>
        <x:v>1교육실</x:v>
      </x:c>
      <x:c r="DG21" s="65" t="str">
        <x:f>IF(OR(DG4&lt;0,DG4=DF4,ISERROR(INDEX(세부시간표!$A$3:$L$1183,9*DG4-5,11))),"",LEFT(INDEX(세부시간표!$A$3:$L$1183,9*DG4-5,11),4))</x:f>
        <x:v>1교육실</x:v>
      </x:c>
      <x:c r="DH21" s="65" t="str">
        <x:f>IF(OR(DH4&lt;0,DH4=DG4,ISERROR(INDEX(세부시간표!$A$3:$L$1183,9*DH4-5,11))),"",LEFT(INDEX(세부시간표!$A$3:$L$1183,9*DH4-5,11),4))</x:f>
        <x:v>1교육실</x:v>
      </x:c>
      <x:c r="DI21" s="65" t="str">
        <x:f>IF(OR(DI4&lt;0,DI4=DH4,ISERROR(INDEX(세부시간표!$A$3:$L$1183,9*DI4-5,11))),"",LEFT(INDEX(세부시간표!$A$3:$L$1183,9*DI4-5,11),4))</x:f>
        <x:v>1교육실</x:v>
      </x:c>
      <x:c r="DJ21" s="65" t="str">
        <x:f>IF(OR(DJ4&lt;0,DJ4=DI4,ISERROR(INDEX(세부시간표!$A$3:$L$1183,9*DJ4-5,11))),"",LEFT(INDEX(세부시간표!$A$3:$L$1183,9*DJ4-5,11),4))</x:f>
        <x:v>1교육실</x:v>
      </x:c>
      <x:c r="DK21" s="65" t="str">
        <x:f>IF(OR(DK4&lt;0,DK4=DJ4,ISERROR(INDEX(세부시간표!$A$3:$L$1183,9*DK4-5,11))),"",LEFT(INDEX(세부시간표!$A$3:$L$1183,9*DK4-5,11),4))</x:f>
        <x:v>1교육실</x:v>
      </x:c>
      <x:c r="DL21" s="65" t="str">
        <x:f>IF(OR(DL4&lt;0,DL4=DK4,ISERROR(INDEX(세부시간표!$A$3:$L$1183,9*DL4-5,11))),"",LEFT(INDEX(세부시간표!$A$3:$L$1183,9*DL4-5,11),4))</x:f>
        <x:v>1교육실</x:v>
      </x:c>
      <x:c r="DM21" s="65" t="str">
        <x:f>IF(OR(DM4&lt;0,DM4=DL4,ISERROR(INDEX(세부시간표!$A$3:$L$1183,9*DM4-5,11))),"",LEFT(INDEX(세부시간표!$A$3:$L$1183,9*DM4-5,11),4))</x:f>
        <x:v/>
      </x:c>
      <x:c r="DN21" s="65" t="str">
        <x:f>IF(OR(DN4&lt;0,DN4=DM4,ISERROR(INDEX(세부시간표!$A$3:$L$1183,9*DN4-5,11))),"",LEFT(INDEX(세부시간표!$A$3:$L$1183,9*DN4-5,11),4))</x:f>
        <x:v>1교육실</x:v>
      </x:c>
      <x:c r="DO21" s="65" t="str">
        <x:f>IF(OR(DO4&lt;0,DO4=DN4,ISERROR(INDEX(세부시간표!$A$3:$L$1183,9*DO4-5,11))),"",LEFT(INDEX(세부시간표!$A$3:$L$1183,9*DO4-5,11),4))</x:f>
        <x:v>1교육실</x:v>
      </x:c>
      <x:c r="DP21" s="65" t="str">
        <x:f>IF(OR(DP4&lt;0,DP4=DO4,ISERROR(INDEX(세부시간표!$A$3:$L$1183,9*DP4-5,11))),"",LEFT(INDEX(세부시간표!$A$3:$L$1183,9*DP4-5,11),4))</x:f>
        <x:v>1교육실</x:v>
      </x:c>
      <x:c r="DQ21" s="65" t="str">
        <x:f>IF(OR(DQ4&lt;0,DQ4=DP4,ISERROR(INDEX(세부시간표!$A$3:$L$1183,9*DQ4-5,11))),"",LEFT(INDEX(세부시간표!$A$3:$L$1183,9*DQ4-5,11),4))</x:f>
        <x:v>1교육실</x:v>
      </x:c>
      <x:c r="DR21" s="65" t="str">
        <x:f>IF(OR(DR4&lt;0,DR4=DQ4,ISERROR(INDEX(세부시간표!$A$3:$L$1183,9*DR4-5,11))),"",LEFT(INDEX(세부시간표!$A$3:$L$1183,9*DR4-5,11),4))</x:f>
        <x:v>1교육실</x:v>
      </x:c>
      <x:c r="DS21" s="65" t="str">
        <x:f>IF(OR(DS4&lt;0,DS4=DR4,ISERROR(INDEX(세부시간표!$A$3:$L$1183,9*DS4-5,11))),"",LEFT(INDEX(세부시간표!$A$3:$L$1183,9*DS4-5,11),4))</x:f>
        <x:v>1교육실</x:v>
      </x:c>
      <x:c r="DT21" s="65" t="str">
        <x:f>IF(OR(DT4&lt;0,DT4=DS4,ISERROR(INDEX(세부시간표!$A$3:$L$1183,9*DT4-5,11))),"",LEFT(INDEX(세부시간표!$A$3:$L$1183,9*DT4-5,11),4))</x:f>
        <x:v>1교육실</x:v>
      </x:c>
      <x:c r="DU21" s="65" t="str">
        <x:f>IF(OR(DU4&lt;0,DU4=DT4,ISERROR(INDEX(세부시간표!$A$3:$L$1183,9*DU4-5,11))),"",LEFT(INDEX(세부시간표!$A$3:$L$1183,9*DU4-5,11),4))</x:f>
        <x:v>1교육실</x:v>
      </x:c>
      <x:c r="DV21" s="65" t="str">
        <x:f>IF(OR(DV4&lt;0,DV4=DU4,ISERROR(INDEX(세부시간표!$A$3:$L$1183,9*DV4-5,11))),"",LEFT(INDEX(세부시간표!$A$3:$L$1183,9*DV4-5,11),4))</x:f>
        <x:v>1교육실</x:v>
      </x:c>
      <x:c r="DW21" s="65" t="str">
        <x:f>IF(OR(DW4&lt;0,DW4=DV4,ISERROR(INDEX(세부시간표!$A$3:$L$1183,9*DW4-5,11))),"",LEFT(INDEX(세부시간표!$A$3:$L$1183,9*DW4-5,11),4))</x:f>
        <x:v>1교육실</x:v>
      </x:c>
      <x:c r="DX21" s="65" t="str">
        <x:f>IF(OR(DX4&lt;0,DX4=DW4,ISERROR(INDEX(세부시간표!$A$3:$L$1183,9*DX4-5,11))),"",LEFT(INDEX(세부시간표!$A$3:$L$1183,9*DX4-5,11),4))</x:f>
        <x:v>1교육실</x:v>
      </x:c>
      <x:c r="DY21" s="65" t="str">
        <x:f>IF(OR(DY4&lt;0,DY4=DX4,ISERROR(INDEX(세부시간표!$A$3:$L$1183,9*DY4-5,11))),"",LEFT(INDEX(세부시간표!$A$3:$L$1183,9*DY4-5,11),4))</x:f>
        <x:v>1교육실</x:v>
      </x:c>
      <x:c r="DZ21" s="65" t="str">
        <x:f>IF(OR(DZ4&lt;0,DZ4=DY4,ISERROR(INDEX(세부시간표!$A$3:$L$1183,9*DZ4-5,11))),"",LEFT(INDEX(세부시간표!$A$3:$L$1183,9*DZ4-5,11),4))</x:f>
        <x:v>1교육실</x:v>
      </x:c>
      <x:c r="EA21" s="65" t="str">
        <x:f>IF(OR(EA4&lt;0,EA4=DZ4,ISERROR(INDEX(세부시간표!$A$3:$L$1183,9*EA4-5,11))),"",LEFT(INDEX(세부시간표!$A$3:$L$1183,9*EA4-5,11),4))</x:f>
        <x:v>1교육실</x:v>
      </x:c>
      <x:c r="EB21" s="65" t="str">
        <x:f>IF(OR(EB4&lt;0,EB4=EA4,ISERROR(INDEX(세부시간표!$A$3:$L$1183,9*EB4-5,11))),"",LEFT(INDEX(세부시간표!$A$3:$L$1183,9*EB4-5,11),4))</x:f>
        <x:v>1교육실</x:v>
      </x:c>
      <x:c r="EC21" s="65" t="str">
        <x:f>IF(OR(EC4&lt;0,EC4=EB4,ISERROR(INDEX(세부시간표!$A$3:$L$1183,9*EC4-5,11))),"",LEFT(INDEX(세부시간표!$A$3:$L$1183,9*EC4-5,11),4))</x:f>
        <x:v>1교육실</x:v>
      </x:c>
      <x:c r="ED21" s="65" t="str">
        <x:f>IF(OR(ED4&lt;0,ED4=EC4,ISERROR(INDEX(세부시간표!$A$3:$L$1183,9*ED4-5,11))),"",LEFT(INDEX(세부시간표!$A$3:$L$1183,9*ED4-5,11),4))</x:f>
        <x:v>1교육실</x:v>
      </x:c>
      <x:c r="EE21" s="65" t="str">
        <x:f>IF(OR(EE4&lt;0,EE4=ED4,ISERROR(INDEX(세부시간표!$A$3:$L$1183,9*EE4-5,11))),"",LEFT(INDEX(세부시간표!$A$3:$L$1183,9*EE4-5,11),4))</x:f>
        <x:v/>
      </x:c>
      <x:c r="EF21" s="65" t="str">
        <x:f>IF(OR(EF4&lt;0,EF4=EE4,ISERROR(INDEX(세부시간표!$A$3:$L$1183,9*EF4-5,11))),"",LEFT(INDEX(세부시간표!$A$3:$L$1183,9*EF4-5,11),4))</x:f>
        <x:v/>
      </x:c>
      <x:c r="EG21" s="65" t="str">
        <x:f>IF(OR(EG4&lt;0,EG4=EF4,ISERROR(INDEX(세부시간표!$A$3:$L$1183,9*EG4-5,11))),"",LEFT(INDEX(세부시간표!$A$3:$L$1183,9*EG4-5,11),4))</x:f>
        <x:v/>
      </x:c>
      <x:c r="EH21" s="65" t="str">
        <x:f>IF(OR(EH4&lt;0,EH4=EG4,ISERROR(INDEX(세부시간표!$A$3:$L$1183,9*EH4-5,11))),"",LEFT(INDEX(세부시간표!$A$3:$L$1183,9*EH4-5,11),4))</x:f>
        <x:v/>
      </x:c>
      <x:c r="EI21" s="65" t="str">
        <x:f>IF(OR(EI4&lt;0,EI4=EH4,ISERROR(INDEX(세부시간표!$A$3:$L$1183,9*EI4-5,11))),"",LEFT(INDEX(세부시간표!$A$3:$L$1183,9*EI4-5,11),4))</x:f>
        <x:v/>
      </x:c>
      <x:c r="EJ21" s="65" t="str">
        <x:f>IF(OR(EJ4&lt;0,EJ4=EI4,ISERROR(INDEX(세부시간표!$A$3:$L$1183,9*EJ4-5,11))),"",LEFT(INDEX(세부시간표!$A$3:$L$1183,9*EJ4-5,11),4))</x:f>
        <x:v/>
      </x:c>
      <x:c r="EK21" s="65" t="str">
        <x:f>IF(OR(EK4&lt;0,EK4=EJ4,ISERROR(INDEX(세부시간표!$A$3:$L$1183,9*EK4-5,11))),"",LEFT(INDEX(세부시간표!$A$3:$L$1183,9*EK4-5,11),4))</x:f>
        <x:v/>
      </x:c>
      <x:c r="EL21" s="49" t="str">
        <x:f>IF(OR(EL4&lt;0,EL4=EK4,ISERROR(INDEX(세부시간표!$A$3:$L$1183,9*EL4-5,11))),"",INDEX(세부시간표!$A$3:$L$1183,9*EL4-5,11))</x:f>
        <x:v/>
      </x:c>
      <x:c r="EM21" s="48" t="str">
        <x:f>IF(OR(EM4&lt;0,EM4=EL4,ISERROR(INDEX(세부시간표!$A$3:$L$1183,9*EM4-5,11))),"",INDEX(세부시간표!$A$3:$L$1183,9*EM4-5,11))</x:f>
        <x:v/>
      </x:c>
      <x:c r="EN21" s="48" t="str">
        <x:f>IF(OR(EN4&lt;0,EN4=EM4,ISERROR(INDEX(세부시간표!$A$3:$L$1183,9*EN4-5,11))),"",INDEX(세부시간표!$A$3:$L$1183,9*EN4-5,11))</x:f>
        <x:v/>
      </x:c>
      <x:c r="EO21" s="48" t="str">
        <x:f>IF(OR(EO4&lt;0,EO4=EN4,ISERROR(INDEX(세부시간표!$A$3:$L$1183,9*EO4-5,11))),"",INDEX(세부시간표!$A$3:$L$1183,9*EO4-5,11))</x:f>
        <x:v/>
      </x:c>
      <x:c r="EP21" s="50" t="str">
        <x:f>IF(OR(EP4&lt;0,EP4=EO4,ISERROR(INDEX(세부시간표!$A$3:$L$1183,9*EP4-5,11))),"",INDEX(세부시간표!$A$3:$L$1183,9*EP4-5,11))</x:f>
        <x:v/>
      </x:c>
    </x:row>
    <x:row r="22" spans="1:146" s="47" customFormat="1" ht="15" customHeight="1">
      <x:c r="A22" s="279"/>
      <x:c r="B22" s="77" t="str">
        <x:f>IF(OR(B4&lt;0,B4=A4,ISERROR(INDEX(세부시간표!$A$3:$L$1183,9*B4-5,12))),"",INDEX(세부시간표!$A$3:$L$1183,9*B4-5,12))</x:f>
        <x:v>양현수</x:v>
      </x:c>
      <x:c r="C22" s="77" t="str">
        <x:f>IF(OR(C4&lt;0,C4=B4,ISERROR(INDEX(세부시간표!$A$3:$L$1183,9*C4-5,12))),"",INDEX(세부시간표!$A$3:$L$1183,9*C4-5,12))</x:f>
        <x:v>양현수</x:v>
      </x:c>
      <x:c r="D22" s="77" t="str">
        <x:f>IF(OR(D4&lt;0,D4=C4,ISERROR(INDEX(세부시간표!$A$3:$L$1183,9*D4-5,12))),"",INDEX(세부시간표!$A$3:$L$1183,9*D4-5,12))</x:f>
        <x:v>양현수</x:v>
      </x:c>
      <x:c r="E22" s="77" t="str">
        <x:f>IF(OR(E4&lt;0,E4=D4,ISERROR(INDEX(세부시간표!$A$3:$L$1183,9*E4-5,12))),"",INDEX(세부시간표!$A$3:$L$1183,9*E4-5,12))</x:f>
        <x:v>양현수</x:v>
      </x:c>
      <x:c r="F22" s="77" t="str">
        <x:f>IF(OR(F4&lt;0,F4=E4,ISERROR(INDEX(세부시간표!$A$3:$L$1183,9*F4-5,12))),"",INDEX(세부시간표!$A$3:$L$1183,9*F4-5,12))</x:f>
        <x:v>양현수</x:v>
      </x:c>
      <x:c r="G22" s="77" t="str">
        <x:f>IF(OR(G4&lt;0,G4=F4,ISERROR(INDEX(세부시간표!$A$3:$L$1183,9*G4-5,12))),"",INDEX(세부시간표!$A$3:$L$1183,9*G4-5,12))</x:f>
        <x:v>양현수</x:v>
      </x:c>
      <x:c r="H22" s="77" t="str">
        <x:f>IF(OR(H4&lt;0,H4=G4,ISERROR(INDEX(세부시간표!$A$3:$L$1183,9*H4-5,12))),"",INDEX(세부시간표!$A$3:$L$1183,9*H4-5,12))</x:f>
        <x:v>양현수</x:v>
      </x:c>
      <x:c r="I22" s="77" t="str">
        <x:f>IF(OR(I4&lt;0,I4=H4,ISERROR(INDEX(세부시간표!$A$3:$L$1183,9*I4-5,12))),"",INDEX(세부시간표!$A$3:$L$1183,9*I4-5,12))</x:f>
        <x:v>양현수</x:v>
      </x:c>
      <x:c r="J22" s="77" t="str">
        <x:f>IF(OR(J4&lt;0,J4=I4,ISERROR(INDEX(세부시간표!$A$3:$L$1183,9*J4-5,12))),"",INDEX(세부시간표!$A$3:$L$1183,9*J4-5,12))</x:f>
        <x:v>양현수</x:v>
      </x:c>
      <x:c r="K22" s="77" t="str">
        <x:f>IF(OR(K4&lt;0,K4=J4,ISERROR(INDEX(세부시간표!$A$3:$L$1183,9*K4-5,12))),"",INDEX(세부시간표!$A$3:$L$1183,9*K4-5,12))</x:f>
        <x:v/>
      </x:c>
      <x:c r="L22" s="77" t="str">
        <x:f>IF(OR(L4&lt;0,L4=K4,ISERROR(INDEX(세부시간표!$A$3:$L$1183,9*L4-5,12))),"",INDEX(세부시간표!$A$3:$L$1183,9*L4-5,12))</x:f>
        <x:v/>
      </x:c>
      <x:c r="M22" s="77" t="str">
        <x:f>IF(OR(M4&lt;0,M4=L4,ISERROR(INDEX(세부시간표!$A$3:$L$1183,9*M4-5,12))),"",INDEX(세부시간표!$A$3:$L$1183,9*M4-5,12))</x:f>
        <x:v/>
      </x:c>
      <x:c r="N22" s="77" t="str">
        <x:f>IF(OR(N4&lt;0,N4=M4,ISERROR(INDEX(세부시간표!$A$3:$L$1183,9*N4-5,12))),"",INDEX(세부시간표!$A$3:$L$1183,9*N4-5,12))</x:f>
        <x:v/>
      </x:c>
      <x:c r="O22" s="77" t="str">
        <x:f>IF(OR(O4&lt;0,O4=N4,ISERROR(INDEX(세부시간표!$A$3:$L$1183,9*O4-5,12))),"",INDEX(세부시간표!$A$3:$L$1183,9*O4-5,12))</x:f>
        <x:v/>
      </x:c>
      <x:c r="P22" s="77" t="str">
        <x:f>IF(OR(P4&lt;0,P4=O4,ISERROR(INDEX(세부시간표!$A$3:$L$1183,9*P4-5,12))),"",INDEX(세부시간표!$A$3:$L$1183,9*P4-5,12))</x:f>
        <x:v>양현수</x:v>
      </x:c>
      <x:c r="Q22" s="77" t="str">
        <x:f>IF(OR(Q4&lt;0,Q4=P4,ISERROR(INDEX(세부시간표!$A$3:$L$1183,9*Q4-5,12))),"",INDEX(세부시간표!$A$3:$L$1183,9*Q4-5,12))</x:f>
        <x:v>양현수</x:v>
      </x:c>
      <x:c r="R22" s="77" t="str">
        <x:f>IF(OR(R4&lt;0,R4=Q4,ISERROR(INDEX(세부시간표!$A$3:$L$1183,9*R4-5,12))),"",INDEX(세부시간표!$A$3:$L$1183,9*R4-5,12))</x:f>
        <x:v>양현수</x:v>
      </x:c>
      <x:c r="S22" s="77" t="str">
        <x:f>IF(OR(S4&lt;0,S4=R4,ISERROR(INDEX(세부시간표!$A$3:$L$1183,9*S4-5,12))),"",INDEX(세부시간표!$A$3:$L$1183,9*S4-5,12))</x:f>
        <x:v>양현수</x:v>
      </x:c>
      <x:c r="T22" s="77" t="str">
        <x:f>IF(OR(T4&lt;0,T4=S4,ISERROR(INDEX(세부시간표!$A$3:$L$1183,9*T4-5,12))),"",INDEX(세부시간표!$A$3:$L$1183,9*T4-5,12))</x:f>
        <x:v>양현수</x:v>
      </x:c>
      <x:c r="U22" s="77" t="str">
        <x:f>IF(OR(U4&lt;0,U4=T4,ISERROR(INDEX(세부시간표!$A$3:$L$1183,9*U4-5,12))),"",INDEX(세부시간표!$A$3:$L$1183,9*U4-5,12))</x:f>
        <x:v>양현수</x:v>
      </x:c>
      <x:c r="V22" s="77" t="str">
        <x:f>IF(OR(V4&lt;0,V4=U4,ISERROR(INDEX(세부시간표!$A$3:$L$1183,9*V4-5,12))),"",INDEX(세부시간표!$A$3:$L$1183,9*V4-5,12))</x:f>
        <x:v>양현수</x:v>
      </x:c>
      <x:c r="W22" s="77" t="str">
        <x:f>IF(OR(W4&lt;0,W4=V4,ISERROR(INDEX(세부시간표!$A$3:$L$1183,9*W4-5,12))),"",INDEX(세부시간표!$A$3:$L$1183,9*W4-5,12))</x:f>
        <x:v>양현수</x:v>
      </x:c>
      <x:c r="X22" s="77" t="str">
        <x:f>IF(OR(X4&lt;0,X4=W4,ISERROR(INDEX(세부시간표!$A$3:$L$1183,9*X4-5,12))),"",INDEX(세부시간표!$A$3:$L$1183,9*X4-5,12))</x:f>
        <x:v>양현수</x:v>
      </x:c>
      <x:c r="Y22" s="77" t="str">
        <x:f>IF(OR(Y4&lt;0,Y4=X4,ISERROR(INDEX(세부시간표!$A$3:$L$1183,9*Y4-5,12))),"",INDEX(세부시간표!$A$3:$L$1183,9*Y4-5,12))</x:f>
        <x:v>양현수</x:v>
      </x:c>
      <x:c r="Z22" s="77" t="str">
        <x:f>IF(OR(Z4&lt;0,Z4=Y4,ISERROR(INDEX(세부시간표!$A$3:$L$1183,9*Z4-5,12))),"",INDEX(세부시간표!$A$3:$L$1183,9*Z4-5,12))</x:f>
        <x:v>양현수</x:v>
      </x:c>
      <x:c r="AA22" s="77" t="str">
        <x:f>IF(OR(AA4&lt;0,AA4=Z4,ISERROR(INDEX(세부시간표!$A$3:$L$1183,9*AA4-5,12))),"",INDEX(세부시간표!$A$3:$L$1183,9*AA4-5,12))</x:f>
        <x:v>양현수</x:v>
      </x:c>
      <x:c r="AB22" s="77" t="str">
        <x:f>IF(OR(AB4&lt;0,AB4=AA4,ISERROR(INDEX(세부시간표!$A$3:$L$1183,9*AB4-5,12))),"",INDEX(세부시간표!$A$3:$L$1183,9*AB4-5,12))</x:f>
        <x:v>양현수</x:v>
      </x:c>
      <x:c r="AC22" s="77" t="str">
        <x:f>IF(OR(AC4&lt;0,AC4=AB4,ISERROR(INDEX(세부시간표!$A$3:$L$1183,9*AC4-5,12))),"",INDEX(세부시간표!$A$3:$L$1183,9*AC4-5,12))</x:f>
        <x:v>양현수</x:v>
      </x:c>
      <x:c r="AD22" s="77" t="str">
        <x:f>IF(OR(AD4&lt;0,AD4=AC4,ISERROR(INDEX(세부시간표!$A$3:$L$1183,9*AD4-5,12))),"",INDEX(세부시간표!$A$3:$L$1183,9*AD4-5,12))</x:f>
        <x:v>양현수</x:v>
      </x:c>
      <x:c r="AE22" s="77" t="str">
        <x:f>IF(OR(AE4&lt;0,AE4=AD4,ISERROR(INDEX(세부시간표!$A$3:$L$1183,9*AE4-5,12))),"",INDEX(세부시간표!$A$3:$L$1183,9*AE4-5,12))</x:f>
        <x:v>양현수</x:v>
      </x:c>
      <x:c r="AF22" s="77" t="str">
        <x:f>IF(OR(AF4&lt;0,AF4=AE4,ISERROR(INDEX(세부시간표!$A$3:$L$1183,9*AF4-5,12))),"",INDEX(세부시간표!$A$3:$L$1183,9*AF4-5,12))</x:f>
        <x:v>양현수</x:v>
      </x:c>
      <x:c r="AG22" s="77" t="str">
        <x:f>IF(OR(AG4&lt;0,AG4=AF4,ISERROR(INDEX(세부시간표!$A$3:$L$1183,9*AG4-5,12))),"",INDEX(세부시간표!$A$3:$L$1183,9*AG4-5,12))</x:f>
        <x:v>양현수</x:v>
      </x:c>
      <x:c r="AH22" s="77" t="str">
        <x:f>IF(OR(AH4&lt;0,AH4=AG4,ISERROR(INDEX(세부시간표!$A$3:$L$1183,9*AH4-5,12))),"",INDEX(세부시간표!$A$3:$L$1183,9*AH4-5,12))</x:f>
        <x:v>양현수</x:v>
      </x:c>
      <x:c r="AI22" s="77" t="str">
        <x:f>IF(OR(AI4&lt;0,AI4=AH4,ISERROR(INDEX(세부시간표!$A$3:$L$1183,9*AI4-5,12))),"",INDEX(세부시간표!$A$3:$L$1183,9*AI4-5,12))</x:f>
        <x:v>양현수</x:v>
      </x:c>
      <x:c r="AJ22" s="77" t="str">
        <x:f>IF(OR(AJ4&lt;0,AJ4=AI4,ISERROR(INDEX(세부시간표!$A$3:$L$1183,9*AJ4-5,12))),"",INDEX(세부시간표!$A$3:$L$1183,9*AJ4-5,12))</x:f>
        <x:v>양현수</x:v>
      </x:c>
      <x:c r="AK22" s="77" t="str">
        <x:f>IF(OR(AK4&lt;0,AK4=AJ4,ISERROR(INDEX(세부시간표!$A$3:$L$1183,9*AK4-5,12))),"",INDEX(세부시간표!$A$3:$L$1183,9*AK4-5,12))</x:f>
        <x:v>양현수</x:v>
      </x:c>
      <x:c r="AL22" s="77" t="str">
        <x:f>IF(OR(AL4&lt;0,AL4=AK4,ISERROR(INDEX(세부시간표!$A$3:$L$1183,9*AL4-5,12))),"",INDEX(세부시간표!$A$3:$L$1183,9*AL4-5,12))</x:f>
        <x:v>양현수</x:v>
      </x:c>
      <x:c r="AM22" s="77" t="str">
        <x:f>IF(OR(AM4&lt;0,AM4=AL4,ISERROR(INDEX(세부시간표!$A$3:$L$1183,9*AM4-5,12))),"",INDEX(세부시간표!$A$3:$L$1183,9*AM4-5,12))</x:f>
        <x:v>양현수</x:v>
      </x:c>
      <x:c r="AN22" s="77" t="str">
        <x:f>IF(OR(AN4&lt;0,AN4=AM4,ISERROR(INDEX(세부시간표!$A$3:$L$1183,9*AN4-5,12))),"",INDEX(세부시간표!$A$3:$L$1183,9*AN4-5,12))</x:f>
        <x:v>양현수</x:v>
      </x:c>
      <x:c r="AO22" s="77" t="str">
        <x:f>IF(OR(AO4&lt;0,AO4=AN4,ISERROR(INDEX(세부시간표!$A$3:$L$1183,9*AO4-5,12))),"",INDEX(세부시간표!$A$3:$L$1183,9*AO4-5,12))</x:f>
        <x:v>양현수</x:v>
      </x:c>
      <x:c r="AP22" s="77" t="str">
        <x:f>IF(OR(AP4&lt;0,AP4=AO4,ISERROR(INDEX(세부시간표!$A$3:$L$1183,9*AP4-5,12))),"",INDEX(세부시간표!$A$3:$L$1183,9*AP4-5,12))</x:f>
        <x:v>양현수</x:v>
      </x:c>
      <x:c r="AQ22" s="77" t="str">
        <x:f>IF(OR(AQ4&lt;0,AQ4=AP4,ISERROR(INDEX(세부시간표!$A$3:$L$1183,9*AQ4-5,12))),"",INDEX(세부시간표!$A$3:$L$1183,9*AQ4-5,12))</x:f>
        <x:v>양현수</x:v>
      </x:c>
      <x:c r="AR22" s="77" t="str">
        <x:f>IF(OR(AR4&lt;0,AR4=AQ4,ISERROR(INDEX(세부시간표!$A$3:$L$1183,9*AR4-5,12))),"",INDEX(세부시간표!$A$3:$L$1183,9*AR4-5,12))</x:f>
        <x:v>양현수</x:v>
      </x:c>
      <x:c r="AS22" s="77" t="str">
        <x:f>IF(OR(AS4&lt;0,AS4=AR4,ISERROR(INDEX(세부시간표!$A$3:$L$1183,9*AS4-5,12))),"",INDEX(세부시간표!$A$3:$L$1183,9*AS4-5,12))</x:f>
        <x:v>양현수</x:v>
      </x:c>
      <x:c r="AT22" s="77" t="str">
        <x:f>IF(OR(AT4&lt;0,AT4=AS4,ISERROR(INDEX(세부시간표!$A$3:$L$1183,9*AT4-5,12))),"",INDEX(세부시간표!$A$3:$L$1183,9*AT4-5,12))</x:f>
        <x:v>양현수</x:v>
      </x:c>
      <x:c r="AU22" s="77" t="str">
        <x:f>IF(OR(AU4&lt;0,AU4=AT4,ISERROR(INDEX(세부시간표!$A$3:$L$1183,9*AU4-5,12))),"",INDEX(세부시간표!$A$3:$L$1183,9*AU4-5,12))</x:f>
        <x:v>양현수</x:v>
      </x:c>
      <x:c r="AV22" s="77" t="str">
        <x:f>IF(OR(AV4&lt;0,AV4=AU4,ISERROR(INDEX(세부시간표!$A$3:$L$1183,9*AV4-5,12))),"",INDEX(세부시간표!$A$3:$L$1183,9*AV4-5,12))</x:f>
        <x:v>양현수</x:v>
      </x:c>
      <x:c r="AW22" s="77" t="str">
        <x:f>IF(OR(AW4&lt;0,AW4=AV4,ISERROR(INDEX(세부시간표!$A$3:$L$1183,9*AW4-5,12))),"",INDEX(세부시간표!$A$3:$L$1183,9*AW4-5,12))</x:f>
        <x:v>양현수</x:v>
      </x:c>
      <x:c r="AX22" s="77" t="str">
        <x:f>IF(OR(AX4&lt;0,AX4=AW4,ISERROR(INDEX(세부시간표!$A$3:$L$1183,9*AX4-5,12))),"",INDEX(세부시간표!$A$3:$L$1183,9*AX4-5,12))</x:f>
        <x:v>양현수</x:v>
      </x:c>
      <x:c r="AY22" s="77" t="str">
        <x:f>IF(OR(AY4&lt;0,AY4=AX4,ISERROR(INDEX(세부시간표!$A$3:$L$1183,9*AY4-5,12))),"",INDEX(세부시간표!$A$3:$L$1183,9*AY4-5,12))</x:f>
        <x:v>양현수</x:v>
      </x:c>
      <x:c r="AZ22" s="77" t="str">
        <x:f>IF(OR(AZ4&lt;0,AZ4=AY4,ISERROR(INDEX(세부시간표!$A$3:$L$1183,9*AZ4-5,12))),"",INDEX(세부시간표!$A$3:$L$1183,9*AZ4-5,12))</x:f>
        <x:v>양현수</x:v>
      </x:c>
      <x:c r="BA22" s="77" t="str">
        <x:f>IF(OR(BA4&lt;0,BA4=AZ4,ISERROR(INDEX(세부시간표!$A$3:$L$1183,9*BA4-5,12))),"",INDEX(세부시간표!$A$3:$L$1183,9*BA4-5,12))</x:f>
        <x:v>양현수</x:v>
      </x:c>
      <x:c r="BB22" s="77" t="str">
        <x:f>IF(OR(BB4&lt;0,BB4=BA4,ISERROR(INDEX(세부시간표!$A$3:$L$1183,9*BB4-5,12))),"",INDEX(세부시간표!$A$3:$L$1183,9*BB4-5,12))</x:f>
        <x:v>양현수</x:v>
      </x:c>
      <x:c r="BC22" s="77" t="str">
        <x:f>IF(OR(BC4&lt;0,BC4=BB4,ISERROR(INDEX(세부시간표!$A$3:$L$1183,9*BC4-5,12))),"",INDEX(세부시간표!$A$3:$L$1183,9*BC4-5,12))</x:f>
        <x:v>양현수</x:v>
      </x:c>
      <x:c r="BD22" s="77" t="str">
        <x:f>IF(OR(BD4&lt;0,BD4=BC4,ISERROR(INDEX(세부시간표!$A$3:$L$1183,9*BD4-5,12))),"",INDEX(세부시간표!$A$3:$L$1183,9*BD4-5,12))</x:f>
        <x:v>양현수</x:v>
      </x:c>
      <x:c r="BE22" s="77" t="str">
        <x:f>IF(OR(BE4&lt;0,BE4=BD4,ISERROR(INDEX(세부시간표!$A$3:$L$1183,9*BE4-5,12))),"",INDEX(세부시간표!$A$3:$L$1183,9*BE4-5,12))</x:f>
        <x:v>양현수</x:v>
      </x:c>
      <x:c r="BF22" s="77" t="str">
        <x:f>IF(OR(BF4&lt;0,BF4=BE4,ISERROR(INDEX(세부시간표!$A$3:$L$1183,9*BF4-5,12))),"",INDEX(세부시간표!$A$3:$L$1183,9*BF4-5,12))</x:f>
        <x:v>양현수</x:v>
      </x:c>
      <x:c r="BG22" s="77" t="str">
        <x:f>IF(OR(BG4&lt;0,BG4=BF4,ISERROR(INDEX(세부시간표!$A$3:$L$1183,9*BG4-5,12))),"",INDEX(세부시간표!$A$3:$L$1183,9*BG4-5,12))</x:f>
        <x:v>양현수</x:v>
      </x:c>
      <x:c r="BH22" s="77" t="str">
        <x:f>IF(OR(BH4&lt;0,BH4=BG4,ISERROR(INDEX(세부시간표!$A$3:$L$1183,9*BH4-5,12))),"",INDEX(세부시간표!$A$3:$L$1183,9*BH4-5,12))</x:f>
        <x:v>양현수</x:v>
      </x:c>
      <x:c r="BI22" s="77" t="str">
        <x:f>IF(OR(BI4&lt;0,BI4=BH4,ISERROR(INDEX(세부시간표!$A$3:$L$1183,9*BI4-5,12))),"",INDEX(세부시간표!$A$3:$L$1183,9*BI4-5,12))</x:f>
        <x:v>양현수</x:v>
      </x:c>
      <x:c r="BJ22" s="77" t="str">
        <x:f>IF(OR(BJ4&lt;0,BJ4=BI4,ISERROR(INDEX(세부시간표!$A$3:$L$1183,9*BJ4-5,12))),"",INDEX(세부시간표!$A$3:$L$1183,9*BJ4-5,12))</x:f>
        <x:v>양현수</x:v>
      </x:c>
      <x:c r="BK22" s="77" t="str">
        <x:f>IF(OR(BK4&lt;0,BK4=BJ4,ISERROR(INDEX(세부시간표!$A$3:$L$1183,9*BK4-5,12))),"",INDEX(세부시간표!$A$3:$L$1183,9*BK4-5,12))</x:f>
        <x:v>양현수</x:v>
      </x:c>
      <x:c r="BL22" s="77" t="str">
        <x:f>IF(OR(BL4&lt;0,BL4=BK4,ISERROR(INDEX(세부시간표!$A$3:$L$1183,9*BL4-5,12))),"",INDEX(세부시간표!$A$3:$L$1183,9*BL4-5,12))</x:f>
        <x:v>양현수</x:v>
      </x:c>
      <x:c r="BM22" s="77" t="str">
        <x:f>IF(OR(BM4&lt;0,BM4=BL4,ISERROR(INDEX(세부시간표!$A$3:$L$1183,9*BM4-5,12))),"",INDEX(세부시간표!$A$3:$L$1183,9*BM4-5,12))</x:f>
        <x:v>양현수</x:v>
      </x:c>
      <x:c r="BN22" s="77" t="str">
        <x:f>IF(OR(BN4&lt;0,BN4=BM4,ISERROR(INDEX(세부시간표!$A$3:$L$1183,9*BN4-5,12))),"",INDEX(세부시간표!$A$3:$L$1183,9*BN4-5,12))</x:f>
        <x:v>양현수</x:v>
      </x:c>
      <x:c r="BO22" s="77" t="str">
        <x:f>IF(OR(BO4&lt;0,BO4=BN4,ISERROR(INDEX(세부시간표!$A$3:$L$1183,9*BO4-5,12))),"",INDEX(세부시간표!$A$3:$L$1183,9*BO4-5,12))</x:f>
        <x:v>양현수</x:v>
      </x:c>
      <x:c r="BP22" s="77" t="str">
        <x:f>IF(OR(BP4&lt;0,BP4=BO4,ISERROR(INDEX(세부시간표!$A$3:$L$1183,9*BP4-5,12))),"",INDEX(세부시간표!$A$3:$L$1183,9*BP4-5,12))</x:f>
        <x:v>양현수</x:v>
      </x:c>
      <x:c r="BQ22" s="77" t="str">
        <x:f>IF(OR(BQ4&lt;0,BQ4=BP4,ISERROR(INDEX(세부시간표!$A$3:$L$1183,9*BQ4-5,12))),"",INDEX(세부시간표!$A$3:$L$1183,9*BQ4-5,12))</x:f>
        <x:v>양현수</x:v>
      </x:c>
      <x:c r="BR22" s="77" t="str">
        <x:f>IF(OR(BR4&lt;0,BR4=BQ4,ISERROR(INDEX(세부시간표!$A$3:$L$1183,9*BR4-5,12))),"",INDEX(세부시간표!$A$3:$L$1183,9*BR4-5,12))</x:f>
        <x:v/>
      </x:c>
      <x:c r="BS22" s="77" t="str">
        <x:f>IF(OR(BS4&lt;0,BS4=BR4,ISERROR(INDEX(세부시간표!$A$3:$L$1183,9*BS4-5,12))),"",INDEX(세부시간표!$A$3:$L$1183,9*BS4-5,12))</x:f>
        <x:v>양현수</x:v>
      </x:c>
      <x:c r="BT22" s="77" t="str">
        <x:f>IF(OR(BT4&lt;0,BT4=BS4,ISERROR(INDEX(세부시간표!$A$3:$L$1183,9*BT4-5,12))),"",INDEX(세부시간표!$A$3:$L$1183,9*BT4-5,12))</x:f>
        <x:v>양현수</x:v>
      </x:c>
      <x:c r="BU22" s="77" t="str">
        <x:f>IF(OR(BU4&lt;0,BU4=BT4,ISERROR(INDEX(세부시간표!$A$3:$L$1183,9*BU4-5,12))),"",INDEX(세부시간표!$A$3:$L$1183,9*BU4-5,12))</x:f>
        <x:v>양현수</x:v>
      </x:c>
      <x:c r="BV22" s="77" t="str">
        <x:f>IF(OR(BV4&lt;0,BV4=BU4,ISERROR(INDEX(세부시간표!$A$3:$L$1183,9*BV4-5,12))),"",INDEX(세부시간표!$A$3:$L$1183,9*BV4-5,12))</x:f>
        <x:v>양현수</x:v>
      </x:c>
      <x:c r="BW22" s="77" t="str">
        <x:f>IF(OR(BW4&lt;0,BW4=BV4,ISERROR(INDEX(세부시간표!$A$3:$L$1183,9*BW4-5,12))),"",INDEX(세부시간표!$A$3:$L$1183,9*BW4-5,12))</x:f>
        <x:v/>
      </x:c>
      <x:c r="BX22" s="77" t="str">
        <x:f>IF(OR(BX4&lt;0,BX4=BW4,ISERROR(INDEX(세부시간표!$A$3:$L$1183,9*BX4-5,12))),"",INDEX(세부시간표!$A$3:$L$1183,9*BX4-5,12))</x:f>
        <x:v>양현수</x:v>
      </x:c>
      <x:c r="BY22" s="77" t="str">
        <x:f>IF(OR(BY4&lt;0,BY4=BX4,ISERROR(INDEX(세부시간표!$A$3:$L$1183,9*BY4-5,12))),"",INDEX(세부시간표!$A$3:$L$1183,9*BY4-5,12))</x:f>
        <x:v>양현수</x:v>
      </x:c>
      <x:c r="BZ22" s="77" t="str">
        <x:f>IF(OR(BZ4&lt;0,BZ4=BY4,ISERROR(INDEX(세부시간표!$A$3:$L$1183,9*BZ4-5,12))),"",INDEX(세부시간표!$A$3:$L$1183,9*BZ4-5,12))</x:f>
        <x:v>양현수</x:v>
      </x:c>
      <x:c r="CA22" s="77" t="str">
        <x:f>IF(OR(CA4&lt;0,CA4=BZ4,ISERROR(INDEX(세부시간표!$A$3:$L$1183,9*CA4-5,12))),"",INDEX(세부시간표!$A$3:$L$1183,9*CA4-5,12))</x:f>
        <x:v>양현수</x:v>
      </x:c>
      <x:c r="CB22" s="77" t="str">
        <x:f>IF(OR(CB4&lt;0,CB4=CA4,ISERROR(INDEX(세부시간표!$A$3:$L$1183,9*CB4-5,12))),"",INDEX(세부시간표!$A$3:$L$1183,9*CB4-5,12))</x:f>
        <x:v>양현수</x:v>
      </x:c>
      <x:c r="CC22" s="77" t="str">
        <x:f>IF(OR(CC4&lt;0,CC4=CB4,ISERROR(INDEX(세부시간표!$A$3:$L$1183,9*CC4-5,12))),"",INDEX(세부시간표!$A$3:$L$1183,9*CC4-5,12))</x:f>
        <x:v>양현수</x:v>
      </x:c>
      <x:c r="CD22" s="77" t="str">
        <x:f>IF(OR(CD4&lt;0,CD4=CC4,ISERROR(INDEX(세부시간표!$A$3:$L$1183,9*CD4-5,12))),"",INDEX(세부시간표!$A$3:$L$1183,9*CD4-5,12))</x:f>
        <x:v>양현수</x:v>
      </x:c>
      <x:c r="CE22" s="77" t="str">
        <x:f>IF(OR(CE4&lt;0,CE4=CD4,ISERROR(INDEX(세부시간표!$A$3:$L$1183,9*CE4-5,12))),"",INDEX(세부시간표!$A$3:$L$1183,9*CE4-5,12))</x:f>
        <x:v>양현수</x:v>
      </x:c>
      <x:c r="CF22" s="77" t="str">
        <x:f>IF(OR(CF4&lt;0,CF4=CE4,ISERROR(INDEX(세부시간표!$A$3:$L$1183,9*CF4-5,12))),"",INDEX(세부시간표!$A$3:$L$1183,9*CF4-5,12))</x:f>
        <x:v>양현수</x:v>
      </x:c>
      <x:c r="CG22" s="77" t="str">
        <x:f>IF(OR(CG4&lt;0,CG4=CF4,ISERROR(INDEX(세부시간표!$A$3:$L$1183,9*CG4-5,12))),"",INDEX(세부시간표!$A$3:$L$1183,9*CG4-5,12))</x:f>
        <x:v>양현수</x:v>
      </x:c>
      <x:c r="CH22" s="77" t="str">
        <x:f>IF(OR(CH4&lt;0,CH4=CG4,ISERROR(INDEX(세부시간표!$A$3:$L$1183,9*CH4-5,12))),"",INDEX(세부시간표!$A$3:$L$1183,9*CH4-5,12))</x:f>
        <x:v>양현수</x:v>
      </x:c>
      <x:c r="CI22" s="77" t="str">
        <x:f>IF(OR(CI4&lt;0,CI4=CH4,ISERROR(INDEX(세부시간표!$A$3:$L$1183,9*CI4-5,12))),"",INDEX(세부시간표!$A$3:$L$1183,9*CI4-5,12))</x:f>
        <x:v>양현수</x:v>
      </x:c>
      <x:c r="CJ22" s="77" t="str">
        <x:f>IF(OR(CJ4&lt;0,CJ4=CI4,ISERROR(INDEX(세부시간표!$A$3:$L$1183,9*CJ4-5,12))),"",INDEX(세부시간표!$A$3:$L$1183,9*CJ4-5,12))</x:f>
        <x:v>양현수</x:v>
      </x:c>
      <x:c r="CK22" s="77" t="str">
        <x:f>IF(OR(CK4&lt;0,CK4=CJ4,ISERROR(INDEX(세부시간표!$A$3:$L$1183,9*CK4-5,12))),"",INDEX(세부시간표!$A$3:$L$1183,9*CK4-5,12))</x:f>
        <x:v>양현수</x:v>
      </x:c>
      <x:c r="CL22" s="77" t="str">
        <x:f>IF(OR(CL4&lt;0,CL4=CK4,ISERROR(INDEX(세부시간표!$A$3:$L$1183,9*CL4-5,12))),"",INDEX(세부시간표!$A$3:$L$1183,9*CL4-5,12))</x:f>
        <x:v>양현수</x:v>
      </x:c>
      <x:c r="CM22" s="77" t="str">
        <x:f>IF(OR(CM4&lt;0,CM4=CL4,ISERROR(INDEX(세부시간표!$A$3:$L$1183,9*CM4-5,12))),"",INDEX(세부시간표!$A$3:$L$1183,9*CM4-5,12))</x:f>
        <x:v>양현수</x:v>
      </x:c>
      <x:c r="CN22" s="77" t="str">
        <x:f>IF(OR(CN4&lt;0,CN4=CM4,ISERROR(INDEX(세부시간표!$A$3:$L$1183,9*CN4-5,12))),"",INDEX(세부시간표!$A$3:$L$1183,9*CN4-5,12))</x:f>
        <x:v>양현수</x:v>
      </x:c>
      <x:c r="CO22" s="77" t="str">
        <x:f>IF(OR(CO4&lt;0,CO4=CN4,ISERROR(INDEX(세부시간표!$A$3:$L$1183,9*CO4-5,12))),"",INDEX(세부시간표!$A$3:$L$1183,9*CO4-5,12))</x:f>
        <x:v>양현수</x:v>
      </x:c>
      <x:c r="CP22" s="77" t="str">
        <x:f>IF(OR(CP4&lt;0,CP4=CO4,ISERROR(INDEX(세부시간표!$A$3:$L$1183,9*CP4-5,12))),"",INDEX(세부시간표!$A$3:$L$1183,9*CP4-5,12))</x:f>
        <x:v>양현수</x:v>
      </x:c>
      <x:c r="CQ22" s="77" t="str">
        <x:f>IF(OR(CQ4&lt;0,CQ4=CP4,ISERROR(INDEX(세부시간표!$A$3:$L$1183,9*CQ4-5,12))),"",INDEX(세부시간표!$A$3:$L$1183,9*CQ4-5,12))</x:f>
        <x:v>양현수</x:v>
      </x:c>
      <x:c r="CR22" s="77" t="str">
        <x:f>IF(OR(CR4&lt;0,CR4=CQ4,ISERROR(INDEX(세부시간표!$A$3:$L$1183,9*CR4-5,12))),"",INDEX(세부시간표!$A$3:$L$1183,9*CR4-5,12))</x:f>
        <x:v>양현수</x:v>
      </x:c>
      <x:c r="CS22" s="77" t="str">
        <x:f>IF(OR(CS4&lt;0,CS4=CR4,ISERROR(INDEX(세부시간표!$A$3:$L$1183,9*CS4-5,12))),"",INDEX(세부시간표!$A$3:$L$1183,9*CS4-5,12))</x:f>
        <x:v>양현수</x:v>
      </x:c>
      <x:c r="CT22" s="77" t="str">
        <x:f>IF(OR(CT4&lt;0,CT4=CS4,ISERROR(INDEX(세부시간표!$A$3:$L$1183,9*CT4-5,12))),"",INDEX(세부시간표!$A$3:$L$1183,9*CT4-5,12))</x:f>
        <x:v>양현수</x:v>
      </x:c>
      <x:c r="CU22" s="77" t="str">
        <x:f>IF(OR(CU4&lt;0,CU4=CT4,ISERROR(INDEX(세부시간표!$A$3:$L$1183,9*CU4-5,12))),"",INDEX(세부시간표!$A$3:$L$1183,9*CU4-5,12))</x:f>
        <x:v>양현수</x:v>
      </x:c>
      <x:c r="CV22" s="77" t="str">
        <x:f>IF(OR(CV4&lt;0,CV4=CU4,ISERROR(INDEX(세부시간표!$A$3:$L$1183,9*CV4-5,12))),"",INDEX(세부시간표!$A$3:$L$1183,9*CV4-5,12))</x:f>
        <x:v>양현수</x:v>
      </x:c>
      <x:c r="CW22" s="77" t="str">
        <x:f>IF(OR(CW4&lt;0,CW4=CV4,ISERROR(INDEX(세부시간표!$A$3:$L$1183,9*CW4-5,12))),"",INDEX(세부시간표!$A$3:$L$1183,9*CW4-5,12))</x:f>
        <x:v>양현수</x:v>
      </x:c>
      <x:c r="CX22" s="77" t="str">
        <x:f>IF(OR(CX4&lt;0,CX4=CW4,ISERROR(INDEX(세부시간표!$A$3:$L$1183,9*CX4-5,12))),"",INDEX(세부시간표!$A$3:$L$1183,9*CX4-5,12))</x:f>
        <x:v>양현수</x:v>
      </x:c>
      <x:c r="CY22" s="77" t="str">
        <x:f>IF(OR(CY4&lt;0,CY4=CX4,ISERROR(INDEX(세부시간표!$A$3:$L$1183,9*CY4-5,12))),"",INDEX(세부시간표!$A$3:$L$1183,9*CY4-5,12))</x:f>
        <x:v>양현수</x:v>
      </x:c>
      <x:c r="CZ22" s="77" t="str">
        <x:f>IF(OR(CZ4&lt;0,CZ4=CY4,ISERROR(INDEX(세부시간표!$A$3:$L$1183,9*CZ4-5,12))),"",INDEX(세부시간표!$A$3:$L$1183,9*CZ4-5,12))</x:f>
        <x:v>양현수</x:v>
      </x:c>
      <x:c r="DA22" s="77" t="str">
        <x:f>IF(OR(DA4&lt;0,DA4=CZ4,ISERROR(INDEX(세부시간표!$A$3:$L$1183,9*DA4-5,12))),"",INDEX(세부시간표!$A$3:$L$1183,9*DA4-5,12))</x:f>
        <x:v>양현수</x:v>
      </x:c>
      <x:c r="DB22" s="77" t="str">
        <x:f>IF(OR(DB4&lt;0,DB4=DA4,ISERROR(INDEX(세부시간표!$A$3:$L$1183,9*DB4-5,12))),"",INDEX(세부시간표!$A$3:$L$1183,9*DB4-5,12))</x:f>
        <x:v>양현수</x:v>
      </x:c>
      <x:c r="DC22" s="77" t="str">
        <x:f>IF(OR(DC4&lt;0,DC4=DB4,ISERROR(INDEX(세부시간표!$A$3:$L$1183,9*DC4-5,12))),"",INDEX(세부시간표!$A$3:$L$1183,9*DC4-5,12))</x:f>
        <x:v/>
      </x:c>
      <x:c r="DD22" s="77" t="str">
        <x:f>IF(OR(DD4&lt;0,DD4=DC4,ISERROR(INDEX(세부시간표!$A$3:$L$1183,9*DD4-5,12))),"",INDEX(세부시간표!$A$3:$L$1183,9*DD4-5,12))</x:f>
        <x:v/>
      </x:c>
      <x:c r="DE22" s="77" t="str">
        <x:f>IF(OR(DE4&lt;0,DE4=DD4,ISERROR(INDEX(세부시간표!$A$3:$L$1183,9*DE4-5,12))),"",INDEX(세부시간표!$A$3:$L$1183,9*DE4-5,12))</x:f>
        <x:v/>
      </x:c>
      <x:c r="DF22" s="77" t="str">
        <x:f>IF(OR(DF4&lt;0,DF4=DE4,ISERROR(INDEX(세부시간표!$A$3:$L$1183,9*DF4-5,12))),"",INDEX(세부시간표!$A$3:$L$1183,9*DF4-5,12))</x:f>
        <x:v>양현수</x:v>
      </x:c>
      <x:c r="DG22" s="77" t="str">
        <x:f>IF(OR(DG4&lt;0,DG4=DF4,ISERROR(INDEX(세부시간표!$A$3:$L$1183,9*DG4-5,12))),"",INDEX(세부시간표!$A$3:$L$1183,9*DG4-5,12))</x:f>
        <x:v>양현수</x:v>
      </x:c>
      <x:c r="DH22" s="77" t="str">
        <x:f>IF(OR(DH4&lt;0,DH4=DG4,ISERROR(INDEX(세부시간표!$A$3:$L$1183,9*DH4-5,12))),"",INDEX(세부시간표!$A$3:$L$1183,9*DH4-5,12))</x:f>
        <x:v>양현수</x:v>
      </x:c>
      <x:c r="DI22" s="77" t="str">
        <x:f>IF(OR(DI4&lt;0,DI4=DH4,ISERROR(INDEX(세부시간표!$A$3:$L$1183,9*DI4-5,12))),"",INDEX(세부시간표!$A$3:$L$1183,9*DI4-5,12))</x:f>
        <x:v>양현수</x:v>
      </x:c>
      <x:c r="DJ22" s="77" t="str">
        <x:f>IF(OR(DJ4&lt;0,DJ4=DI4,ISERROR(INDEX(세부시간표!$A$3:$L$1183,9*DJ4-5,12))),"",INDEX(세부시간표!$A$3:$L$1183,9*DJ4-5,12))</x:f>
        <x:v>양현수</x:v>
      </x:c>
      <x:c r="DK22" s="77" t="str">
        <x:f>IF(OR(DK4&lt;0,DK4=DJ4,ISERROR(INDEX(세부시간표!$A$3:$L$1183,9*DK4-5,12))),"",INDEX(세부시간표!$A$3:$L$1183,9*DK4-5,12))</x:f>
        <x:v>양현수</x:v>
      </x:c>
      <x:c r="DL22" s="77" t="str">
        <x:f>IF(OR(DL4&lt;0,DL4=DK4,ISERROR(INDEX(세부시간표!$A$3:$L$1183,9*DL4-5,12))),"",INDEX(세부시간표!$A$3:$L$1183,9*DL4-5,12))</x:f>
        <x:v>양현수</x:v>
      </x:c>
      <x:c r="DM22" s="77" t="str">
        <x:f>IF(OR(DM4&lt;0,DM4=DL4,ISERROR(INDEX(세부시간표!$A$3:$L$1183,9*DM4-5,12))),"",INDEX(세부시간표!$A$3:$L$1183,9*DM4-5,12))</x:f>
        <x:v/>
      </x:c>
      <x:c r="DN22" s="77" t="str">
        <x:f>IF(OR(DN4&lt;0,DN4=DM4,ISERROR(INDEX(세부시간표!$A$3:$L$1183,9*DN4-5,12))),"",INDEX(세부시간표!$A$3:$L$1183,9*DN4-5,12))</x:f>
        <x:v>양현수</x:v>
      </x:c>
      <x:c r="DO22" s="77" t="str">
        <x:f>IF(OR(DO4&lt;0,DO4=DN4,ISERROR(INDEX(세부시간표!$A$3:$L$1183,9*DO4-5,12))),"",INDEX(세부시간표!$A$3:$L$1183,9*DO4-5,12))</x:f>
        <x:v>양현수</x:v>
      </x:c>
      <x:c r="DP22" s="77" t="str">
        <x:f>IF(OR(DP4&lt;0,DP4=DO4,ISERROR(INDEX(세부시간표!$A$3:$L$1183,9*DP4-5,12))),"",INDEX(세부시간표!$A$3:$L$1183,9*DP4-5,12))</x:f>
        <x:v>양현수</x:v>
      </x:c>
      <x:c r="DQ22" s="77" t="str">
        <x:f>IF(OR(DQ4&lt;0,DQ4=DP4,ISERROR(INDEX(세부시간표!$A$3:$L$1183,9*DQ4-5,12))),"",INDEX(세부시간표!$A$3:$L$1183,9*DQ4-5,12))</x:f>
        <x:v>양현수</x:v>
      </x:c>
      <x:c r="DR22" s="77" t="str">
        <x:f>IF(OR(DR4&lt;0,DR4=DQ4,ISERROR(INDEX(세부시간표!$A$3:$L$1183,9*DR4-5,12))),"",INDEX(세부시간표!$A$3:$L$1183,9*DR4-5,12))</x:f>
        <x:v>양현수</x:v>
      </x:c>
      <x:c r="DS22" s="77" t="str">
        <x:f>IF(OR(DS4&lt;0,DS4=DR4,ISERROR(INDEX(세부시간표!$A$3:$L$1183,9*DS4-5,12))),"",INDEX(세부시간표!$A$3:$L$1183,9*DS4-5,12))</x:f>
        <x:v>양현수</x:v>
      </x:c>
      <x:c r="DT22" s="77" t="str">
        <x:f>IF(OR(DT4&lt;0,DT4=DS4,ISERROR(INDEX(세부시간표!$A$3:$L$1183,9*DT4-5,12))),"",INDEX(세부시간표!$A$3:$L$1183,9*DT4-5,12))</x:f>
        <x:v>양현수</x:v>
      </x:c>
      <x:c r="DU22" s="77" t="str">
        <x:f>IF(OR(DU4&lt;0,DU4=DT4,ISERROR(INDEX(세부시간표!$A$3:$L$1183,9*DU4-5,12))),"",INDEX(세부시간표!$A$3:$L$1183,9*DU4-5,12))</x:f>
        <x:v>양현수</x:v>
      </x:c>
      <x:c r="DV22" s="77" t="str">
        <x:f>IF(OR(DV4&lt;0,DV4=DU4,ISERROR(INDEX(세부시간표!$A$3:$L$1183,9*DV4-5,12))),"",INDEX(세부시간표!$A$3:$L$1183,9*DV4-5,12))</x:f>
        <x:v>양현수</x:v>
      </x:c>
      <x:c r="DW22" s="77" t="str">
        <x:f>IF(OR(DW4&lt;0,DW4=DV4,ISERROR(INDEX(세부시간표!$A$3:$L$1183,9*DW4-5,12))),"",INDEX(세부시간표!$A$3:$L$1183,9*DW4-5,12))</x:f>
        <x:v>양현수</x:v>
      </x:c>
      <x:c r="DX22" s="77" t="str">
        <x:f>IF(OR(DX4&lt;0,DX4=DW4,ISERROR(INDEX(세부시간표!$A$3:$L$1183,9*DX4-5,12))),"",INDEX(세부시간표!$A$3:$L$1183,9*DX4-5,12))</x:f>
        <x:v>양현수</x:v>
      </x:c>
      <x:c r="DY22" s="77" t="str">
        <x:f>IF(OR(DY4&lt;0,DY4=DX4,ISERROR(INDEX(세부시간표!$A$3:$L$1183,9*DY4-5,12))),"",INDEX(세부시간표!$A$3:$L$1183,9*DY4-5,12))</x:f>
        <x:v>양현수</x:v>
      </x:c>
      <x:c r="DZ22" s="77" t="str">
        <x:f>IF(OR(DZ4&lt;0,DZ4=DY4,ISERROR(INDEX(세부시간표!$A$3:$L$1183,9*DZ4-5,12))),"",INDEX(세부시간표!$A$3:$L$1183,9*DZ4-5,12))</x:f>
        <x:v>양현수</x:v>
      </x:c>
      <x:c r="EA22" s="77" t="str">
        <x:f>IF(OR(EA4&lt;0,EA4=DZ4,ISERROR(INDEX(세부시간표!$A$3:$L$1183,9*EA4-5,12))),"",INDEX(세부시간표!$A$3:$L$1183,9*EA4-5,12))</x:f>
        <x:v>양현수</x:v>
      </x:c>
      <x:c r="EB22" s="77" t="str">
        <x:f>IF(OR(EB4&lt;0,EB4=EA4,ISERROR(INDEX(세부시간표!$A$3:$L$1183,9*EB4-5,12))),"",INDEX(세부시간표!$A$3:$L$1183,9*EB4-5,12))</x:f>
        <x:v>양현수</x:v>
      </x:c>
      <x:c r="EC22" s="77" t="str">
        <x:f>IF(OR(EC4&lt;0,EC4=EB4,ISERROR(INDEX(세부시간표!$A$3:$L$1183,9*EC4-5,12))),"",INDEX(세부시간표!$A$3:$L$1183,9*EC4-5,12))</x:f>
        <x:v>양현수</x:v>
      </x:c>
      <x:c r="ED22" s="77" t="str">
        <x:f>IF(OR(ED4&lt;0,ED4=EC4,ISERROR(INDEX(세부시간표!$A$3:$L$1183,9*ED4-5,12))),"",INDEX(세부시간표!$A$3:$L$1183,9*ED4-5,12))</x:f>
        <x:v>양현수</x:v>
      </x:c>
      <x:c r="EE22" s="77" t="str">
        <x:f>IF(OR(EE4&lt;0,EE4=ED4,ISERROR(INDEX(세부시간표!$A$3:$L$1183,9*EE4-5,12))),"",INDEX(세부시간표!$A$3:$L$1183,9*EE4-5,12))</x:f>
        <x:v/>
      </x:c>
      <x:c r="EF22" s="77" t="str">
        <x:f>IF(OR(EF4&lt;0,EF4=EE4,ISERROR(INDEX(세부시간표!$A$3:$L$1183,9*EF4-5,12))),"",INDEX(세부시간표!$A$3:$L$1183,9*EF4-5,12))</x:f>
        <x:v/>
      </x:c>
      <x:c r="EG22" s="77" t="str">
        <x:f>IF(OR(EG4&lt;0,EG4=EF4,ISERROR(INDEX(세부시간표!$A$3:$L$1183,9*EG4-5,12))),"",INDEX(세부시간표!$A$3:$L$1183,9*EG4-5,12))</x:f>
        <x:v/>
      </x:c>
      <x:c r="EH22" s="77" t="str">
        <x:f>IF(OR(EH4&lt;0,EH4=EG4,ISERROR(INDEX(세부시간표!$A$3:$L$1183,9*EH4-5,12))),"",INDEX(세부시간표!$A$3:$L$1183,9*EH4-5,12))</x:f>
        <x:v/>
      </x:c>
      <x:c r="EI22" s="77" t="str">
        <x:f>IF(OR(EI4&lt;0,EI4=EH4,ISERROR(INDEX(세부시간표!$A$3:$L$1183,9*EI4-5,12))),"",INDEX(세부시간표!$A$3:$L$1183,9*EI4-5,12))</x:f>
        <x:v/>
      </x:c>
      <x:c r="EJ22" s="77" t="str">
        <x:f>IF(OR(EJ4&lt;0,EJ4=EI4,ISERROR(INDEX(세부시간표!$A$3:$L$1183,9*EJ4-5,12))),"",INDEX(세부시간표!$A$3:$L$1183,9*EJ4-5,12))</x:f>
        <x:v/>
      </x:c>
      <x:c r="EK22" s="77" t="str">
        <x:f>IF(OR(EK4&lt;0,EK4=EJ4,ISERROR(INDEX(세부시간표!$A$3:$L$1183,9*EK4-5,12))),"",INDEX(세부시간표!$A$3:$L$1183,9*EK4-5,12))</x:f>
        <x:v/>
      </x:c>
      <x:c r="EL22" s="57" t="str">
        <x:f>IF(OR(EL4&lt;0,EL4=EK4,ISERROR(INDEX(세부시간표!$A$3:$L$1183,9*EL4-5,12))),"",INDEX(세부시간표!$A$3:$L$1183,9*EL4-5,12))</x:f>
        <x:v/>
      </x:c>
      <x:c r="EM22" s="55" t="str">
        <x:f>IF(OR(EM4&lt;0,EM4=EL4,ISERROR(INDEX(세부시간표!$A$3:$L$1183,9*EM4-5,12))),"",INDEX(세부시간표!$A$3:$L$1183,9*EM4-5,12))</x:f>
        <x:v/>
      </x:c>
      <x:c r="EN22" s="55" t="str">
        <x:f>IF(OR(EN4&lt;0,EN4=EM4,ISERROR(INDEX(세부시간표!$A$3:$L$1183,9*EN4-5,12))),"",INDEX(세부시간표!$A$3:$L$1183,9*EN4-5,12))</x:f>
        <x:v/>
      </x:c>
      <x:c r="EO22" s="55" t="str">
        <x:f>IF(OR(EO4&lt;0,EO4=EN4,ISERROR(INDEX(세부시간표!$A$3:$L$1183,9*EO4-5,12))),"",INDEX(세부시간표!$A$3:$L$1183,9*EO4-5,12))</x:f>
        <x:v/>
      </x:c>
      <x:c r="EP22" s="56" t="str">
        <x:f>IF(OR(EP4&lt;0,EP4=EO4,ISERROR(INDEX(세부시간표!$A$3:$L$1183,9*EP4-5,12))),"",INDEX(세부시간표!$A$3:$L$1183,9*EP4-5,12))</x:f>
        <x:v/>
      </x:c>
    </x:row>
    <x:row r="23" spans="1:146" s="86" customFormat="1" ht="15" customHeight="1">
      <x:c r="A23" s="277" t="s">
        <x:v>48</x:v>
      </x:c>
      <x:c r="B23" s="82" t="str">
        <x:f>IF(OR(B4&lt;0,B4=A4,ISERROR(INDEX(세부시간표!$A$3:$L$1183,9*B4-3,10))),"",INDEX(세부시간표!$A$3:$L$1183,9*B4-3,10))</x:f>
        <x:v>웹 애플리케이션 개발</x:v>
      </x:c>
      <x:c r="C23" s="82" t="str">
        <x:f>IF(OR(C4&lt;0,C4=B4,ISERROR(INDEX(세부시간표!$A$3:$L$1183,9*C4-3,10))),"",INDEX(세부시간표!$A$3:$L$1183,9*C4-3,10))</x:f>
        <x:v>웹 애플리케이션 개발</x:v>
      </x:c>
      <x:c r="D23" s="82" t="str">
        <x:f>IF(OR(D4&lt;0,D4=C4,ISERROR(INDEX(세부시간표!$A$3:$L$1183,9*D4-3,10))),"",INDEX(세부시간표!$A$3:$L$1183,9*D4-3,10))</x:f>
        <x:v>웹 애플리케이션 개발</x:v>
      </x:c>
      <x:c r="E23" s="82" t="str">
        <x:f>IF(OR(E4&lt;0,E4=D4,ISERROR(INDEX(세부시간표!$A$3:$L$1183,9*E4-3,10))),"",INDEX(세부시간표!$A$3:$L$1183,9*E4-3,10))</x:f>
        <x:v>웹 애플리케이션 개발</x:v>
      </x:c>
      <x:c r="F23" s="82" t="str">
        <x:f>IF(OR(F4&lt;0,F4=E4,ISERROR(INDEX(세부시간표!$A$3:$L$1183,9*F4-3,10))),"",INDEX(세부시간표!$A$3:$L$1183,9*F4-3,10))</x:f>
        <x:v>웹 애플리케이션 개발</x:v>
      </x:c>
      <x:c r="G23" s="82" t="str">
        <x:f>IF(OR(G4&lt;0,G4=F4,ISERROR(INDEX(세부시간표!$A$3:$L$1183,9*G4-3,10))),"",INDEX(세부시간표!$A$3:$L$1183,9*G4-3,10))</x:f>
        <x:v>웹 애플리케이션 개발</x:v>
      </x:c>
      <x:c r="H23" s="82" t="str">
        <x:f>IF(OR(H4&lt;0,H4=G4,ISERROR(INDEX(세부시간표!$A$3:$L$1183,9*H4-3,10))),"",INDEX(세부시간표!$A$3:$L$1183,9*H4-3,10))</x:f>
        <x:v>웹 애플리케이션 개발</x:v>
      </x:c>
      <x:c r="I23" s="82" t="str">
        <x:f>IF(OR(I4&lt;0,I4=H4,ISERROR(INDEX(세부시간표!$A$3:$L$1183,9*I4-3,10))),"",INDEX(세부시간표!$A$3:$L$1183,9*I4-3,10))</x:f>
        <x:v>웹 애플리케이션 개발</x:v>
      </x:c>
      <x:c r="J23" s="82" t="str">
        <x:f>IF(OR(J4&lt;0,J4=I4,ISERROR(INDEX(세부시간표!$A$3:$L$1183,9*J4-3,10))),"",INDEX(세부시간표!$A$3:$L$1183,9*J4-3,10))</x:f>
        <x:v>웹 애플리케이션 개발</x:v>
      </x:c>
      <x:c r="K23" s="82" t="str">
        <x:f>IF(OR(K4&lt;0,K4=J4,ISERROR(INDEX(세부시간표!$A$3:$L$1183,9*K4-3,10))),"",INDEX(세부시간표!$A$3:$L$1183,9*K4-3,10))</x:f>
        <x:v/>
      </x:c>
      <x:c r="L23" s="82" t="str">
        <x:f>IF(OR(L4&lt;0,L4=K4,ISERROR(INDEX(세부시간표!$A$3:$L$1183,9*L4-3,10))),"",INDEX(세부시간표!$A$3:$L$1183,9*L4-3,10))</x:f>
        <x:v/>
      </x:c>
      <x:c r="M23" s="82" t="str">
        <x:f>IF(OR(M4&lt;0,M4=L4,ISERROR(INDEX(세부시간표!$A$3:$L$1183,9*M4-3,10))),"",INDEX(세부시간표!$A$3:$L$1183,9*M4-3,10))</x:f>
        <x:v/>
      </x:c>
      <x:c r="N23" s="82" t="str">
        <x:f>IF(OR(N4&lt;0,N4=M4,ISERROR(INDEX(세부시간표!$A$3:$L$1183,9*N4-3,10))),"",INDEX(세부시간표!$A$3:$L$1183,9*N4-3,10))</x:f>
        <x:v/>
      </x:c>
      <x:c r="O23" s="82" t="str">
        <x:f>IF(OR(O4&lt;0,O4=N4,ISERROR(INDEX(세부시간표!$A$3:$L$1183,9*O4-3,10))),"",INDEX(세부시간표!$A$3:$L$1183,9*O4-3,10))</x:f>
        <x:v/>
      </x:c>
      <x:c r="P23" s="82" t="str">
        <x:f>IF(OR(P4&lt;0,P4=O4,ISERROR(INDEX(세부시간표!$A$3:$L$1183,9*P4-3,10))),"",INDEX(세부시간표!$A$3:$L$1183,9*P4-3,10))</x:f>
        <x:v>웹 애플리케이션 개발</x:v>
      </x:c>
      <x:c r="Q23" s="82" t="str">
        <x:f>IF(OR(Q4&lt;0,Q4=P4,ISERROR(INDEX(세부시간표!$A$3:$L$1183,9*Q4-3,10))),"",INDEX(세부시간표!$A$3:$L$1183,9*Q4-3,10))</x:f>
        <x:v>웹&amp;콘텐츠 서비스 개발</x:v>
      </x:c>
      <x:c r="R23" s="82" t="str">
        <x:f>IF(OR(R4&lt;0,R4=Q4,ISERROR(INDEX(세부시간표!$A$3:$L$1183,9*R4-3,10))),"",INDEX(세부시간표!$A$3:$L$1183,9*R4-3,10))</x:f>
        <x:v>웹&amp;콘텐츠 서비스 개발</x:v>
      </x:c>
      <x:c r="S23" s="82" t="str">
        <x:f>IF(OR(S4&lt;0,S4=R4,ISERROR(INDEX(세부시간표!$A$3:$L$1183,9*S4-3,10))),"",INDEX(세부시간표!$A$3:$L$1183,9*S4-3,10))</x:f>
        <x:v>웹&amp;콘텐츠 서비스 개발</x:v>
      </x:c>
      <x:c r="T23" s="82" t="str">
        <x:f>IF(OR(T4&lt;0,T4=S4,ISERROR(INDEX(세부시간표!$A$3:$L$1183,9*T4-3,10))),"",INDEX(세부시간표!$A$3:$L$1183,9*T4-3,10))</x:f>
        <x:v>웹&amp;콘텐츠 서비스 개발</x:v>
      </x:c>
      <x:c r="U23" s="82" t="str">
        <x:f>IF(OR(U4&lt;0,U4=T4,ISERROR(INDEX(세부시간표!$A$3:$L$1183,9*U4-3,10))),"",INDEX(세부시간표!$A$3:$L$1183,9*U4-3,10))</x:f>
        <x:v>웹&amp;콘텐츠 서비스 개발</x:v>
      </x:c>
      <x:c r="V23" s="82" t="str">
        <x:f>IF(OR(V4&lt;0,V4=U4,ISERROR(INDEX(세부시간표!$A$3:$L$1183,9*V4-3,10))),"",INDEX(세부시간표!$A$3:$L$1183,9*V4-3,10))</x:f>
        <x:v>SQL 및 데이터 모델링</x:v>
      </x:c>
      <x:c r="W23" s="82" t="str">
        <x:f>IF(OR(W4&lt;0,W4=V4,ISERROR(INDEX(세부시간표!$A$3:$L$1183,9*W4-3,10))),"",INDEX(세부시간표!$A$3:$L$1183,9*W4-3,10))</x:f>
        <x:v>SQL 및 데이터 모델링</x:v>
      </x:c>
      <x:c r="X23" s="82" t="str">
        <x:f>IF(OR(X4&lt;0,X4=W4,ISERROR(INDEX(세부시간표!$A$3:$L$1183,9*X4-3,10))),"",INDEX(세부시간표!$A$3:$L$1183,9*X4-3,10))</x:f>
        <x:v>SQL 및 데이터 모델링</x:v>
      </x:c>
      <x:c r="Y23" s="82" t="str">
        <x:f>IF(OR(Y4&lt;0,Y4=X4,ISERROR(INDEX(세부시간표!$A$3:$L$1183,9*Y4-3,10))),"",INDEX(세부시간표!$A$3:$L$1183,9*Y4-3,10))</x:f>
        <x:v>SQL 및 데이터 모델링</x:v>
      </x:c>
      <x:c r="Z23" s="82" t="str">
        <x:f>IF(OR(Z4&lt;0,Z4=Y4,ISERROR(INDEX(세부시간표!$A$3:$L$1183,9*Z4-3,10))),"",INDEX(세부시간표!$A$3:$L$1183,9*Z4-3,10))</x:f>
        <x:v>SQL 및 데이터 모델링</x:v>
      </x:c>
      <x:c r="AA23" s="82" t="str">
        <x:f>IF(OR(AA4&lt;0,AA4=Z4,ISERROR(INDEX(세부시간표!$A$3:$L$1183,9*AA4-3,10))),"",INDEX(세부시간표!$A$3:$L$1183,9*AA4-3,10))</x:f>
        <x:v>SQL 및 데이터 모델링</x:v>
      </x:c>
      <x:c r="AB23" s="82" t="str">
        <x:f>IF(OR(AB4&lt;0,AB4=AA4,ISERROR(INDEX(세부시간표!$A$3:$L$1183,9*AB4-3,10))),"",INDEX(세부시간표!$A$3:$L$1183,9*AB4-3,10))</x:f>
        <x:v>SQL 및 데이터 모델링</x:v>
      </x:c>
      <x:c r="AC23" s="82" t="str">
        <x:f>IF(OR(AC4&lt;0,AC4=AB4,ISERROR(INDEX(세부시간표!$A$3:$L$1183,9*AC4-3,10))),"",INDEX(세부시간표!$A$3:$L$1183,9*AC4-3,10))</x:f>
        <x:v>SQL 및 데이터 모델링</x:v>
      </x:c>
      <x:c r="AD23" s="82" t="str">
        <x:f>IF(OR(AD4&lt;0,AD4=AC4,ISERROR(INDEX(세부시간표!$A$3:$L$1183,9*AD4-3,10))),"",INDEX(세부시간표!$A$3:$L$1183,9*AD4-3,10))</x:f>
        <x:v>SQL 및 데이터 모델링</x:v>
      </x:c>
      <x:c r="AE23" s="82" t="str">
        <x:f>IF(OR(AE4&lt;0,AE4=AD4,ISERROR(INDEX(세부시간표!$A$3:$L$1183,9*AE4-3,10))),"",INDEX(세부시간표!$A$3:$L$1183,9*AE4-3,10))</x:f>
        <x:v>AI개발 기초</x:v>
      </x:c>
      <x:c r="AF23" s="82" t="str">
        <x:f>IF(OR(AF4&lt;0,AF4=AE4,ISERROR(INDEX(세부시간표!$A$3:$L$1183,9*AF4-3,10))),"",INDEX(세부시간표!$A$3:$L$1183,9*AF4-3,10))</x:f>
        <x:v>AI개발 기초</x:v>
      </x:c>
      <x:c r="AG23" s="82" t="str">
        <x:f>IF(OR(AG4&lt;0,AG4=AF4,ISERROR(INDEX(세부시간표!$A$3:$L$1183,9*AG4-3,10))),"",INDEX(세부시간표!$A$3:$L$1183,9*AG4-3,10))</x:f>
        <x:v>AI개발 기초</x:v>
      </x:c>
      <x:c r="AH23" s="82" t="str">
        <x:f>IF(OR(AH4&lt;0,AH4=AG4,ISERROR(INDEX(세부시간표!$A$3:$L$1183,9*AH4-3,10))),"",INDEX(세부시간표!$A$3:$L$1183,9*AH4-3,10))</x:f>
        <x:v>AI개발 기초</x:v>
      </x:c>
      <x:c r="AI23" s="82" t="str">
        <x:f>IF(OR(AI4&lt;0,AI4=AH4,ISERROR(INDEX(세부시간표!$A$3:$L$1183,9*AI4-3,10))),"",INDEX(세부시간표!$A$3:$L$1183,9*AI4-3,10))</x:f>
        <x:v>AI개발 기초</x:v>
      </x:c>
      <x:c r="AJ23" s="82" t="str">
        <x:f>IF(OR(AJ4&lt;0,AJ4=AI4,ISERROR(INDEX(세부시간표!$A$3:$L$1183,9*AJ4-3,10))),"",INDEX(세부시간표!$A$3:$L$1183,9*AJ4-3,10))</x:f>
        <x:v>AI개발 기초</x:v>
      </x:c>
      <x:c r="AK23" s="82" t="str">
        <x:f>IF(OR(AK4&lt;0,AK4=AJ4,ISERROR(INDEX(세부시간표!$A$3:$L$1183,9*AK4-3,10))),"",INDEX(세부시간표!$A$3:$L$1183,9*AK4-3,10))</x:f>
        <x:v>AI개발 기초</x:v>
      </x:c>
      <x:c r="AL23" s="82" t="str">
        <x:f>IF(OR(AL4&lt;0,AL4=AK4,ISERROR(INDEX(세부시간표!$A$3:$L$1183,9*AL4-3,10))),"",INDEX(세부시간표!$A$3:$L$1183,9*AL4-3,10))</x:f>
        <x:v>AI개발 기초</x:v>
      </x:c>
      <x:c r="AM23" s="82" t="str">
        <x:f>IF(OR(AM4&lt;0,AM4=AL4,ISERROR(INDEX(세부시간표!$A$3:$L$1183,9*AM4-3,10))),"",INDEX(세부시간표!$A$3:$L$1183,9*AM4-3,10))</x:f>
        <x:v>AI개발 기초</x:v>
      </x:c>
      <x:c r="AN23" s="82" t="str">
        <x:f>IF(OR(AN4&lt;0,AN4=AM4,ISERROR(INDEX(세부시간표!$A$3:$L$1183,9*AN4-3,10))),"",INDEX(세부시간표!$A$3:$L$1183,9*AN4-3,10))</x:f>
        <x:v>AI개발 기초</x:v>
      </x:c>
      <x:c r="AO23" s="82" t="str">
        <x:f>IF(OR(AO4&lt;0,AO4=AN4,ISERROR(INDEX(세부시간표!$A$3:$L$1183,9*AO4-3,10))),"",INDEX(세부시간표!$A$3:$L$1183,9*AO4-3,10))</x:f>
        <x:v>AI개발 기초</x:v>
      </x:c>
      <x:c r="AP23" s="82" t="str">
        <x:f>IF(OR(AP4&lt;0,AP4=AO4,ISERROR(INDEX(세부시간표!$A$3:$L$1183,9*AP4-3,10))),"",INDEX(세부시간표!$A$3:$L$1183,9*AP4-3,10))</x:f>
        <x:v>AI개발 기초</x:v>
      </x:c>
      <x:c r="AQ23" s="82" t="str">
        <x:f>IF(OR(AQ4&lt;0,AQ4=AP4,ISERROR(INDEX(세부시간표!$A$3:$L$1183,9*AQ4-3,10))),"",INDEX(세부시간표!$A$3:$L$1183,9*AQ4-3,10))</x:f>
        <x:v>인공지능 프로그래밍</x:v>
      </x:c>
      <x:c r="AR23" s="82" t="str">
        <x:f>IF(OR(AR4&lt;0,AR4=AQ4,ISERROR(INDEX(세부시간표!$A$3:$L$1183,9*AR4-3,10))),"",INDEX(세부시간표!$A$3:$L$1183,9*AR4-3,10))</x:f>
        <x:v>인공지능 프로그래밍</x:v>
      </x:c>
      <x:c r="AS23" s="82" t="str">
        <x:f>IF(OR(AS4&lt;0,AS4=AR4,ISERROR(INDEX(세부시간표!$A$3:$L$1183,9*AS4-3,10))),"",INDEX(세부시간표!$A$3:$L$1183,9*AS4-3,10))</x:f>
        <x:v>인공지능 프로그래밍</x:v>
      </x:c>
      <x:c r="AT23" s="82" t="str">
        <x:f>IF(OR(AT4&lt;0,AT4=AS4,ISERROR(INDEX(세부시간표!$A$3:$L$1183,9*AT4-3,10))),"",INDEX(세부시간표!$A$3:$L$1183,9*AT4-3,10))</x:f>
        <x:v>인공지능 프로그래밍</x:v>
      </x:c>
      <x:c r="AU23" s="82" t="str">
        <x:f>IF(OR(AU4&lt;0,AU4=AT4,ISERROR(INDEX(세부시간표!$A$3:$L$1183,9*AU4-3,10))),"",INDEX(세부시간표!$A$3:$L$1183,9*AU4-3,10))</x:f>
        <x:v>인공지능 프로그래밍</x:v>
      </x:c>
      <x:c r="AV23" s="82" t="str">
        <x:f>IF(OR(AV4&lt;0,AV4=AU4,ISERROR(INDEX(세부시간표!$A$3:$L$1183,9*AV4-3,10))),"",INDEX(세부시간표!$A$3:$L$1183,9*AV4-3,10))</x:f>
        <x:v>인공지능 프로그래밍</x:v>
      </x:c>
      <x:c r="AW23" s="82" t="str">
        <x:f>IF(OR(AW4&lt;0,AW4=AV4,ISERROR(INDEX(세부시간표!$A$3:$L$1183,9*AW4-3,10))),"",INDEX(세부시간표!$A$3:$L$1183,9*AW4-3,10))</x:f>
        <x:v>인공지능 프로그래밍</x:v>
      </x:c>
      <x:c r="AX23" s="82" t="str">
        <x:f>IF(OR(AX4&lt;0,AX4=AW4,ISERROR(INDEX(세부시간표!$A$3:$L$1183,9*AX4-3,10))),"",INDEX(세부시간표!$A$3:$L$1183,9*AX4-3,10))</x:f>
        <x:v>인공지능 프로그래밍</x:v>
      </x:c>
      <x:c r="AY23" s="82" t="str">
        <x:f>IF(OR(AY4&lt;0,AY4=AX4,ISERROR(INDEX(세부시간표!$A$3:$L$1183,9*AY4-3,10))),"",INDEX(세부시간표!$A$3:$L$1183,9*AY4-3,10))</x:f>
        <x:v>인공지능 프로그래밍</x:v>
      </x:c>
      <x:c r="AZ23" s="82" t="str">
        <x:f>IF(OR(AZ4&lt;0,AZ4=AY4,ISERROR(INDEX(세부시간표!$A$3:$L$1183,9*AZ4-3,10))),"",INDEX(세부시간표!$A$3:$L$1183,9*AZ4-3,10))</x:f>
        <x:v>인공지능 프로그래밍</x:v>
      </x:c>
      <x:c r="BA23" s="82" t="str">
        <x:f>IF(OR(BA4&lt;0,BA4=AZ4,ISERROR(INDEX(세부시간표!$A$3:$L$1183,9*BA4-3,10))),"",INDEX(세부시간표!$A$3:$L$1183,9*BA4-3,10))</x:f>
        <x:v>인공지능 프로그래밍</x:v>
      </x:c>
      <x:c r="BB23" s="82" t="str">
        <x:f>IF(OR(BB4&lt;0,BB4=BA4,ISERROR(INDEX(세부시간표!$A$3:$L$1183,9*BB4-3,10))),"",INDEX(세부시간표!$A$3:$L$1183,9*BB4-3,10))</x:f>
        <x:v>인공지능 프로그래밍</x:v>
      </x:c>
      <x:c r="BC23" s="82" t="str">
        <x:f>IF(OR(BC4&lt;0,BC4=BB4,ISERROR(INDEX(세부시간표!$A$3:$L$1183,9*BC4-3,10))),"",INDEX(세부시간표!$A$3:$L$1183,9*BC4-3,10))</x:f>
        <x:v>인공지능 프로그래밍</x:v>
      </x:c>
      <x:c r="BD23" s="82" t="str">
        <x:f>IF(OR(BD4&lt;0,BD4=BC4,ISERROR(INDEX(세부시간표!$A$3:$L$1183,9*BD4-3,10))),"",INDEX(세부시간표!$A$3:$L$1183,9*BD4-3,10))</x:f>
        <x:v>인공지능 프로그래밍</x:v>
      </x:c>
      <x:c r="BE23" s="82" t="str">
        <x:f>IF(OR(BE4&lt;0,BE4=BD4,ISERROR(INDEX(세부시간표!$A$3:$L$1183,9*BE4-3,10))),"",INDEX(세부시간표!$A$3:$L$1183,9*BE4-3,10))</x:f>
        <x:v>인공지능 프로그래밍</x:v>
      </x:c>
      <x:c r="BF23" s="82" t="str">
        <x:f>IF(OR(BF4&lt;0,BF4=BE4,ISERROR(INDEX(세부시간표!$A$3:$L$1183,9*BF4-3,10))),"",INDEX(세부시간표!$A$3:$L$1183,9*BF4-3,10))</x:f>
        <x:v>인공지능 프로그래밍</x:v>
      </x:c>
      <x:c r="BG23" s="82" t="str">
        <x:f>IF(OR(BG4&lt;0,BG4=BF4,ISERROR(INDEX(세부시간표!$A$3:$L$1183,9*BG4-3,10))),"",INDEX(세부시간표!$A$3:$L$1183,9*BG4-3,10))</x:f>
        <x:v>Advanced 프로젝트</x:v>
      </x:c>
      <x:c r="BH23" s="82" t="str">
        <x:f>IF(OR(BH4&lt;0,BH4=BG4,ISERROR(INDEX(세부시간표!$A$3:$L$1183,9*BH4-3,10))),"",INDEX(세부시간표!$A$3:$L$1183,9*BH4-3,10))</x:f>
        <x:v>Advanced 프로젝트</x:v>
      </x:c>
      <x:c r="BI23" s="82" t="str">
        <x:f>IF(OR(BI4&lt;0,BI4=BH4,ISERROR(INDEX(세부시간표!$A$3:$L$1183,9*BI4-3,10))),"",INDEX(세부시간표!$A$3:$L$1183,9*BI4-3,10))</x:f>
        <x:v>Advanced 프로젝트</x:v>
      </x:c>
      <x:c r="BJ23" s="82" t="str">
        <x:f>IF(OR(BJ4&lt;0,BJ4=BI4,ISERROR(INDEX(세부시간표!$A$3:$L$1183,9*BJ4-3,10))),"",INDEX(세부시간표!$A$3:$L$1183,9*BJ4-3,10))</x:f>
        <x:v>Advanced 프로젝트</x:v>
      </x:c>
      <x:c r="BK23" s="82" t="str">
        <x:f>IF(OR(BK4&lt;0,BK4=BJ4,ISERROR(INDEX(세부시간표!$A$3:$L$1183,9*BK4-3,10))),"",INDEX(세부시간표!$A$3:$L$1183,9*BK4-3,10))</x:f>
        <x:v>Advanced 프로젝트</x:v>
      </x:c>
      <x:c r="BL23" s="82" t="str">
        <x:f>IF(OR(BL4&lt;0,BL4=BK4,ISERROR(INDEX(세부시간표!$A$3:$L$1183,9*BL4-3,10))),"",INDEX(세부시간표!$A$3:$L$1183,9*BL4-3,10))</x:f>
        <x:v>Advanced 프로젝트</x:v>
      </x:c>
      <x:c r="BM23" s="82" t="str">
        <x:f>IF(OR(BM4&lt;0,BM4=BL4,ISERROR(INDEX(세부시간표!$A$3:$L$1183,9*BM4-3,10))),"",INDEX(세부시간표!$A$3:$L$1183,9*BM4-3,10))</x:f>
        <x:v>Advanced 프로젝트</x:v>
      </x:c>
      <x:c r="BN23" s="82" t="str">
        <x:f>IF(OR(BN4&lt;0,BN4=BM4,ISERROR(INDEX(세부시간표!$A$3:$L$1183,9*BN4-3,10))),"",INDEX(세부시간표!$A$3:$L$1183,9*BN4-3,10))</x:f>
        <x:v>Advanced 프로젝트</x:v>
      </x:c>
      <x:c r="BO23" s="82" t="str">
        <x:f>IF(OR(BO4&lt;0,BO4=BN4,ISERROR(INDEX(세부시간표!$A$3:$L$1183,9*BO4-3,10))),"",INDEX(세부시간표!$A$3:$L$1183,9*BO4-3,10))</x:f>
        <x:v>Advanced 프로젝트</x:v>
      </x:c>
      <x:c r="BP23" s="82" t="str">
        <x:f>IF(OR(BP4&lt;0,BP4=BO4,ISERROR(INDEX(세부시간표!$A$3:$L$1183,9*BP4-3,10))),"",INDEX(세부시간표!$A$3:$L$1183,9*BP4-3,10))</x:f>
        <x:v>Advanced 프로젝트</x:v>
      </x:c>
      <x:c r="BQ23" s="82" t="str">
        <x:f>IF(OR(BQ4&lt;0,BQ4=BP4,ISERROR(INDEX(세부시간표!$A$3:$L$1183,9*BQ4-3,10))),"",INDEX(세부시간표!$A$3:$L$1183,9*BQ4-3,10))</x:f>
        <x:v>Advanced 프로젝트</x:v>
      </x:c>
      <x:c r="BR23" s="82" t="str">
        <x:f>IF(OR(BR4&lt;0,BR4=BQ4,ISERROR(INDEX(세부시간표!$A$3:$L$1183,9*BR4-3,10))),"",INDEX(세부시간표!$A$3:$L$1183,9*BR4-3,10))</x:f>
        <x:v/>
      </x:c>
      <x:c r="BS23" s="82" t="str">
        <x:f>IF(OR(BS4&lt;0,BS4=BR4,ISERROR(INDEX(세부시간표!$A$3:$L$1183,9*BS4-3,10))),"",INDEX(세부시간표!$A$3:$L$1183,9*BS4-3,10))</x:f>
        <x:v>Advanced 프로젝트</x:v>
      </x:c>
      <x:c r="BT23" s="82" t="str">
        <x:f>IF(OR(BT4&lt;0,BT4=BS4,ISERROR(INDEX(세부시간표!$A$3:$L$1183,9*BT4-3,10))),"",INDEX(세부시간표!$A$3:$L$1183,9*BT4-3,10))</x:f>
        <x:v>Advanced 프로젝트</x:v>
      </x:c>
      <x:c r="BU23" s="82" t="str">
        <x:f>IF(OR(BU4&lt;0,BU4=BT4,ISERROR(INDEX(세부시간표!$A$3:$L$1183,9*BU4-3,10))),"",INDEX(세부시간표!$A$3:$L$1183,9*BU4-3,10))</x:f>
        <x:v>빅데이터 분석 및 시각화</x:v>
      </x:c>
      <x:c r="BV23" s="82" t="str">
        <x:f>IF(OR(BV4&lt;0,BV4=BU4,ISERROR(INDEX(세부시간표!$A$3:$L$1183,9*BV4-3,10))),"",INDEX(세부시간표!$A$3:$L$1183,9*BV4-3,10))</x:f>
        <x:v>빅데이터 분석 및 시각화</x:v>
      </x:c>
      <x:c r="BW23" s="82" t="str">
        <x:f>IF(OR(BW4&lt;0,BW4=BV4,ISERROR(INDEX(세부시간표!$A$3:$L$1183,9*BW4-3,10))),"",INDEX(세부시간표!$A$3:$L$1183,9*BW4-3,10))</x:f>
        <x:v/>
      </x:c>
      <x:c r="BX23" s="82" t="str">
        <x:f>IF(OR(BX4&lt;0,BX4=BW4,ISERROR(INDEX(세부시간표!$A$3:$L$1183,9*BX4-3,10))),"",INDEX(세부시간표!$A$3:$L$1183,9*BX4-3,10))</x:f>
        <x:v>빅데이터 분석 및 시각화</x:v>
      </x:c>
      <x:c r="BY23" s="82" t="str">
        <x:f>IF(OR(BY4&lt;0,BY4=BX4,ISERROR(INDEX(세부시간표!$A$3:$L$1183,9*BY4-3,10))),"",INDEX(세부시간표!$A$3:$L$1183,9*BY4-3,10))</x:f>
        <x:v>빅데이터 분석 및 시각화</x:v>
      </x:c>
      <x:c r="BZ23" s="82" t="str">
        <x:f>IF(OR(BZ4&lt;0,BZ4=BY4,ISERROR(INDEX(세부시간표!$A$3:$L$1183,9*BZ4-3,10))),"",INDEX(세부시간표!$A$3:$L$1183,9*BZ4-3,10))</x:f>
        <x:v>빅데이터 분석 및 시각화</x:v>
      </x:c>
      <x:c r="CA23" s="82" t="str">
        <x:f>IF(OR(CA4&lt;0,CA4=BZ4,ISERROR(INDEX(세부시간표!$A$3:$L$1183,9*CA4-3,10))),"",INDEX(세부시간표!$A$3:$L$1183,9*CA4-3,10))</x:f>
        <x:v>빅데이터 시스템 구축</x:v>
      </x:c>
      <x:c r="CB23" s="82" t="str">
        <x:f>IF(OR(CB4&lt;0,CB4=CA4,ISERROR(INDEX(세부시간표!$A$3:$L$1183,9*CB4-3,10))),"",INDEX(세부시간표!$A$3:$L$1183,9*CB4-3,10))</x:f>
        <x:v>빅데이터 시스템 구축</x:v>
      </x:c>
      <x:c r="CC23" s="82" t="str">
        <x:f>IF(OR(CC4&lt;0,CC4=CB4,ISERROR(INDEX(세부시간표!$A$3:$L$1183,9*CC4-3,10))),"",INDEX(세부시간표!$A$3:$L$1183,9*CC4-3,10))</x:f>
        <x:v>빅데이터 시스템 구축</x:v>
      </x:c>
      <x:c r="CD23" s="82" t="str">
        <x:f>IF(OR(CD4&lt;0,CD4=CC4,ISERROR(INDEX(세부시간표!$A$3:$L$1183,9*CD4-3,10))),"",INDEX(세부시간표!$A$3:$L$1183,9*CD4-3,10))</x:f>
        <x:v>빅데이터 시스템 구축</x:v>
      </x:c>
      <x:c r="CE23" s="82" t="str">
        <x:f>IF(OR(CE4&lt;0,CE4=CD4,ISERROR(INDEX(세부시간표!$A$3:$L$1183,9*CE4-3,10))),"",INDEX(세부시간표!$A$3:$L$1183,9*CE4-3,10))</x:f>
        <x:v>빅데이터 시스템 구축</x:v>
      </x:c>
      <x:c r="CF23" s="82" t="str">
        <x:f>IF(OR(CF4&lt;0,CF4=CE4,ISERROR(INDEX(세부시간표!$A$3:$L$1183,9*CF4-3,10))),"",INDEX(세부시간표!$A$3:$L$1183,9*CF4-3,10))</x:f>
        <x:v>빅데이터 시스템 구축</x:v>
      </x:c>
      <x:c r="CG23" s="82" t="str">
        <x:f>IF(OR(CG4&lt;0,CG4=CF4,ISERROR(INDEX(세부시간표!$A$3:$L$1183,9*CG4-3,10))),"",INDEX(세부시간표!$A$3:$L$1183,9*CG4-3,10))</x:f>
        <x:v>빅데이터 시스템 구축</x:v>
      </x:c>
      <x:c r="CH23" s="82" t="str">
        <x:f>IF(OR(CH4&lt;0,CH4=CG4,ISERROR(INDEX(세부시간표!$A$3:$L$1183,9*CH4-3,10))),"",INDEX(세부시간표!$A$3:$L$1183,9*CH4-3,10))</x:f>
        <x:v>빅데이터 시스템 구축</x:v>
      </x:c>
      <x:c r="CI23" s="82" t="str">
        <x:f>IF(OR(CI4&lt;0,CI4=CH4,ISERROR(INDEX(세부시간표!$A$3:$L$1183,9*CI4-3,10))),"",INDEX(세부시간표!$A$3:$L$1183,9*CI4-3,10))</x:f>
        <x:v>빅데이터 시스템 구축</x:v>
      </x:c>
      <x:c r="CJ23" s="82" t="str">
        <x:f>IF(OR(CJ4&lt;0,CJ4=CI4,ISERROR(INDEX(세부시간표!$A$3:$L$1183,9*CJ4-3,10))),"",INDEX(세부시간표!$A$3:$L$1183,9*CJ4-3,10))</x:f>
        <x:v>빅데이터 시스템 구축</x:v>
      </x:c>
      <x:c r="CK23" s="82" t="str">
        <x:f>IF(OR(CK4&lt;0,CK4=CJ4,ISERROR(INDEX(세부시간표!$A$3:$L$1183,9*CK4-3,10))),"",INDEX(세부시간표!$A$3:$L$1183,9*CK4-3,10))</x:f>
        <x:v>빅데이터 플랫폼 개발</x:v>
      </x:c>
      <x:c r="CL23" s="82" t="str">
        <x:f>IF(OR(CL4&lt;0,CL4=CK4,ISERROR(INDEX(세부시간표!$A$3:$L$1183,9*CL4-3,10))),"",INDEX(세부시간표!$A$3:$L$1183,9*CL4-3,10))</x:f>
        <x:v>빅데이터 플랫폼 개발</x:v>
      </x:c>
      <x:c r="CM23" s="82" t="str">
        <x:f>IF(OR(CM4&lt;0,CM4=CL4,ISERROR(INDEX(세부시간표!$A$3:$L$1183,9*CM4-3,10))),"",INDEX(세부시간표!$A$3:$L$1183,9*CM4-3,10))</x:f>
        <x:v>빅데이터 플랫폼 개발</x:v>
      </x:c>
      <x:c r="CN23" s="82" t="str">
        <x:f>IF(OR(CN4&lt;0,CN4=CM4,ISERROR(INDEX(세부시간표!$A$3:$L$1183,9*CN4-3,10))),"",INDEX(세부시간표!$A$3:$L$1183,9*CN4-3,10))</x:f>
        <x:v>빅데이터 플랫폼 개발</x:v>
      </x:c>
      <x:c r="CO23" s="82" t="str">
        <x:f>IF(OR(CO4&lt;0,CO4=CN4,ISERROR(INDEX(세부시간표!$A$3:$L$1183,9*CO4-3,10))),"",INDEX(세부시간표!$A$3:$L$1183,9*CO4-3,10))</x:f>
        <x:v>빅데이터 플랫폼 개발</x:v>
      </x:c>
      <x:c r="CP23" s="82" t="str">
        <x:f>IF(OR(CP4&lt;0,CP4=CO4,ISERROR(INDEX(세부시간표!$A$3:$L$1183,9*CP4-3,10))),"",INDEX(세부시간표!$A$3:$L$1183,9*CP4-3,10))</x:f>
        <x:v>빅데이터 플랫폼 개발</x:v>
      </x:c>
      <x:c r="CQ23" s="82" t="str">
        <x:f>IF(OR(CQ4&lt;0,CQ4=CP4,ISERROR(INDEX(세부시간표!$A$3:$L$1183,9*CQ4-3,10))),"",INDEX(세부시간표!$A$3:$L$1183,9*CQ4-3,10))</x:f>
        <x:v>빅데이터 플랫폼 개발</x:v>
      </x:c>
      <x:c r="CR23" s="82" t="str">
        <x:f>IF(OR(CR4&lt;0,CR4=CQ4,ISERROR(INDEX(세부시간표!$A$3:$L$1183,9*CR4-3,10))),"",INDEX(세부시간표!$A$3:$L$1183,9*CR4-3,10))</x:f>
        <x:v>빅데이터 플랫폼 개발</x:v>
      </x:c>
      <x:c r="CS23" s="82" t="str">
        <x:f>IF(OR(CS4&lt;0,CS4=CR4,ISERROR(INDEX(세부시간표!$A$3:$L$1183,9*CS4-3,10))),"",INDEX(세부시간표!$A$3:$L$1183,9*CS4-3,10))</x:f>
        <x:v>Final 프로젝트</x:v>
      </x:c>
      <x:c r="CT23" s="82" t="str">
        <x:f>IF(OR(CT4&lt;0,CT4=CS4,ISERROR(INDEX(세부시간표!$A$3:$L$1183,9*CT4-3,10))),"",INDEX(세부시간표!$A$3:$L$1183,9*CT4-3,10))</x:f>
        <x:v>Final 프로젝트</x:v>
      </x:c>
      <x:c r="CU23" s="82" t="str">
        <x:f>IF(OR(CU4&lt;0,CU4=CT4,ISERROR(INDEX(세부시간표!$A$3:$L$1183,9*CU4-3,10))),"",INDEX(세부시간표!$A$3:$L$1183,9*CU4-3,10))</x:f>
        <x:v>Final 프로젝트</x:v>
      </x:c>
      <x:c r="CV23" s="82" t="str">
        <x:f>IF(OR(CV4&lt;0,CV4=CU4,ISERROR(INDEX(세부시간표!$A$3:$L$1183,9*CV4-3,10))),"",INDEX(세부시간표!$A$3:$L$1183,9*CV4-3,10))</x:f>
        <x:v>Final 프로젝트</x:v>
      </x:c>
      <x:c r="CW23" s="82" t="str">
        <x:f>IF(OR(CW4&lt;0,CW4=CV4,ISERROR(INDEX(세부시간표!$A$3:$L$1183,9*CW4-3,10))),"",INDEX(세부시간표!$A$3:$L$1183,9*CW4-3,10))</x:f>
        <x:v>Final 프로젝트</x:v>
      </x:c>
      <x:c r="CX23" s="82" t="str">
        <x:f>IF(OR(CX4&lt;0,CX4=CW4,ISERROR(INDEX(세부시간표!$A$3:$L$1183,9*CX4-3,10))),"",INDEX(세부시간표!$A$3:$L$1183,9*CX4-3,10))</x:f>
        <x:v>Final 프로젝트</x:v>
      </x:c>
      <x:c r="CY23" s="82" t="str">
        <x:f>IF(OR(CY4&lt;0,CY4=CX4,ISERROR(INDEX(세부시간표!$A$3:$L$1183,9*CY4-3,10))),"",INDEX(세부시간표!$A$3:$L$1183,9*CY4-3,10))</x:f>
        <x:v>Final 프로젝트</x:v>
      </x:c>
      <x:c r="CZ23" s="82" t="str">
        <x:f>IF(OR(CZ4&lt;0,CZ4=CY4,ISERROR(INDEX(세부시간표!$A$3:$L$1183,9*CZ4-3,10))),"",INDEX(세부시간표!$A$3:$L$1183,9*CZ4-3,10))</x:f>
        <x:v>Final 프로젝트</x:v>
      </x:c>
      <x:c r="DA23" s="82" t="str">
        <x:f>IF(OR(DA4&lt;0,DA4=CZ4,ISERROR(INDEX(세부시간표!$A$3:$L$1183,9*DA4-3,10))),"",INDEX(세부시간표!$A$3:$L$1183,9*DA4-3,10))</x:f>
        <x:v>Final 프로젝트</x:v>
      </x:c>
      <x:c r="DB23" s="82" t="str">
        <x:f>IF(OR(DB4&lt;0,DB4=DA4,ISERROR(INDEX(세부시간표!$A$3:$L$1183,9*DB4-3,10))),"",INDEX(세부시간표!$A$3:$L$1183,9*DB4-3,10))</x:f>
        <x:v>Final 프로젝트</x:v>
      </x:c>
      <x:c r="DC23" s="82" t="str">
        <x:f>IF(OR(DC4&lt;0,DC4=DB4,ISERROR(INDEX(세부시간표!$A$3:$L$1183,9*DC4-3,10))),"",INDEX(세부시간표!$A$3:$L$1183,9*DC4-3,10))</x:f>
        <x:v/>
      </x:c>
      <x:c r="DD23" s="82" t="str">
        <x:f>IF(OR(DD4&lt;0,DD4=DC4,ISERROR(INDEX(세부시간표!$A$3:$L$1183,9*DD4-3,10))),"",INDEX(세부시간표!$A$3:$L$1183,9*DD4-3,10))</x:f>
        <x:v/>
      </x:c>
      <x:c r="DE23" s="82" t="str">
        <x:f>IF(OR(DE4&lt;0,DE4=DD4,ISERROR(INDEX(세부시간표!$A$3:$L$1183,9*DE4-3,10))),"",INDEX(세부시간표!$A$3:$L$1183,9*DE4-3,10))</x:f>
        <x:v/>
      </x:c>
      <x:c r="DF23" s="82" t="str">
        <x:f>IF(OR(DF4&lt;0,DF4=DE4,ISERROR(INDEX(세부시간표!$A$3:$L$1183,9*DF4-3,10))),"",INDEX(세부시간표!$A$3:$L$1183,9*DF4-3,10))</x:f>
        <x:v>Final 프로젝트</x:v>
      </x:c>
      <x:c r="DG23" s="82" t="str">
        <x:f>IF(OR(DG4&lt;0,DG4=DF4,ISERROR(INDEX(세부시간표!$A$3:$L$1183,9*DG4-3,10))),"",INDEX(세부시간표!$A$3:$L$1183,9*DG4-3,10))</x:f>
        <x:v>Final 프로젝트</x:v>
      </x:c>
      <x:c r="DH23" s="82" t="str">
        <x:f>IF(OR(DH4&lt;0,DH4=DG4,ISERROR(INDEX(세부시간표!$A$3:$L$1183,9*DH4-3,10))),"",INDEX(세부시간표!$A$3:$L$1183,9*DH4-3,10))</x:f>
        <x:v>Final 프로젝트</x:v>
      </x:c>
      <x:c r="DI23" s="82" t="str">
        <x:f>IF(OR(DI4&lt;0,DI4=DH4,ISERROR(INDEX(세부시간표!$A$3:$L$1183,9*DI4-3,10))),"",INDEX(세부시간표!$A$3:$L$1183,9*DI4-3,10))</x:f>
        <x:v>Final 프로젝트</x:v>
      </x:c>
      <x:c r="DJ23" s="82" t="str">
        <x:f>IF(OR(DJ4&lt;0,DJ4=DI4,ISERROR(INDEX(세부시간표!$A$3:$L$1183,9*DJ4-3,10))),"",INDEX(세부시간표!$A$3:$L$1183,9*DJ4-3,10))</x:f>
        <x:v>Final 프로젝트</x:v>
      </x:c>
      <x:c r="DK23" s="82" t="str">
        <x:f>IF(OR(DK4&lt;0,DK4=DJ4,ISERROR(INDEX(세부시간표!$A$3:$L$1183,9*DK4-3,10))),"",INDEX(세부시간표!$A$3:$L$1183,9*DK4-3,10))</x:f>
        <x:v>Final 프로젝트</x:v>
      </x:c>
      <x:c r="DL23" s="82" t="str">
        <x:f>IF(OR(DL4&lt;0,DL4=DK4,ISERROR(INDEX(세부시간표!$A$3:$L$1183,9*DL4-3,10))),"",INDEX(세부시간표!$A$3:$L$1183,9*DL4-3,10))</x:f>
        <x:v>Final 프로젝트</x:v>
      </x:c>
      <x:c r="DM23" s="82" t="str">
        <x:f>IF(OR(DM4&lt;0,DM4=DL4,ISERROR(INDEX(세부시간표!$A$3:$L$1183,9*DM4-3,10))),"",INDEX(세부시간표!$A$3:$L$1183,9*DM4-3,10))</x:f>
        <x:v/>
      </x:c>
      <x:c r="DN23" s="82" t="str">
        <x:f>IF(OR(DN4&lt;0,DN4=DM4,ISERROR(INDEX(세부시간표!$A$3:$L$1183,9*DN4-3,10))),"",INDEX(세부시간표!$A$3:$L$1183,9*DN4-3,10))</x:f>
        <x:v>Final 프로젝트</x:v>
      </x:c>
      <x:c r="DO23" s="82" t="str">
        <x:f>IF(OR(DO4&lt;0,DO4=DN4,ISERROR(INDEX(세부시간표!$A$3:$L$1183,9*DO4-3,10))),"",INDEX(세부시간표!$A$3:$L$1183,9*DO4-3,10))</x:f>
        <x:v>Final 프로젝트</x:v>
      </x:c>
      <x:c r="DP23" s="82" t="str">
        <x:f>IF(OR(DP4&lt;0,DP4=DO4,ISERROR(INDEX(세부시간표!$A$3:$L$1183,9*DP4-3,10))),"",INDEX(세부시간표!$A$3:$L$1183,9*DP4-3,10))</x:f>
        <x:v>Final 프로젝트</x:v>
      </x:c>
      <x:c r="DQ23" s="82" t="str">
        <x:f>IF(OR(DQ4&lt;0,DQ4=DP4,ISERROR(INDEX(세부시간표!$A$3:$L$1183,9*DQ4-3,10))),"",INDEX(세부시간표!$A$3:$L$1183,9*DQ4-3,10))</x:f>
        <x:v>Final 프로젝트</x:v>
      </x:c>
      <x:c r="DR23" s="82" t="str">
        <x:f>IF(OR(DR4&lt;0,DR4=DQ4,ISERROR(INDEX(세부시간표!$A$3:$L$1183,9*DR4-3,10))),"",INDEX(세부시간표!$A$3:$L$1183,9*DR4-3,10))</x:f>
        <x:v>Final 프로젝트</x:v>
      </x:c>
      <x:c r="DS23" s="82" t="str">
        <x:f>IF(OR(DS4&lt;0,DS4=DR4,ISERROR(INDEX(세부시간표!$A$3:$L$1183,9*DS4-3,10))),"",INDEX(세부시간표!$A$3:$L$1183,9*DS4-3,10))</x:f>
        <x:v>Final 프로젝트</x:v>
      </x:c>
      <x:c r="DT23" s="82" t="str">
        <x:f>IF(OR(DT4&lt;0,DT4=DS4,ISERROR(INDEX(세부시간표!$A$3:$L$1183,9*DT4-3,10))),"",INDEX(세부시간표!$A$3:$L$1183,9*DT4-3,10))</x:f>
        <x:v>Final 프로젝트</x:v>
      </x:c>
      <x:c r="DU23" s="82" t="str">
        <x:f>IF(OR(DU4&lt;0,DU4=DT4,ISERROR(INDEX(세부시간표!$A$3:$L$1183,9*DU4-3,10))),"",INDEX(세부시간표!$A$3:$L$1183,9*DU4-3,10))</x:f>
        <x:v>Final 프로젝트</x:v>
      </x:c>
      <x:c r="DV23" s="82" t="str">
        <x:f>IF(OR(DV4&lt;0,DV4=DU4,ISERROR(INDEX(세부시간표!$A$3:$L$1183,9*DV4-3,10))),"",INDEX(세부시간표!$A$3:$L$1183,9*DV4-3,10))</x:f>
        <x:v>Final 프로젝트</x:v>
      </x:c>
      <x:c r="DW23" s="82" t="str">
        <x:f>IF(OR(DW4&lt;0,DW4=DV4,ISERROR(INDEX(세부시간표!$A$3:$L$1183,9*DW4-3,10))),"",INDEX(세부시간표!$A$3:$L$1183,9*DW4-3,10))</x:f>
        <x:v>Final 프로젝트</x:v>
      </x:c>
      <x:c r="DX23" s="82" t="str">
        <x:f>IF(OR(DX4&lt;0,DX4=DW4,ISERROR(INDEX(세부시간표!$A$3:$L$1183,9*DX4-3,10))),"",INDEX(세부시간표!$A$3:$L$1183,9*DX4-3,10))</x:f>
        <x:v>Final 프로젝트</x:v>
      </x:c>
      <x:c r="DY23" s="82" t="str">
        <x:f>IF(OR(DY4&lt;0,DY4=DX4,ISERROR(INDEX(세부시간표!$A$3:$L$1183,9*DY4-3,10))),"",INDEX(세부시간표!$A$3:$L$1183,9*DY4-3,10))</x:f>
        <x:v>Final 프로젝트</x:v>
      </x:c>
      <x:c r="DZ23" s="82" t="str">
        <x:f>IF(OR(DZ4&lt;0,DZ4=DY4,ISERROR(INDEX(세부시간표!$A$3:$L$1183,9*DZ4-3,10))),"",INDEX(세부시간표!$A$3:$L$1183,9*DZ4-3,10))</x:f>
        <x:v>Final 프로젝트</x:v>
      </x:c>
      <x:c r="EA23" s="82" t="str">
        <x:f>IF(OR(EA4&lt;0,EA4=DZ4,ISERROR(INDEX(세부시간표!$A$3:$L$1183,9*EA4-3,10))),"",INDEX(세부시간표!$A$3:$L$1183,9*EA4-3,10))</x:f>
        <x:v>Final 프로젝트</x:v>
      </x:c>
      <x:c r="EB23" s="82" t="str">
        <x:f>IF(OR(EB4&lt;0,EB4=EA4,ISERROR(INDEX(세부시간표!$A$3:$L$1183,9*EB4-3,10))),"",INDEX(세부시간표!$A$3:$L$1183,9*EB4-3,10))</x:f>
        <x:v>Final 프로젝트</x:v>
      </x:c>
      <x:c r="EC23" s="82" t="str">
        <x:f>IF(OR(EC4&lt;0,EC4=EB4,ISERROR(INDEX(세부시간표!$A$3:$L$1183,9*EC4-3,10))),"",INDEX(세부시간표!$A$3:$L$1183,9*EC4-3,10))</x:f>
        <x:v>취업특강 및 모의면접</x:v>
      </x:c>
      <x:c r="ED23" s="82" t="str">
        <x:f>IF(OR(ED4&lt;0,ED4=EC4,ISERROR(INDEX(세부시간표!$A$3:$L$1183,9*ED4-3,10))),"",INDEX(세부시간표!$A$3:$L$1183,9*ED4-3,10))</x:f>
        <x:v>산업체특강 , 프로젝트 발표(시연), 수료식</x:v>
      </x:c>
      <x:c r="EE23" s="82" t="str">
        <x:f>IF(OR(EE4&lt;0,EE4=ED4,ISERROR(INDEX(세부시간표!$A$3:$L$1183,9*EE4-3,10))),"",INDEX(세부시간표!$A$3:$L$1183,9*EE4-3,10))</x:f>
        <x:v/>
      </x:c>
      <x:c r="EF23" s="82" t="str">
        <x:f>IF(OR(EF4&lt;0,EF4=EE4,ISERROR(INDEX(세부시간표!$A$3:$L$1183,9*EF4-3,10))),"",INDEX(세부시간표!$A$3:$L$1183,9*EF4-3,10))</x:f>
        <x:v/>
      </x:c>
      <x:c r="EG23" s="82" t="str">
        <x:f>IF(OR(EG4&lt;0,EG4=EF4,ISERROR(INDEX(세부시간표!$A$3:$L$1183,9*EG4-3,10))),"",INDEX(세부시간표!$A$3:$L$1183,9*EG4-3,10))</x:f>
        <x:v/>
      </x:c>
      <x:c r="EH23" s="82" t="str">
        <x:f>IF(OR(EH4&lt;0,EH4=EG4,ISERROR(INDEX(세부시간표!$A$3:$L$1183,9*EH4-3,10))),"",INDEX(세부시간표!$A$3:$L$1183,9*EH4-3,10))</x:f>
        <x:v/>
      </x:c>
      <x:c r="EI23" s="82" t="str">
        <x:f>IF(OR(EI4&lt;0,EI4=EH4,ISERROR(INDEX(세부시간표!$A$3:$L$1183,9*EI4-3,10))),"",INDEX(세부시간표!$A$3:$L$1183,9*EI4-3,10))</x:f>
        <x:v/>
      </x:c>
      <x:c r="EJ23" s="82" t="str">
        <x:f>IF(OR(EJ4&lt;0,EJ4=EI4,ISERROR(INDEX(세부시간표!$A$3:$L$1183,9*EJ4-3,10))),"",INDEX(세부시간표!$A$3:$L$1183,9*EJ4-3,10))</x:f>
        <x:v/>
      </x:c>
      <x:c r="EK23" s="82" t="str">
        <x:f>IF(OR(EK4&lt;0,EK4=EJ4,ISERROR(INDEX(세부시간표!$A$3:$L$1183,9*EK4-3,10))),"",INDEX(세부시간표!$A$3:$L$1183,9*EK4-3,10))</x:f>
        <x:v/>
      </x:c>
      <x:c r="EL23" s="85" t="str">
        <x:f>IF(OR(EL4&lt;0,EL4=EK4,ISERROR(INDEX(세부시간표!$A$3:$L$1183,9*EL4-3,10))),"",INDEX(세부시간표!$A$3:$L$1183,9*EL4-3,10))</x:f>
        <x:v/>
      </x:c>
      <x:c r="EM23" s="83" t="str">
        <x:f>IF(OR(EM4&lt;0,EM4=EL4,ISERROR(INDEX(세부시간표!$A$3:$L$1183,9*EM4-3,10))),"",INDEX(세부시간표!$A$3:$L$1183,9*EM4-3,10))</x:f>
        <x:v/>
      </x:c>
      <x:c r="EN23" s="83" t="str">
        <x:f>IF(OR(EN4&lt;0,EN4=EM4,ISERROR(INDEX(세부시간표!$A$3:$L$1183,9*EN4-3,10))),"",INDEX(세부시간표!$A$3:$L$1183,9*EN4-3,10))</x:f>
        <x:v/>
      </x:c>
      <x:c r="EO23" s="83" t="str">
        <x:f>IF(OR(EO4&lt;0,EO4=EN4,ISERROR(INDEX(세부시간표!$A$3:$L$1183,9*EO4-3,10))),"",INDEX(세부시간표!$A$3:$L$1183,9*EO4-3,10))</x:f>
        <x:v/>
      </x:c>
      <x:c r="EP23" s="84" t="str">
        <x:f>IF(OR(EP4&lt;0,EP4=EO4,ISERROR(INDEX(세부시간표!$A$3:$L$1183,9*EP4-3,10))),"",INDEX(세부시간표!$A$3:$L$1183,9*EP4-3,10))</x:f>
        <x:v/>
      </x:c>
    </x:row>
    <x:row r="24" spans="1:146" s="88" customFormat="1" ht="30" customHeight="1">
      <x:c r="A24" s="278"/>
      <x:c r="B24" s="64" t="str">
        <x:f>B23</x:f>
        <x:v>웹 애플리케이션 개발</x:v>
      </x:c>
      <x:c r="C24" s="64" t="str">
        <x:f t="shared" ref="C24:BN24" si="28">C23</x:f>
        <x:v>웹 애플리케이션 개발</x:v>
      </x:c>
      <x:c r="D24" s="64" t="str">
        <x:f t="shared" si="28"/>
        <x:v>웹 애플리케이션 개발</x:v>
      </x:c>
      <x:c r="E24" s="64" t="str">
        <x:f t="shared" si="28"/>
        <x:v>웹 애플리케이션 개발</x:v>
      </x:c>
      <x:c r="F24" s="64" t="str">
        <x:f t="shared" si="28"/>
        <x:v>웹 애플리케이션 개발</x:v>
      </x:c>
      <x:c r="G24" s="64" t="str">
        <x:f t="shared" si="28"/>
        <x:v>웹 애플리케이션 개발</x:v>
      </x:c>
      <x:c r="H24" s="64" t="str">
        <x:f t="shared" si="28"/>
        <x:v>웹 애플리케이션 개발</x:v>
      </x:c>
      <x:c r="I24" s="64" t="str">
        <x:f t="shared" si="28"/>
        <x:v>웹 애플리케이션 개발</x:v>
      </x:c>
      <x:c r="J24" s="64" t="str">
        <x:f t="shared" si="28"/>
        <x:v>웹 애플리케이션 개발</x:v>
      </x:c>
      <x:c r="K24" s="64" t="str">
        <x:f t="shared" si="28"/>
        <x:v/>
      </x:c>
      <x:c r="L24" s="64" t="str">
        <x:f t="shared" si="28"/>
        <x:v/>
      </x:c>
      <x:c r="M24" s="64" t="str">
        <x:f t="shared" si="28"/>
        <x:v/>
      </x:c>
      <x:c r="N24" s="64" t="str">
        <x:f t="shared" si="28"/>
        <x:v/>
      </x:c>
      <x:c r="O24" s="64" t="str">
        <x:f t="shared" si="28"/>
        <x:v/>
      </x:c>
      <x:c r="P24" s="64" t="str">
        <x:f t="shared" si="28"/>
        <x:v>웹 애플리케이션 개발</x:v>
      </x:c>
      <x:c r="Q24" s="64" t="str">
        <x:f t="shared" si="28"/>
        <x:v>웹&amp;콘텐츠 서비스 개발</x:v>
      </x:c>
      <x:c r="R24" s="64" t="str">
        <x:f t="shared" si="28"/>
        <x:v>웹&amp;콘텐츠 서비스 개발</x:v>
      </x:c>
      <x:c r="S24" s="64" t="str">
        <x:f t="shared" si="28"/>
        <x:v>웹&amp;콘텐츠 서비스 개발</x:v>
      </x:c>
      <x:c r="T24" s="64" t="str">
        <x:f t="shared" si="28"/>
        <x:v>웹&amp;콘텐츠 서비스 개발</x:v>
      </x:c>
      <x:c r="U24" s="64" t="str">
        <x:f t="shared" si="28"/>
        <x:v>웹&amp;콘텐츠 서비스 개발</x:v>
      </x:c>
      <x:c r="V24" s="64" t="str">
        <x:f t="shared" si="28"/>
        <x:v>SQL 및 데이터 모델링</x:v>
      </x:c>
      <x:c r="W24" s="64" t="str">
        <x:f t="shared" si="28"/>
        <x:v>SQL 및 데이터 모델링</x:v>
      </x:c>
      <x:c r="X24" s="64" t="str">
        <x:f t="shared" si="28"/>
        <x:v>SQL 및 데이터 모델링</x:v>
      </x:c>
      <x:c r="Y24" s="64" t="str">
        <x:f t="shared" si="28"/>
        <x:v>SQL 및 데이터 모델링</x:v>
      </x:c>
      <x:c r="Z24" s="64" t="str">
        <x:f t="shared" si="28"/>
        <x:v>SQL 및 데이터 모델링</x:v>
      </x:c>
      <x:c r="AA24" s="64" t="str">
        <x:f t="shared" si="28"/>
        <x:v>SQL 및 데이터 모델링</x:v>
      </x:c>
      <x:c r="AB24" s="64" t="str">
        <x:f t="shared" si="28"/>
        <x:v>SQL 및 데이터 모델링</x:v>
      </x:c>
      <x:c r="AC24" s="64" t="str">
        <x:f t="shared" si="28"/>
        <x:v>SQL 및 데이터 모델링</x:v>
      </x:c>
      <x:c r="AD24" s="64" t="str">
        <x:f t="shared" si="28"/>
        <x:v>SQL 및 데이터 모델링</x:v>
      </x:c>
      <x:c r="AE24" s="64" t="str">
        <x:f t="shared" si="28"/>
        <x:v>AI개발 기초</x:v>
      </x:c>
      <x:c r="AF24" s="64" t="str">
        <x:f t="shared" si="28"/>
        <x:v>AI개발 기초</x:v>
      </x:c>
      <x:c r="AG24" s="64" t="str">
        <x:f t="shared" si="28"/>
        <x:v>AI개발 기초</x:v>
      </x:c>
      <x:c r="AH24" s="64" t="str">
        <x:f t="shared" si="28"/>
        <x:v>AI개발 기초</x:v>
      </x:c>
      <x:c r="AI24" s="64" t="str">
        <x:f t="shared" si="28"/>
        <x:v>AI개발 기초</x:v>
      </x:c>
      <x:c r="AJ24" s="64" t="str">
        <x:f t="shared" si="28"/>
        <x:v>AI개발 기초</x:v>
      </x:c>
      <x:c r="AK24" s="64" t="str">
        <x:f t="shared" si="28"/>
        <x:v>AI개발 기초</x:v>
      </x:c>
      <x:c r="AL24" s="64" t="str">
        <x:f t="shared" si="28"/>
        <x:v>AI개발 기초</x:v>
      </x:c>
      <x:c r="AM24" s="64" t="str">
        <x:f t="shared" si="28"/>
        <x:v>AI개발 기초</x:v>
      </x:c>
      <x:c r="AN24" s="64" t="str">
        <x:f t="shared" si="28"/>
        <x:v>AI개발 기초</x:v>
      </x:c>
      <x:c r="AO24" s="64" t="str">
        <x:f t="shared" si="28"/>
        <x:v>AI개발 기초</x:v>
      </x:c>
      <x:c r="AP24" s="64" t="str">
        <x:f t="shared" si="28"/>
        <x:v>AI개발 기초</x:v>
      </x:c>
      <x:c r="AQ24" s="64" t="str">
        <x:f t="shared" si="28"/>
        <x:v>인공지능 프로그래밍</x:v>
      </x:c>
      <x:c r="AR24" s="64" t="str">
        <x:f t="shared" si="28"/>
        <x:v>인공지능 프로그래밍</x:v>
      </x:c>
      <x:c r="AS24" s="64" t="str">
        <x:f t="shared" si="28"/>
        <x:v>인공지능 프로그래밍</x:v>
      </x:c>
      <x:c r="AT24" s="64" t="str">
        <x:f t="shared" si="28"/>
        <x:v>인공지능 프로그래밍</x:v>
      </x:c>
      <x:c r="AU24" s="64" t="str">
        <x:f t="shared" si="28"/>
        <x:v>인공지능 프로그래밍</x:v>
      </x:c>
      <x:c r="AV24" s="64" t="str">
        <x:f t="shared" si="28"/>
        <x:v>인공지능 프로그래밍</x:v>
      </x:c>
      <x:c r="AW24" s="64" t="str">
        <x:f t="shared" si="28"/>
        <x:v>인공지능 프로그래밍</x:v>
      </x:c>
      <x:c r="AX24" s="64" t="str">
        <x:f t="shared" si="28"/>
        <x:v>인공지능 프로그래밍</x:v>
      </x:c>
      <x:c r="AY24" s="64" t="str">
        <x:f t="shared" si="28"/>
        <x:v>인공지능 프로그래밍</x:v>
      </x:c>
      <x:c r="AZ24" s="64" t="str">
        <x:f t="shared" si="28"/>
        <x:v>인공지능 프로그래밍</x:v>
      </x:c>
      <x:c r="BA24" s="64" t="str">
        <x:f t="shared" si="28"/>
        <x:v>인공지능 프로그래밍</x:v>
      </x:c>
      <x:c r="BB24" s="64" t="str">
        <x:f t="shared" si="28"/>
        <x:v>인공지능 프로그래밍</x:v>
      </x:c>
      <x:c r="BC24" s="64" t="str">
        <x:f t="shared" si="28"/>
        <x:v>인공지능 프로그래밍</x:v>
      </x:c>
      <x:c r="BD24" s="64" t="str">
        <x:f t="shared" si="28"/>
        <x:v>인공지능 프로그래밍</x:v>
      </x:c>
      <x:c r="BE24" s="64" t="str">
        <x:f t="shared" si="28"/>
        <x:v>인공지능 프로그래밍</x:v>
      </x:c>
      <x:c r="BF24" s="64" t="str">
        <x:f t="shared" si="28"/>
        <x:v>인공지능 프로그래밍</x:v>
      </x:c>
      <x:c r="BG24" s="64" t="str">
        <x:f t="shared" si="28"/>
        <x:v>Advanced 프로젝트</x:v>
      </x:c>
      <x:c r="BH24" s="64" t="str">
        <x:f t="shared" si="28"/>
        <x:v>Advanced 프로젝트</x:v>
      </x:c>
      <x:c r="BI24" s="64" t="str">
        <x:f t="shared" si="28"/>
        <x:v>Advanced 프로젝트</x:v>
      </x:c>
      <x:c r="BJ24" s="64" t="str">
        <x:f t="shared" si="28"/>
        <x:v>Advanced 프로젝트</x:v>
      </x:c>
      <x:c r="BK24" s="64" t="str">
        <x:f t="shared" si="28"/>
        <x:v>Advanced 프로젝트</x:v>
      </x:c>
      <x:c r="BL24" s="64" t="str">
        <x:f t="shared" si="28"/>
        <x:v>Advanced 프로젝트</x:v>
      </x:c>
      <x:c r="BM24" s="64" t="str">
        <x:f t="shared" si="28"/>
        <x:v>Advanced 프로젝트</x:v>
      </x:c>
      <x:c r="BN24" s="64" t="str">
        <x:f t="shared" si="28"/>
        <x:v>Advanced 프로젝트</x:v>
      </x:c>
      <x:c r="BO24" s="64" t="str">
        <x:f t="shared" ref="BO24:DZ24" si="29">BO23</x:f>
        <x:v>Advanced 프로젝트</x:v>
      </x:c>
      <x:c r="BP24" s="64" t="str">
        <x:f t="shared" si="29"/>
        <x:v>Advanced 프로젝트</x:v>
      </x:c>
      <x:c r="BQ24" s="64" t="str">
        <x:f t="shared" si="29"/>
        <x:v>Advanced 프로젝트</x:v>
      </x:c>
      <x:c r="BR24" s="64" t="str">
        <x:f t="shared" si="29"/>
        <x:v/>
      </x:c>
      <x:c r="BS24" s="64" t="str">
        <x:f t="shared" si="29"/>
        <x:v>Advanced 프로젝트</x:v>
      </x:c>
      <x:c r="BT24" s="64" t="str">
        <x:f t="shared" si="29"/>
        <x:v>Advanced 프로젝트</x:v>
      </x:c>
      <x:c r="BU24" s="64" t="str">
        <x:f t="shared" si="29"/>
        <x:v>빅데이터 분석 및 시각화</x:v>
      </x:c>
      <x:c r="BV24" s="64" t="str">
        <x:f t="shared" si="29"/>
        <x:v>빅데이터 분석 및 시각화</x:v>
      </x:c>
      <x:c r="BW24" s="64" t="str">
        <x:f t="shared" si="29"/>
        <x:v/>
      </x:c>
      <x:c r="BX24" s="64" t="str">
        <x:f t="shared" si="29"/>
        <x:v>빅데이터 분석 및 시각화</x:v>
      </x:c>
      <x:c r="BY24" s="64" t="str">
        <x:f t="shared" si="29"/>
        <x:v>빅데이터 분석 및 시각화</x:v>
      </x:c>
      <x:c r="BZ24" s="64" t="str">
        <x:f t="shared" si="29"/>
        <x:v>빅데이터 분석 및 시각화</x:v>
      </x:c>
      <x:c r="CA24" s="64" t="str">
        <x:f t="shared" si="29"/>
        <x:v>빅데이터 시스템 구축</x:v>
      </x:c>
      <x:c r="CB24" s="64" t="str">
        <x:f t="shared" si="29"/>
        <x:v>빅데이터 시스템 구축</x:v>
      </x:c>
      <x:c r="CC24" s="64" t="str">
        <x:f t="shared" si="29"/>
        <x:v>빅데이터 시스템 구축</x:v>
      </x:c>
      <x:c r="CD24" s="64" t="str">
        <x:f t="shared" si="29"/>
        <x:v>빅데이터 시스템 구축</x:v>
      </x:c>
      <x:c r="CE24" s="64" t="str">
        <x:f t="shared" si="29"/>
        <x:v>빅데이터 시스템 구축</x:v>
      </x:c>
      <x:c r="CF24" s="64" t="str">
        <x:f t="shared" si="29"/>
        <x:v>빅데이터 시스템 구축</x:v>
      </x:c>
      <x:c r="CG24" s="64" t="str">
        <x:f t="shared" si="29"/>
        <x:v>빅데이터 시스템 구축</x:v>
      </x:c>
      <x:c r="CH24" s="64" t="str">
        <x:f t="shared" si="29"/>
        <x:v>빅데이터 시스템 구축</x:v>
      </x:c>
      <x:c r="CI24" s="64" t="str">
        <x:f t="shared" si="29"/>
        <x:v>빅데이터 시스템 구축</x:v>
      </x:c>
      <x:c r="CJ24" s="64" t="str">
        <x:f t="shared" si="29"/>
        <x:v>빅데이터 시스템 구축</x:v>
      </x:c>
      <x:c r="CK24" s="64" t="str">
        <x:f t="shared" si="29"/>
        <x:v>빅데이터 플랫폼 개발</x:v>
      </x:c>
      <x:c r="CL24" s="64" t="str">
        <x:f t="shared" si="29"/>
        <x:v>빅데이터 플랫폼 개발</x:v>
      </x:c>
      <x:c r="CM24" s="64" t="str">
        <x:f t="shared" si="29"/>
        <x:v>빅데이터 플랫폼 개발</x:v>
      </x:c>
      <x:c r="CN24" s="64" t="str">
        <x:f t="shared" si="29"/>
        <x:v>빅데이터 플랫폼 개발</x:v>
      </x:c>
      <x:c r="CO24" s="64" t="str">
        <x:f t="shared" si="29"/>
        <x:v>빅데이터 플랫폼 개발</x:v>
      </x:c>
      <x:c r="CP24" s="64" t="str">
        <x:f t="shared" si="29"/>
        <x:v>빅데이터 플랫폼 개발</x:v>
      </x:c>
      <x:c r="CQ24" s="64" t="str">
        <x:f t="shared" si="29"/>
        <x:v>빅데이터 플랫폼 개발</x:v>
      </x:c>
      <x:c r="CR24" s="64" t="str">
        <x:f t="shared" si="29"/>
        <x:v>빅데이터 플랫폼 개발</x:v>
      </x:c>
      <x:c r="CS24" s="64" t="str">
        <x:f t="shared" si="29"/>
        <x:v>Final 프로젝트</x:v>
      </x:c>
      <x:c r="CT24" s="64" t="str">
        <x:f t="shared" si="29"/>
        <x:v>Final 프로젝트</x:v>
      </x:c>
      <x:c r="CU24" s="64" t="str">
        <x:f t="shared" si="29"/>
        <x:v>Final 프로젝트</x:v>
      </x:c>
      <x:c r="CV24" s="64" t="str">
        <x:f t="shared" si="29"/>
        <x:v>Final 프로젝트</x:v>
      </x:c>
      <x:c r="CW24" s="64" t="str">
        <x:f t="shared" si="29"/>
        <x:v>Final 프로젝트</x:v>
      </x:c>
      <x:c r="CX24" s="64" t="str">
        <x:f t="shared" si="29"/>
        <x:v>Final 프로젝트</x:v>
      </x:c>
      <x:c r="CY24" s="64" t="str">
        <x:f t="shared" si="29"/>
        <x:v>Final 프로젝트</x:v>
      </x:c>
      <x:c r="CZ24" s="64" t="str">
        <x:f t="shared" si="29"/>
        <x:v>Final 프로젝트</x:v>
      </x:c>
      <x:c r="DA24" s="64" t="str">
        <x:f t="shared" si="29"/>
        <x:v>Final 프로젝트</x:v>
      </x:c>
      <x:c r="DB24" s="64" t="str">
        <x:f t="shared" si="29"/>
        <x:v>Final 프로젝트</x:v>
      </x:c>
      <x:c r="DC24" s="64" t="str">
        <x:f t="shared" si="29"/>
        <x:v/>
      </x:c>
      <x:c r="DD24" s="64" t="str">
        <x:f t="shared" si="29"/>
        <x:v/>
      </x:c>
      <x:c r="DE24" s="64" t="str">
        <x:f t="shared" si="29"/>
        <x:v/>
      </x:c>
      <x:c r="DF24" s="64" t="str">
        <x:f t="shared" si="29"/>
        <x:v>Final 프로젝트</x:v>
      </x:c>
      <x:c r="DG24" s="64" t="str">
        <x:f t="shared" si="29"/>
        <x:v>Final 프로젝트</x:v>
      </x:c>
      <x:c r="DH24" s="64" t="str">
        <x:f t="shared" si="29"/>
        <x:v>Final 프로젝트</x:v>
      </x:c>
      <x:c r="DI24" s="64" t="str">
        <x:f t="shared" si="29"/>
        <x:v>Final 프로젝트</x:v>
      </x:c>
      <x:c r="DJ24" s="64" t="str">
        <x:f t="shared" si="29"/>
        <x:v>Final 프로젝트</x:v>
      </x:c>
      <x:c r="DK24" s="64" t="str">
        <x:f t="shared" si="29"/>
        <x:v>Final 프로젝트</x:v>
      </x:c>
      <x:c r="DL24" s="64" t="str">
        <x:f t="shared" si="29"/>
        <x:v>Final 프로젝트</x:v>
      </x:c>
      <x:c r="DM24" s="64" t="str">
        <x:f t="shared" si="29"/>
        <x:v/>
      </x:c>
      <x:c r="DN24" s="64" t="str">
        <x:f t="shared" si="29"/>
        <x:v>Final 프로젝트</x:v>
      </x:c>
      <x:c r="DO24" s="64" t="str">
        <x:f t="shared" si="29"/>
        <x:v>Final 프로젝트</x:v>
      </x:c>
      <x:c r="DP24" s="64" t="str">
        <x:f t="shared" si="29"/>
        <x:v>Final 프로젝트</x:v>
      </x:c>
      <x:c r="DQ24" s="64" t="str">
        <x:f t="shared" si="29"/>
        <x:v>Final 프로젝트</x:v>
      </x:c>
      <x:c r="DR24" s="64" t="str">
        <x:f t="shared" si="29"/>
        <x:v>Final 프로젝트</x:v>
      </x:c>
      <x:c r="DS24" s="64" t="str">
        <x:f t="shared" si="29"/>
        <x:v>Final 프로젝트</x:v>
      </x:c>
      <x:c r="DT24" s="64" t="str">
        <x:f t="shared" si="29"/>
        <x:v>Final 프로젝트</x:v>
      </x:c>
      <x:c r="DU24" s="64" t="str">
        <x:f t="shared" si="29"/>
        <x:v>Final 프로젝트</x:v>
      </x:c>
      <x:c r="DV24" s="64" t="str">
        <x:f t="shared" si="29"/>
        <x:v>Final 프로젝트</x:v>
      </x:c>
      <x:c r="DW24" s="64" t="str">
        <x:f t="shared" si="29"/>
        <x:v>Final 프로젝트</x:v>
      </x:c>
      <x:c r="DX24" s="64" t="str">
        <x:f t="shared" si="29"/>
        <x:v>Final 프로젝트</x:v>
      </x:c>
      <x:c r="DY24" s="64" t="str">
        <x:f t="shared" si="29"/>
        <x:v>Final 프로젝트</x:v>
      </x:c>
      <x:c r="DZ24" s="64" t="str">
        <x:f t="shared" si="29"/>
        <x:v>Final 프로젝트</x:v>
      </x:c>
      <x:c r="EA24" s="64" t="str">
        <x:f t="shared" ref="EA24:EK24" si="30">EA23</x:f>
        <x:v>Final 프로젝트</x:v>
      </x:c>
      <x:c r="EB24" s="64" t="str">
        <x:f t="shared" si="30"/>
        <x:v>Final 프로젝트</x:v>
      </x:c>
      <x:c r="EC24" s="64" t="str">
        <x:f t="shared" si="30"/>
        <x:v>취업특강 및 모의면접</x:v>
      </x:c>
      <x:c r="ED24" s="64" t="str">
        <x:f t="shared" si="30"/>
        <x:v>산업체특강 , 프로젝트 발표(시연), 수료식</x:v>
      </x:c>
      <x:c r="EE24" s="64" t="str">
        <x:f t="shared" si="30"/>
        <x:v/>
      </x:c>
      <x:c r="EF24" s="64" t="str">
        <x:f t="shared" si="30"/>
        <x:v/>
      </x:c>
      <x:c r="EG24" s="64" t="str">
        <x:f t="shared" si="30"/>
        <x:v/>
      </x:c>
      <x:c r="EH24" s="64" t="str">
        <x:f t="shared" si="30"/>
        <x:v/>
      </x:c>
      <x:c r="EI24" s="64" t="str">
        <x:f t="shared" si="30"/>
        <x:v/>
      </x:c>
      <x:c r="EJ24" s="64" t="str">
        <x:f t="shared" si="30"/>
        <x:v/>
      </x:c>
      <x:c r="EK24" s="64" t="str">
        <x:f t="shared" si="30"/>
        <x:v/>
      </x:c>
      <x:c r="EL24" s="60" t="str">
        <x:f>EL23</x:f>
        <x:v/>
      </x:c>
      <x:c r="EM24" s="58" t="str">
        <x:f>EM23</x:f>
        <x:v/>
      </x:c>
      <x:c r="EN24" s="58" t="str">
        <x:f>EN23</x:f>
        <x:v/>
      </x:c>
      <x:c r="EO24" s="58" t="str">
        <x:f>EO23</x:f>
        <x:v/>
      </x:c>
      <x:c r="EP24" s="59" t="str">
        <x:f>EP23</x:f>
        <x:v/>
      </x:c>
    </x:row>
    <x:row r="25" spans="1:146" s="47" customFormat="1" ht="15" customHeight="1">
      <x:c r="A25" s="278"/>
      <x:c r="B25" s="65" t="str">
        <x:f>IF(OR(B4&lt;0,B4=A4,ISERROR(INDEX(세부시간표!$A$3:$L$1183,9*B4-3,11))),"",LEFT(INDEX(세부시간표!$A$3:$L$1183,9*B4-3,11),4))</x:f>
        <x:v>1교육실</x:v>
      </x:c>
      <x:c r="C25" s="65" t="str">
        <x:f>IF(OR(C4&lt;0,C4=B4,ISERROR(INDEX(세부시간표!$A$3:$L$1183,9*C4-3,11))),"",LEFT(INDEX(세부시간표!$A$3:$L$1183,9*C4-3,11),4))</x:f>
        <x:v>1교육실</x:v>
      </x:c>
      <x:c r="D25" s="65" t="str">
        <x:f>IF(OR(D4&lt;0,D4=C4,ISERROR(INDEX(세부시간표!$A$3:$L$1183,9*D4-3,11))),"",LEFT(INDEX(세부시간표!$A$3:$L$1183,9*D4-3,11),4))</x:f>
        <x:v>1교육실</x:v>
      </x:c>
      <x:c r="E25" s="65" t="str">
        <x:f>IF(OR(E4&lt;0,E4=D4,ISERROR(INDEX(세부시간표!$A$3:$L$1183,9*E4-3,11))),"",LEFT(INDEX(세부시간표!$A$3:$L$1183,9*E4-3,11),4))</x:f>
        <x:v>1교육실</x:v>
      </x:c>
      <x:c r="F25" s="65" t="str">
        <x:f>IF(OR(F4&lt;0,F4=E4,ISERROR(INDEX(세부시간표!$A$3:$L$1183,9*F4-3,11))),"",LEFT(INDEX(세부시간표!$A$3:$L$1183,9*F4-3,11),4))</x:f>
        <x:v>1교육실</x:v>
      </x:c>
      <x:c r="G25" s="65" t="str">
        <x:f>IF(OR(G4&lt;0,G4=F4,ISERROR(INDEX(세부시간표!$A$3:$L$1183,9*G4-3,11))),"",LEFT(INDEX(세부시간표!$A$3:$L$1183,9*G4-3,11),4))</x:f>
        <x:v>1교육실</x:v>
      </x:c>
      <x:c r="H25" s="65" t="str">
        <x:f>IF(OR(H4&lt;0,H4=G4,ISERROR(INDEX(세부시간표!$A$3:$L$1183,9*H4-3,11))),"",LEFT(INDEX(세부시간표!$A$3:$L$1183,9*H4-3,11),4))</x:f>
        <x:v>1교육실</x:v>
      </x:c>
      <x:c r="I25" s="65" t="str">
        <x:f>IF(OR(I4&lt;0,I4=H4,ISERROR(INDEX(세부시간표!$A$3:$L$1183,9*I4-3,11))),"",LEFT(INDEX(세부시간표!$A$3:$L$1183,9*I4-3,11),4))</x:f>
        <x:v>1교육실</x:v>
      </x:c>
      <x:c r="J25" s="65" t="str">
        <x:f>IF(OR(J4&lt;0,J4=I4,ISERROR(INDEX(세부시간표!$A$3:$L$1183,9*J4-3,11))),"",LEFT(INDEX(세부시간표!$A$3:$L$1183,9*J4-3,11),4))</x:f>
        <x:v>1교육실</x:v>
      </x:c>
      <x:c r="K25" s="65" t="str">
        <x:f>IF(OR(K4&lt;0,K4=J4,ISERROR(INDEX(세부시간표!$A$3:$L$1183,9*K4-3,11))),"",LEFT(INDEX(세부시간표!$A$3:$L$1183,9*K4-3,11),4))</x:f>
        <x:v/>
      </x:c>
      <x:c r="L25" s="65" t="str">
        <x:f>IF(OR(L4&lt;0,L4=K4,ISERROR(INDEX(세부시간표!$A$3:$L$1183,9*L4-3,11))),"",LEFT(INDEX(세부시간표!$A$3:$L$1183,9*L4-3,11),4))</x:f>
        <x:v/>
      </x:c>
      <x:c r="M25" s="65" t="str">
        <x:f>IF(OR(M4&lt;0,M4=L4,ISERROR(INDEX(세부시간표!$A$3:$L$1183,9*M4-3,11))),"",LEFT(INDEX(세부시간표!$A$3:$L$1183,9*M4-3,11),4))</x:f>
        <x:v/>
      </x:c>
      <x:c r="N25" s="65" t="str">
        <x:f>IF(OR(N4&lt;0,N4=M4,ISERROR(INDEX(세부시간표!$A$3:$L$1183,9*N4-3,11))),"",LEFT(INDEX(세부시간표!$A$3:$L$1183,9*N4-3,11),4))</x:f>
        <x:v/>
      </x:c>
      <x:c r="O25" s="65" t="str">
        <x:f>IF(OR(O4&lt;0,O4=N4,ISERROR(INDEX(세부시간표!$A$3:$L$1183,9*O4-3,11))),"",LEFT(INDEX(세부시간표!$A$3:$L$1183,9*O4-3,11),4))</x:f>
        <x:v/>
      </x:c>
      <x:c r="P25" s="65" t="str">
        <x:f>IF(OR(P4&lt;0,P4=O4,ISERROR(INDEX(세부시간표!$A$3:$L$1183,9*P4-3,11))),"",LEFT(INDEX(세부시간표!$A$3:$L$1183,9*P4-3,11),4))</x:f>
        <x:v>1교육실</x:v>
      </x:c>
      <x:c r="Q25" s="65" t="str">
        <x:f>IF(OR(Q4&lt;0,Q4=P4,ISERROR(INDEX(세부시간표!$A$3:$L$1183,9*Q4-3,11))),"",LEFT(INDEX(세부시간표!$A$3:$L$1183,9*Q4-3,11),4))</x:f>
        <x:v>1교육실</x:v>
      </x:c>
      <x:c r="R25" s="65" t="str">
        <x:f>IF(OR(R4&lt;0,R4=Q4,ISERROR(INDEX(세부시간표!$A$3:$L$1183,9*R4-3,11))),"",LEFT(INDEX(세부시간표!$A$3:$L$1183,9*R4-3,11),4))</x:f>
        <x:v>1교육실</x:v>
      </x:c>
      <x:c r="S25" s="65" t="str">
        <x:f>IF(OR(S4&lt;0,S4=R4,ISERROR(INDEX(세부시간표!$A$3:$L$1183,9*S4-3,11))),"",LEFT(INDEX(세부시간표!$A$3:$L$1183,9*S4-3,11),4))</x:f>
        <x:v>1교육실</x:v>
      </x:c>
      <x:c r="T25" s="65" t="str">
        <x:f>IF(OR(T4&lt;0,T4=S4,ISERROR(INDEX(세부시간표!$A$3:$L$1183,9*T4-3,11))),"",LEFT(INDEX(세부시간표!$A$3:$L$1183,9*T4-3,11),4))</x:f>
        <x:v>1교육실</x:v>
      </x:c>
      <x:c r="U25" s="65" t="str">
        <x:f>IF(OR(U4&lt;0,U4=T4,ISERROR(INDEX(세부시간표!$A$3:$L$1183,9*U4-3,11))),"",LEFT(INDEX(세부시간표!$A$3:$L$1183,9*U4-3,11),4))</x:f>
        <x:v>1교육실</x:v>
      </x:c>
      <x:c r="V25" s="65" t="str">
        <x:f>IF(OR(V4&lt;0,V4=U4,ISERROR(INDEX(세부시간표!$A$3:$L$1183,9*V4-3,11))),"",LEFT(INDEX(세부시간표!$A$3:$L$1183,9*V4-3,11),4))</x:f>
        <x:v>1교육실</x:v>
      </x:c>
      <x:c r="W25" s="65" t="str">
        <x:f>IF(OR(W4&lt;0,W4=V4,ISERROR(INDEX(세부시간표!$A$3:$L$1183,9*W4-3,11))),"",LEFT(INDEX(세부시간표!$A$3:$L$1183,9*W4-3,11),4))</x:f>
        <x:v>1교육실</x:v>
      </x:c>
      <x:c r="X25" s="65" t="str">
        <x:f>IF(OR(X4&lt;0,X4=W4,ISERROR(INDEX(세부시간표!$A$3:$L$1183,9*X4-3,11))),"",LEFT(INDEX(세부시간표!$A$3:$L$1183,9*X4-3,11),4))</x:f>
        <x:v>1교육실</x:v>
      </x:c>
      <x:c r="Y25" s="65" t="str">
        <x:f>IF(OR(Y4&lt;0,Y4=X4,ISERROR(INDEX(세부시간표!$A$3:$L$1183,9*Y4-3,11))),"",LEFT(INDEX(세부시간표!$A$3:$L$1183,9*Y4-3,11),4))</x:f>
        <x:v>1교육실</x:v>
      </x:c>
      <x:c r="Z25" s="65" t="str">
        <x:f>IF(OR(Z4&lt;0,Z4=Y4,ISERROR(INDEX(세부시간표!$A$3:$L$1183,9*Z4-3,11))),"",LEFT(INDEX(세부시간표!$A$3:$L$1183,9*Z4-3,11),4))</x:f>
        <x:v>1교육실</x:v>
      </x:c>
      <x:c r="AA25" s="65" t="str">
        <x:f>IF(OR(AA4&lt;0,AA4=Z4,ISERROR(INDEX(세부시간표!$A$3:$L$1183,9*AA4-3,11))),"",LEFT(INDEX(세부시간표!$A$3:$L$1183,9*AA4-3,11),4))</x:f>
        <x:v>1교육실</x:v>
      </x:c>
      <x:c r="AB25" s="65" t="str">
        <x:f>IF(OR(AB4&lt;0,AB4=AA4,ISERROR(INDEX(세부시간표!$A$3:$L$1183,9*AB4-3,11))),"",LEFT(INDEX(세부시간표!$A$3:$L$1183,9*AB4-3,11),4))</x:f>
        <x:v>1교육실</x:v>
      </x:c>
      <x:c r="AC25" s="65" t="str">
        <x:f>IF(OR(AC4&lt;0,AC4=AB4,ISERROR(INDEX(세부시간표!$A$3:$L$1183,9*AC4-3,11))),"",LEFT(INDEX(세부시간표!$A$3:$L$1183,9*AC4-3,11),4))</x:f>
        <x:v>1교육실</x:v>
      </x:c>
      <x:c r="AD25" s="65" t="str">
        <x:f>IF(OR(AD4&lt;0,AD4=AC4,ISERROR(INDEX(세부시간표!$A$3:$L$1183,9*AD4-3,11))),"",LEFT(INDEX(세부시간표!$A$3:$L$1183,9*AD4-3,11),4))</x:f>
        <x:v>1교육실</x:v>
      </x:c>
      <x:c r="AE25" s="65" t="str">
        <x:f>IF(OR(AE4&lt;0,AE4=AD4,ISERROR(INDEX(세부시간표!$A$3:$L$1183,9*AE4-3,11))),"",LEFT(INDEX(세부시간표!$A$3:$L$1183,9*AE4-3,11),4))</x:f>
        <x:v>1교육실</x:v>
      </x:c>
      <x:c r="AF25" s="65" t="str">
        <x:f>IF(OR(AF4&lt;0,AF4=AE4,ISERROR(INDEX(세부시간표!$A$3:$L$1183,9*AF4-3,11))),"",LEFT(INDEX(세부시간표!$A$3:$L$1183,9*AF4-3,11),4))</x:f>
        <x:v>1교육실</x:v>
      </x:c>
      <x:c r="AG25" s="65" t="str">
        <x:f>IF(OR(AG4&lt;0,AG4=AF4,ISERROR(INDEX(세부시간표!$A$3:$L$1183,9*AG4-3,11))),"",LEFT(INDEX(세부시간표!$A$3:$L$1183,9*AG4-3,11),4))</x:f>
        <x:v>1교육실</x:v>
      </x:c>
      <x:c r="AH25" s="65" t="str">
        <x:f>IF(OR(AH4&lt;0,AH4=AG4,ISERROR(INDEX(세부시간표!$A$3:$L$1183,9*AH4-3,11))),"",LEFT(INDEX(세부시간표!$A$3:$L$1183,9*AH4-3,11),4))</x:f>
        <x:v>1교육실</x:v>
      </x:c>
      <x:c r="AI25" s="65" t="str">
        <x:f>IF(OR(AI4&lt;0,AI4=AH4,ISERROR(INDEX(세부시간표!$A$3:$L$1183,9*AI4-3,11))),"",LEFT(INDEX(세부시간표!$A$3:$L$1183,9*AI4-3,11),4))</x:f>
        <x:v>1교육실</x:v>
      </x:c>
      <x:c r="AJ25" s="65" t="str">
        <x:f>IF(OR(AJ4&lt;0,AJ4=AI4,ISERROR(INDEX(세부시간표!$A$3:$L$1183,9*AJ4-3,11))),"",LEFT(INDEX(세부시간표!$A$3:$L$1183,9*AJ4-3,11),4))</x:f>
        <x:v>1교육실</x:v>
      </x:c>
      <x:c r="AK25" s="65" t="str">
        <x:f>IF(OR(AK4&lt;0,AK4=AJ4,ISERROR(INDEX(세부시간표!$A$3:$L$1183,9*AK4-3,11))),"",LEFT(INDEX(세부시간표!$A$3:$L$1183,9*AK4-3,11),4))</x:f>
        <x:v>1교육실</x:v>
      </x:c>
      <x:c r="AL25" s="65" t="str">
        <x:f>IF(OR(AL4&lt;0,AL4=AK4,ISERROR(INDEX(세부시간표!$A$3:$L$1183,9*AL4-3,11))),"",LEFT(INDEX(세부시간표!$A$3:$L$1183,9*AL4-3,11),4))</x:f>
        <x:v>1교육실</x:v>
      </x:c>
      <x:c r="AM25" s="65" t="str">
        <x:f>IF(OR(AM4&lt;0,AM4=AL4,ISERROR(INDEX(세부시간표!$A$3:$L$1183,9*AM4-3,11))),"",LEFT(INDEX(세부시간표!$A$3:$L$1183,9*AM4-3,11),4))</x:f>
        <x:v>1교육실</x:v>
      </x:c>
      <x:c r="AN25" s="65" t="str">
        <x:f>IF(OR(AN4&lt;0,AN4=AM4,ISERROR(INDEX(세부시간표!$A$3:$L$1183,9*AN4-3,11))),"",LEFT(INDEX(세부시간표!$A$3:$L$1183,9*AN4-3,11),4))</x:f>
        <x:v>1교육실</x:v>
      </x:c>
      <x:c r="AO25" s="65" t="str">
        <x:f>IF(OR(AO4&lt;0,AO4=AN4,ISERROR(INDEX(세부시간표!$A$3:$L$1183,9*AO4-3,11))),"",LEFT(INDEX(세부시간표!$A$3:$L$1183,9*AO4-3,11),4))</x:f>
        <x:v>1교육실</x:v>
      </x:c>
      <x:c r="AP25" s="65" t="str">
        <x:f>IF(OR(AP4&lt;0,AP4=AO4,ISERROR(INDEX(세부시간표!$A$3:$L$1183,9*AP4-3,11))),"",LEFT(INDEX(세부시간표!$A$3:$L$1183,9*AP4-3,11),4))</x:f>
        <x:v>1교육실</x:v>
      </x:c>
      <x:c r="AQ25" s="65" t="str">
        <x:f>IF(OR(AQ4&lt;0,AQ4=AP4,ISERROR(INDEX(세부시간표!$A$3:$L$1183,9*AQ4-3,11))),"",LEFT(INDEX(세부시간표!$A$3:$L$1183,9*AQ4-3,11),4))</x:f>
        <x:v>1교육실</x:v>
      </x:c>
      <x:c r="AR25" s="65" t="str">
        <x:f>IF(OR(AR4&lt;0,AR4=AQ4,ISERROR(INDEX(세부시간표!$A$3:$L$1183,9*AR4-3,11))),"",LEFT(INDEX(세부시간표!$A$3:$L$1183,9*AR4-3,11),4))</x:f>
        <x:v>1교육실</x:v>
      </x:c>
      <x:c r="AS25" s="65" t="str">
        <x:f>IF(OR(AS4&lt;0,AS4=AR4,ISERROR(INDEX(세부시간표!$A$3:$L$1183,9*AS4-3,11))),"",LEFT(INDEX(세부시간표!$A$3:$L$1183,9*AS4-3,11),4))</x:f>
        <x:v>1교육실</x:v>
      </x:c>
      <x:c r="AT25" s="65" t="str">
        <x:f>IF(OR(AT4&lt;0,AT4=AS4,ISERROR(INDEX(세부시간표!$A$3:$L$1183,9*AT4-3,11))),"",LEFT(INDEX(세부시간표!$A$3:$L$1183,9*AT4-3,11),4))</x:f>
        <x:v>1교육실</x:v>
      </x:c>
      <x:c r="AU25" s="65" t="str">
        <x:f>IF(OR(AU4&lt;0,AU4=AT4,ISERROR(INDEX(세부시간표!$A$3:$L$1183,9*AU4-3,11))),"",LEFT(INDEX(세부시간표!$A$3:$L$1183,9*AU4-3,11),4))</x:f>
        <x:v>1교육실</x:v>
      </x:c>
      <x:c r="AV25" s="65" t="str">
        <x:f>IF(OR(AV4&lt;0,AV4=AU4,ISERROR(INDEX(세부시간표!$A$3:$L$1183,9*AV4-3,11))),"",LEFT(INDEX(세부시간표!$A$3:$L$1183,9*AV4-3,11),4))</x:f>
        <x:v>1교육실</x:v>
      </x:c>
      <x:c r="AW25" s="65" t="str">
        <x:f>IF(OR(AW4&lt;0,AW4=AV4,ISERROR(INDEX(세부시간표!$A$3:$L$1183,9*AW4-3,11))),"",LEFT(INDEX(세부시간표!$A$3:$L$1183,9*AW4-3,11),4))</x:f>
        <x:v>1교육실</x:v>
      </x:c>
      <x:c r="AX25" s="65" t="str">
        <x:f>IF(OR(AX4&lt;0,AX4=AW4,ISERROR(INDEX(세부시간표!$A$3:$L$1183,9*AX4-3,11))),"",LEFT(INDEX(세부시간표!$A$3:$L$1183,9*AX4-3,11),4))</x:f>
        <x:v>1교육실</x:v>
      </x:c>
      <x:c r="AY25" s="65" t="str">
        <x:f>IF(OR(AY4&lt;0,AY4=AX4,ISERROR(INDEX(세부시간표!$A$3:$L$1183,9*AY4-3,11))),"",LEFT(INDEX(세부시간표!$A$3:$L$1183,9*AY4-3,11),4))</x:f>
        <x:v>1교육실</x:v>
      </x:c>
      <x:c r="AZ25" s="65" t="str">
        <x:f>IF(OR(AZ4&lt;0,AZ4=AY4,ISERROR(INDEX(세부시간표!$A$3:$L$1183,9*AZ4-3,11))),"",LEFT(INDEX(세부시간표!$A$3:$L$1183,9*AZ4-3,11),4))</x:f>
        <x:v>1교육실</x:v>
      </x:c>
      <x:c r="BA25" s="65" t="str">
        <x:f>IF(OR(BA4&lt;0,BA4=AZ4,ISERROR(INDEX(세부시간표!$A$3:$L$1183,9*BA4-3,11))),"",LEFT(INDEX(세부시간표!$A$3:$L$1183,9*BA4-3,11),4))</x:f>
        <x:v>1교육실</x:v>
      </x:c>
      <x:c r="BB25" s="65" t="str">
        <x:f>IF(OR(BB4&lt;0,BB4=BA4,ISERROR(INDEX(세부시간표!$A$3:$L$1183,9*BB4-3,11))),"",LEFT(INDEX(세부시간표!$A$3:$L$1183,9*BB4-3,11),4))</x:f>
        <x:v>1교육실</x:v>
      </x:c>
      <x:c r="BC25" s="65" t="str">
        <x:f>IF(OR(BC4&lt;0,BC4=BB4,ISERROR(INDEX(세부시간표!$A$3:$L$1183,9*BC4-3,11))),"",LEFT(INDEX(세부시간표!$A$3:$L$1183,9*BC4-3,11),4))</x:f>
        <x:v>1교육실</x:v>
      </x:c>
      <x:c r="BD25" s="65" t="str">
        <x:f>IF(OR(BD4&lt;0,BD4=BC4,ISERROR(INDEX(세부시간표!$A$3:$L$1183,9*BD4-3,11))),"",LEFT(INDEX(세부시간표!$A$3:$L$1183,9*BD4-3,11),4))</x:f>
        <x:v>1교육실</x:v>
      </x:c>
      <x:c r="BE25" s="65" t="str">
        <x:f>IF(OR(BE4&lt;0,BE4=BD4,ISERROR(INDEX(세부시간표!$A$3:$L$1183,9*BE4-3,11))),"",LEFT(INDEX(세부시간표!$A$3:$L$1183,9*BE4-3,11),4))</x:f>
        <x:v>1교육실</x:v>
      </x:c>
      <x:c r="BF25" s="65" t="str">
        <x:f>IF(OR(BF4&lt;0,BF4=BE4,ISERROR(INDEX(세부시간표!$A$3:$L$1183,9*BF4-3,11))),"",LEFT(INDEX(세부시간표!$A$3:$L$1183,9*BF4-3,11),4))</x:f>
        <x:v>1교육실</x:v>
      </x:c>
      <x:c r="BG25" s="65" t="str">
        <x:f>IF(OR(BG4&lt;0,BG4=BF4,ISERROR(INDEX(세부시간표!$A$3:$L$1183,9*BG4-3,11))),"",LEFT(INDEX(세부시간표!$A$3:$L$1183,9*BG4-3,11),4))</x:f>
        <x:v>1교육실</x:v>
      </x:c>
      <x:c r="BH25" s="65" t="str">
        <x:f>IF(OR(BH4&lt;0,BH4=BG4,ISERROR(INDEX(세부시간표!$A$3:$L$1183,9*BH4-3,11))),"",LEFT(INDEX(세부시간표!$A$3:$L$1183,9*BH4-3,11),4))</x:f>
        <x:v>1교육실</x:v>
      </x:c>
      <x:c r="BI25" s="65" t="str">
        <x:f>IF(OR(BI4&lt;0,BI4=BH4,ISERROR(INDEX(세부시간표!$A$3:$L$1183,9*BI4-3,11))),"",LEFT(INDEX(세부시간표!$A$3:$L$1183,9*BI4-3,11),4))</x:f>
        <x:v>1교육실</x:v>
      </x:c>
      <x:c r="BJ25" s="65" t="str">
        <x:f>IF(OR(BJ4&lt;0,BJ4=BI4,ISERROR(INDEX(세부시간표!$A$3:$L$1183,9*BJ4-3,11))),"",LEFT(INDEX(세부시간표!$A$3:$L$1183,9*BJ4-3,11),4))</x:f>
        <x:v>1교육실</x:v>
      </x:c>
      <x:c r="BK25" s="65" t="str">
        <x:f>IF(OR(BK4&lt;0,BK4=BJ4,ISERROR(INDEX(세부시간표!$A$3:$L$1183,9*BK4-3,11))),"",LEFT(INDEX(세부시간표!$A$3:$L$1183,9*BK4-3,11),4))</x:f>
        <x:v>1교육실</x:v>
      </x:c>
      <x:c r="BL25" s="65" t="str">
        <x:f>IF(OR(BL4&lt;0,BL4=BK4,ISERROR(INDEX(세부시간표!$A$3:$L$1183,9*BL4-3,11))),"",LEFT(INDEX(세부시간표!$A$3:$L$1183,9*BL4-3,11),4))</x:f>
        <x:v>1교육실</x:v>
      </x:c>
      <x:c r="BM25" s="65" t="str">
        <x:f>IF(OR(BM4&lt;0,BM4=BL4,ISERROR(INDEX(세부시간표!$A$3:$L$1183,9*BM4-3,11))),"",LEFT(INDEX(세부시간표!$A$3:$L$1183,9*BM4-3,11),4))</x:f>
        <x:v>1교육실</x:v>
      </x:c>
      <x:c r="BN25" s="65" t="str">
        <x:f>IF(OR(BN4&lt;0,BN4=BM4,ISERROR(INDEX(세부시간표!$A$3:$L$1183,9*BN4-3,11))),"",LEFT(INDEX(세부시간표!$A$3:$L$1183,9*BN4-3,11),4))</x:f>
        <x:v>1교육실</x:v>
      </x:c>
      <x:c r="BO25" s="65" t="str">
        <x:f>IF(OR(BO4&lt;0,BO4=BN4,ISERROR(INDEX(세부시간표!$A$3:$L$1183,9*BO4-3,11))),"",LEFT(INDEX(세부시간표!$A$3:$L$1183,9*BO4-3,11),4))</x:f>
        <x:v>1교육실</x:v>
      </x:c>
      <x:c r="BP25" s="65" t="str">
        <x:f>IF(OR(BP4&lt;0,BP4=BO4,ISERROR(INDEX(세부시간표!$A$3:$L$1183,9*BP4-3,11))),"",LEFT(INDEX(세부시간표!$A$3:$L$1183,9*BP4-3,11),4))</x:f>
        <x:v>1교육실</x:v>
      </x:c>
      <x:c r="BQ25" s="65" t="str">
        <x:f>IF(OR(BQ4&lt;0,BQ4=BP4,ISERROR(INDEX(세부시간표!$A$3:$L$1183,9*BQ4-3,11))),"",LEFT(INDEX(세부시간표!$A$3:$L$1183,9*BQ4-3,11),4))</x:f>
        <x:v>1교육실</x:v>
      </x:c>
      <x:c r="BR25" s="65" t="str">
        <x:f>IF(OR(BR4&lt;0,BR4=BQ4,ISERROR(INDEX(세부시간표!$A$3:$L$1183,9*BR4-3,11))),"",LEFT(INDEX(세부시간표!$A$3:$L$1183,9*BR4-3,11),4))</x:f>
        <x:v/>
      </x:c>
      <x:c r="BS25" s="65" t="str">
        <x:f>IF(OR(BS4&lt;0,BS4=BR4,ISERROR(INDEX(세부시간표!$A$3:$L$1183,9*BS4-3,11))),"",LEFT(INDEX(세부시간표!$A$3:$L$1183,9*BS4-3,11),4))</x:f>
        <x:v>1교육실</x:v>
      </x:c>
      <x:c r="BT25" s="65" t="str">
        <x:f>IF(OR(BT4&lt;0,BT4=BS4,ISERROR(INDEX(세부시간표!$A$3:$L$1183,9*BT4-3,11))),"",LEFT(INDEX(세부시간표!$A$3:$L$1183,9*BT4-3,11),4))</x:f>
        <x:v>1교육실</x:v>
      </x:c>
      <x:c r="BU25" s="65" t="str">
        <x:f>IF(OR(BU4&lt;0,BU4=BT4,ISERROR(INDEX(세부시간표!$A$3:$L$1183,9*BU4-3,11))),"",LEFT(INDEX(세부시간표!$A$3:$L$1183,9*BU4-3,11),4))</x:f>
        <x:v>1교육실</x:v>
      </x:c>
      <x:c r="BV25" s="65" t="str">
        <x:f>IF(OR(BV4&lt;0,BV4=BU4,ISERROR(INDEX(세부시간표!$A$3:$L$1183,9*BV4-3,11))),"",LEFT(INDEX(세부시간표!$A$3:$L$1183,9*BV4-3,11),4))</x:f>
        <x:v>1교육실</x:v>
      </x:c>
      <x:c r="BW25" s="65" t="str">
        <x:f>IF(OR(BW4&lt;0,BW4=BV4,ISERROR(INDEX(세부시간표!$A$3:$L$1183,9*BW4-3,11))),"",LEFT(INDEX(세부시간표!$A$3:$L$1183,9*BW4-3,11),4))</x:f>
        <x:v/>
      </x:c>
      <x:c r="BX25" s="65" t="str">
        <x:f>IF(OR(BX4&lt;0,BX4=BW4,ISERROR(INDEX(세부시간표!$A$3:$L$1183,9*BX4-3,11))),"",LEFT(INDEX(세부시간표!$A$3:$L$1183,9*BX4-3,11),4))</x:f>
        <x:v>1교육실</x:v>
      </x:c>
      <x:c r="BY25" s="65" t="str">
        <x:f>IF(OR(BY4&lt;0,BY4=BX4,ISERROR(INDEX(세부시간표!$A$3:$L$1183,9*BY4-3,11))),"",LEFT(INDEX(세부시간표!$A$3:$L$1183,9*BY4-3,11),4))</x:f>
        <x:v>1교육실</x:v>
      </x:c>
      <x:c r="BZ25" s="65" t="str">
        <x:f>IF(OR(BZ4&lt;0,BZ4=BY4,ISERROR(INDEX(세부시간표!$A$3:$L$1183,9*BZ4-3,11))),"",LEFT(INDEX(세부시간표!$A$3:$L$1183,9*BZ4-3,11),4))</x:f>
        <x:v>1교육실</x:v>
      </x:c>
      <x:c r="CA25" s="65" t="str">
        <x:f>IF(OR(CA4&lt;0,CA4=BZ4,ISERROR(INDEX(세부시간표!$A$3:$L$1183,9*CA4-3,11))),"",LEFT(INDEX(세부시간표!$A$3:$L$1183,9*CA4-3,11),4))</x:f>
        <x:v>1교육실</x:v>
      </x:c>
      <x:c r="CB25" s="65" t="str">
        <x:f>IF(OR(CB4&lt;0,CB4=CA4,ISERROR(INDEX(세부시간표!$A$3:$L$1183,9*CB4-3,11))),"",LEFT(INDEX(세부시간표!$A$3:$L$1183,9*CB4-3,11),4))</x:f>
        <x:v>1교육실</x:v>
      </x:c>
      <x:c r="CC25" s="65" t="str">
        <x:f>IF(OR(CC4&lt;0,CC4=CB4,ISERROR(INDEX(세부시간표!$A$3:$L$1183,9*CC4-3,11))),"",LEFT(INDEX(세부시간표!$A$3:$L$1183,9*CC4-3,11),4))</x:f>
        <x:v>1교육실</x:v>
      </x:c>
      <x:c r="CD25" s="65" t="str">
        <x:f>IF(OR(CD4&lt;0,CD4=CC4,ISERROR(INDEX(세부시간표!$A$3:$L$1183,9*CD4-3,11))),"",LEFT(INDEX(세부시간표!$A$3:$L$1183,9*CD4-3,11),4))</x:f>
        <x:v>1교육실</x:v>
      </x:c>
      <x:c r="CE25" s="65" t="str">
        <x:f>IF(OR(CE4&lt;0,CE4=CD4,ISERROR(INDEX(세부시간표!$A$3:$L$1183,9*CE4-3,11))),"",LEFT(INDEX(세부시간표!$A$3:$L$1183,9*CE4-3,11),4))</x:f>
        <x:v>1교육실</x:v>
      </x:c>
      <x:c r="CF25" s="65" t="str">
        <x:f>IF(OR(CF4&lt;0,CF4=CE4,ISERROR(INDEX(세부시간표!$A$3:$L$1183,9*CF4-3,11))),"",LEFT(INDEX(세부시간표!$A$3:$L$1183,9*CF4-3,11),4))</x:f>
        <x:v>1교육실</x:v>
      </x:c>
      <x:c r="CG25" s="65" t="str">
        <x:f>IF(OR(CG4&lt;0,CG4=CF4,ISERROR(INDEX(세부시간표!$A$3:$L$1183,9*CG4-3,11))),"",LEFT(INDEX(세부시간표!$A$3:$L$1183,9*CG4-3,11),4))</x:f>
        <x:v>1교육실</x:v>
      </x:c>
      <x:c r="CH25" s="65" t="str">
        <x:f>IF(OR(CH4&lt;0,CH4=CG4,ISERROR(INDEX(세부시간표!$A$3:$L$1183,9*CH4-3,11))),"",LEFT(INDEX(세부시간표!$A$3:$L$1183,9*CH4-3,11),4))</x:f>
        <x:v>1교육실</x:v>
      </x:c>
      <x:c r="CI25" s="65" t="str">
        <x:f>IF(OR(CI4&lt;0,CI4=CH4,ISERROR(INDEX(세부시간표!$A$3:$L$1183,9*CI4-3,11))),"",LEFT(INDEX(세부시간표!$A$3:$L$1183,9*CI4-3,11),4))</x:f>
        <x:v>1교육실</x:v>
      </x:c>
      <x:c r="CJ25" s="65" t="str">
        <x:f>IF(OR(CJ4&lt;0,CJ4=CI4,ISERROR(INDEX(세부시간표!$A$3:$L$1183,9*CJ4-3,11))),"",LEFT(INDEX(세부시간표!$A$3:$L$1183,9*CJ4-3,11),4))</x:f>
        <x:v>1교육실</x:v>
      </x:c>
      <x:c r="CK25" s="65" t="str">
        <x:f>IF(OR(CK4&lt;0,CK4=CJ4,ISERROR(INDEX(세부시간표!$A$3:$L$1183,9*CK4-3,11))),"",LEFT(INDEX(세부시간표!$A$3:$L$1183,9*CK4-3,11),4))</x:f>
        <x:v>1교육실</x:v>
      </x:c>
      <x:c r="CL25" s="65" t="str">
        <x:f>IF(OR(CL4&lt;0,CL4=CK4,ISERROR(INDEX(세부시간표!$A$3:$L$1183,9*CL4-3,11))),"",LEFT(INDEX(세부시간표!$A$3:$L$1183,9*CL4-3,11),4))</x:f>
        <x:v>1교육실</x:v>
      </x:c>
      <x:c r="CM25" s="65" t="str">
        <x:f>IF(OR(CM4&lt;0,CM4=CL4,ISERROR(INDEX(세부시간표!$A$3:$L$1183,9*CM4-3,11))),"",LEFT(INDEX(세부시간표!$A$3:$L$1183,9*CM4-3,11),4))</x:f>
        <x:v>1교육실</x:v>
      </x:c>
      <x:c r="CN25" s="65" t="str">
        <x:f>IF(OR(CN4&lt;0,CN4=CM4,ISERROR(INDEX(세부시간표!$A$3:$L$1183,9*CN4-3,11))),"",LEFT(INDEX(세부시간표!$A$3:$L$1183,9*CN4-3,11),4))</x:f>
        <x:v>1교육실</x:v>
      </x:c>
      <x:c r="CO25" s="65" t="str">
        <x:f>IF(OR(CO4&lt;0,CO4=CN4,ISERROR(INDEX(세부시간표!$A$3:$L$1183,9*CO4-3,11))),"",LEFT(INDEX(세부시간표!$A$3:$L$1183,9*CO4-3,11),4))</x:f>
        <x:v>1교육실</x:v>
      </x:c>
      <x:c r="CP25" s="65" t="str">
        <x:f>IF(OR(CP4&lt;0,CP4=CO4,ISERROR(INDEX(세부시간표!$A$3:$L$1183,9*CP4-3,11))),"",LEFT(INDEX(세부시간표!$A$3:$L$1183,9*CP4-3,11),4))</x:f>
        <x:v>1교육실</x:v>
      </x:c>
      <x:c r="CQ25" s="65" t="str">
        <x:f>IF(OR(CQ4&lt;0,CQ4=CP4,ISERROR(INDEX(세부시간표!$A$3:$L$1183,9*CQ4-3,11))),"",LEFT(INDEX(세부시간표!$A$3:$L$1183,9*CQ4-3,11),4))</x:f>
        <x:v>1교육실</x:v>
      </x:c>
      <x:c r="CR25" s="65" t="str">
        <x:f>IF(OR(CR4&lt;0,CR4=CQ4,ISERROR(INDEX(세부시간표!$A$3:$L$1183,9*CR4-3,11))),"",LEFT(INDEX(세부시간표!$A$3:$L$1183,9*CR4-3,11),4))</x:f>
        <x:v>1교육실</x:v>
      </x:c>
      <x:c r="CS25" s="65" t="str">
        <x:f>IF(OR(CS4&lt;0,CS4=CR4,ISERROR(INDEX(세부시간표!$A$3:$L$1183,9*CS4-3,11))),"",LEFT(INDEX(세부시간표!$A$3:$L$1183,9*CS4-3,11),4))</x:f>
        <x:v>1교육실</x:v>
      </x:c>
      <x:c r="CT25" s="65" t="str">
        <x:f>IF(OR(CT4&lt;0,CT4=CS4,ISERROR(INDEX(세부시간표!$A$3:$L$1183,9*CT4-3,11))),"",LEFT(INDEX(세부시간표!$A$3:$L$1183,9*CT4-3,11),4))</x:f>
        <x:v>1교육실</x:v>
      </x:c>
      <x:c r="CU25" s="65" t="str">
        <x:f>IF(OR(CU4&lt;0,CU4=CT4,ISERROR(INDEX(세부시간표!$A$3:$L$1183,9*CU4-3,11))),"",LEFT(INDEX(세부시간표!$A$3:$L$1183,9*CU4-3,11),4))</x:f>
        <x:v>1교육실</x:v>
      </x:c>
      <x:c r="CV25" s="65" t="str">
        <x:f>IF(OR(CV4&lt;0,CV4=CU4,ISERROR(INDEX(세부시간표!$A$3:$L$1183,9*CV4-3,11))),"",LEFT(INDEX(세부시간표!$A$3:$L$1183,9*CV4-3,11),4))</x:f>
        <x:v>1교육실</x:v>
      </x:c>
      <x:c r="CW25" s="65" t="str">
        <x:f>IF(OR(CW4&lt;0,CW4=CV4,ISERROR(INDEX(세부시간표!$A$3:$L$1183,9*CW4-3,11))),"",LEFT(INDEX(세부시간표!$A$3:$L$1183,9*CW4-3,11),4))</x:f>
        <x:v>1교육실</x:v>
      </x:c>
      <x:c r="CX25" s="65" t="str">
        <x:f>IF(OR(CX4&lt;0,CX4=CW4,ISERROR(INDEX(세부시간표!$A$3:$L$1183,9*CX4-3,11))),"",LEFT(INDEX(세부시간표!$A$3:$L$1183,9*CX4-3,11),4))</x:f>
        <x:v>1교육실</x:v>
      </x:c>
      <x:c r="CY25" s="65" t="str">
        <x:f>IF(OR(CY4&lt;0,CY4=CX4,ISERROR(INDEX(세부시간표!$A$3:$L$1183,9*CY4-3,11))),"",LEFT(INDEX(세부시간표!$A$3:$L$1183,9*CY4-3,11),4))</x:f>
        <x:v>1교육실</x:v>
      </x:c>
      <x:c r="CZ25" s="65" t="str">
        <x:f>IF(OR(CZ4&lt;0,CZ4=CY4,ISERROR(INDEX(세부시간표!$A$3:$L$1183,9*CZ4-3,11))),"",LEFT(INDEX(세부시간표!$A$3:$L$1183,9*CZ4-3,11),4))</x:f>
        <x:v>1교육실</x:v>
      </x:c>
      <x:c r="DA25" s="65" t="str">
        <x:f>IF(OR(DA4&lt;0,DA4=CZ4,ISERROR(INDEX(세부시간표!$A$3:$L$1183,9*DA4-3,11))),"",LEFT(INDEX(세부시간표!$A$3:$L$1183,9*DA4-3,11),4))</x:f>
        <x:v>1교육실</x:v>
      </x:c>
      <x:c r="DB25" s="65" t="str">
        <x:f>IF(OR(DB4&lt;0,DB4=DA4,ISERROR(INDEX(세부시간표!$A$3:$L$1183,9*DB4-3,11))),"",LEFT(INDEX(세부시간표!$A$3:$L$1183,9*DB4-3,11),4))</x:f>
        <x:v>1교육실</x:v>
      </x:c>
      <x:c r="DC25" s="65" t="str">
        <x:f>IF(OR(DC4&lt;0,DC4=DB4,ISERROR(INDEX(세부시간표!$A$3:$L$1183,9*DC4-3,11))),"",LEFT(INDEX(세부시간표!$A$3:$L$1183,9*DC4-3,11),4))</x:f>
        <x:v/>
      </x:c>
      <x:c r="DD25" s="65" t="str">
        <x:f>IF(OR(DD4&lt;0,DD4=DC4,ISERROR(INDEX(세부시간표!$A$3:$L$1183,9*DD4-3,11))),"",LEFT(INDEX(세부시간표!$A$3:$L$1183,9*DD4-3,11),4))</x:f>
        <x:v/>
      </x:c>
      <x:c r="DE25" s="65" t="str">
        <x:f>IF(OR(DE4&lt;0,DE4=DD4,ISERROR(INDEX(세부시간표!$A$3:$L$1183,9*DE4-3,11))),"",LEFT(INDEX(세부시간표!$A$3:$L$1183,9*DE4-3,11),4))</x:f>
        <x:v/>
      </x:c>
      <x:c r="DF25" s="65" t="str">
        <x:f>IF(OR(DF4&lt;0,DF4=DE4,ISERROR(INDEX(세부시간표!$A$3:$L$1183,9*DF4-3,11))),"",LEFT(INDEX(세부시간표!$A$3:$L$1183,9*DF4-3,11),4))</x:f>
        <x:v>1교육실</x:v>
      </x:c>
      <x:c r="DG25" s="65" t="str">
        <x:f>IF(OR(DG4&lt;0,DG4=DF4,ISERROR(INDEX(세부시간표!$A$3:$L$1183,9*DG4-3,11))),"",LEFT(INDEX(세부시간표!$A$3:$L$1183,9*DG4-3,11),4))</x:f>
        <x:v>1교육실</x:v>
      </x:c>
      <x:c r="DH25" s="65" t="str">
        <x:f>IF(OR(DH4&lt;0,DH4=DG4,ISERROR(INDEX(세부시간표!$A$3:$L$1183,9*DH4-3,11))),"",LEFT(INDEX(세부시간표!$A$3:$L$1183,9*DH4-3,11),4))</x:f>
        <x:v>1교육실</x:v>
      </x:c>
      <x:c r="DI25" s="65" t="str">
        <x:f>IF(OR(DI4&lt;0,DI4=DH4,ISERROR(INDEX(세부시간표!$A$3:$L$1183,9*DI4-3,11))),"",LEFT(INDEX(세부시간표!$A$3:$L$1183,9*DI4-3,11),4))</x:f>
        <x:v>1교육실</x:v>
      </x:c>
      <x:c r="DJ25" s="65" t="str">
        <x:f>IF(OR(DJ4&lt;0,DJ4=DI4,ISERROR(INDEX(세부시간표!$A$3:$L$1183,9*DJ4-3,11))),"",LEFT(INDEX(세부시간표!$A$3:$L$1183,9*DJ4-3,11),4))</x:f>
        <x:v>1교육실</x:v>
      </x:c>
      <x:c r="DK25" s="65" t="str">
        <x:f>IF(OR(DK4&lt;0,DK4=DJ4,ISERROR(INDEX(세부시간표!$A$3:$L$1183,9*DK4-3,11))),"",LEFT(INDEX(세부시간표!$A$3:$L$1183,9*DK4-3,11),4))</x:f>
        <x:v>1교육실</x:v>
      </x:c>
      <x:c r="DL25" s="65" t="str">
        <x:f>IF(OR(DL4&lt;0,DL4=DK4,ISERROR(INDEX(세부시간표!$A$3:$L$1183,9*DL4-3,11))),"",LEFT(INDEX(세부시간표!$A$3:$L$1183,9*DL4-3,11),4))</x:f>
        <x:v>1교육실</x:v>
      </x:c>
      <x:c r="DM25" s="65" t="str">
        <x:f>IF(OR(DM4&lt;0,DM4=DL4,ISERROR(INDEX(세부시간표!$A$3:$L$1183,9*DM4-3,11))),"",LEFT(INDEX(세부시간표!$A$3:$L$1183,9*DM4-3,11),4))</x:f>
        <x:v/>
      </x:c>
      <x:c r="DN25" s="65" t="str">
        <x:f>IF(OR(DN4&lt;0,DN4=DM4,ISERROR(INDEX(세부시간표!$A$3:$L$1183,9*DN4-3,11))),"",LEFT(INDEX(세부시간표!$A$3:$L$1183,9*DN4-3,11),4))</x:f>
        <x:v>1교육실</x:v>
      </x:c>
      <x:c r="DO25" s="65" t="str">
        <x:f>IF(OR(DO4&lt;0,DO4=DN4,ISERROR(INDEX(세부시간표!$A$3:$L$1183,9*DO4-3,11))),"",LEFT(INDEX(세부시간표!$A$3:$L$1183,9*DO4-3,11),4))</x:f>
        <x:v>1교육실</x:v>
      </x:c>
      <x:c r="DP25" s="65" t="str">
        <x:f>IF(OR(DP4&lt;0,DP4=DO4,ISERROR(INDEX(세부시간표!$A$3:$L$1183,9*DP4-3,11))),"",LEFT(INDEX(세부시간표!$A$3:$L$1183,9*DP4-3,11),4))</x:f>
        <x:v>1교육실</x:v>
      </x:c>
      <x:c r="DQ25" s="65" t="str">
        <x:f>IF(OR(DQ4&lt;0,DQ4=DP4,ISERROR(INDEX(세부시간표!$A$3:$L$1183,9*DQ4-3,11))),"",LEFT(INDEX(세부시간표!$A$3:$L$1183,9*DQ4-3,11),4))</x:f>
        <x:v>1교육실</x:v>
      </x:c>
      <x:c r="DR25" s="65" t="str">
        <x:f>IF(OR(DR4&lt;0,DR4=DQ4,ISERROR(INDEX(세부시간표!$A$3:$L$1183,9*DR4-3,11))),"",LEFT(INDEX(세부시간표!$A$3:$L$1183,9*DR4-3,11),4))</x:f>
        <x:v>1교육실</x:v>
      </x:c>
      <x:c r="DS25" s="65" t="str">
        <x:f>IF(OR(DS4&lt;0,DS4=DR4,ISERROR(INDEX(세부시간표!$A$3:$L$1183,9*DS4-3,11))),"",LEFT(INDEX(세부시간표!$A$3:$L$1183,9*DS4-3,11),4))</x:f>
        <x:v>1교육실</x:v>
      </x:c>
      <x:c r="DT25" s="65" t="str">
        <x:f>IF(OR(DT4&lt;0,DT4=DS4,ISERROR(INDEX(세부시간표!$A$3:$L$1183,9*DT4-3,11))),"",LEFT(INDEX(세부시간표!$A$3:$L$1183,9*DT4-3,11),4))</x:f>
        <x:v>1교육실</x:v>
      </x:c>
      <x:c r="DU25" s="65" t="str">
        <x:f>IF(OR(DU4&lt;0,DU4=DT4,ISERROR(INDEX(세부시간표!$A$3:$L$1183,9*DU4-3,11))),"",LEFT(INDEX(세부시간표!$A$3:$L$1183,9*DU4-3,11),4))</x:f>
        <x:v>1교육실</x:v>
      </x:c>
      <x:c r="DV25" s="65" t="str">
        <x:f>IF(OR(DV4&lt;0,DV4=DU4,ISERROR(INDEX(세부시간표!$A$3:$L$1183,9*DV4-3,11))),"",LEFT(INDEX(세부시간표!$A$3:$L$1183,9*DV4-3,11),4))</x:f>
        <x:v>1교육실</x:v>
      </x:c>
      <x:c r="DW25" s="65" t="str">
        <x:f>IF(OR(DW4&lt;0,DW4=DV4,ISERROR(INDEX(세부시간표!$A$3:$L$1183,9*DW4-3,11))),"",LEFT(INDEX(세부시간표!$A$3:$L$1183,9*DW4-3,11),4))</x:f>
        <x:v>1교육실</x:v>
      </x:c>
      <x:c r="DX25" s="65" t="str">
        <x:f>IF(OR(DX4&lt;0,DX4=DW4,ISERROR(INDEX(세부시간표!$A$3:$L$1183,9*DX4-3,11))),"",LEFT(INDEX(세부시간표!$A$3:$L$1183,9*DX4-3,11),4))</x:f>
        <x:v>1교육실</x:v>
      </x:c>
      <x:c r="DY25" s="65" t="str">
        <x:f>IF(OR(DY4&lt;0,DY4=DX4,ISERROR(INDEX(세부시간표!$A$3:$L$1183,9*DY4-3,11))),"",LEFT(INDEX(세부시간표!$A$3:$L$1183,9*DY4-3,11),4))</x:f>
        <x:v>1교육실</x:v>
      </x:c>
      <x:c r="DZ25" s="65" t="str">
        <x:f>IF(OR(DZ4&lt;0,DZ4=DY4,ISERROR(INDEX(세부시간표!$A$3:$L$1183,9*DZ4-3,11))),"",LEFT(INDEX(세부시간표!$A$3:$L$1183,9*DZ4-3,11),4))</x:f>
        <x:v>1교육실</x:v>
      </x:c>
      <x:c r="EA25" s="65" t="str">
        <x:f>IF(OR(EA4&lt;0,EA4=DZ4,ISERROR(INDEX(세부시간표!$A$3:$L$1183,9*EA4-3,11))),"",LEFT(INDEX(세부시간표!$A$3:$L$1183,9*EA4-3,11),4))</x:f>
        <x:v>1교육실</x:v>
      </x:c>
      <x:c r="EB25" s="65" t="str">
        <x:f>IF(OR(EB4&lt;0,EB4=EA4,ISERROR(INDEX(세부시간표!$A$3:$L$1183,9*EB4-3,11))),"",LEFT(INDEX(세부시간표!$A$3:$L$1183,9*EB4-3,11),4))</x:f>
        <x:v>1교육실</x:v>
      </x:c>
      <x:c r="EC25" s="65" t="str">
        <x:f>IF(OR(EC4&lt;0,EC4=EB4,ISERROR(INDEX(세부시간표!$A$3:$L$1183,9*EC4-3,11))),"",LEFT(INDEX(세부시간표!$A$3:$L$1183,9*EC4-3,11),4))</x:f>
        <x:v>1교육실</x:v>
      </x:c>
      <x:c r="ED25" s="65" t="str">
        <x:f>IF(OR(ED4&lt;0,ED4=EC4,ISERROR(INDEX(세부시간표!$A$3:$L$1183,9*ED4-3,11))),"",LEFT(INDEX(세부시간표!$A$3:$L$1183,9*ED4-3,11),4))</x:f>
        <x:v>1교육실</x:v>
      </x:c>
      <x:c r="EE25" s="65" t="str">
        <x:f>IF(OR(EE4&lt;0,EE4=ED4,ISERROR(INDEX(세부시간표!$A$3:$L$1183,9*EE4-3,11))),"",LEFT(INDEX(세부시간표!$A$3:$L$1183,9*EE4-3,11),4))</x:f>
        <x:v/>
      </x:c>
      <x:c r="EF25" s="65" t="str">
        <x:f>IF(OR(EF4&lt;0,EF4=EE4,ISERROR(INDEX(세부시간표!$A$3:$L$1183,9*EF4-3,11))),"",LEFT(INDEX(세부시간표!$A$3:$L$1183,9*EF4-3,11),4))</x:f>
        <x:v/>
      </x:c>
      <x:c r="EG25" s="65" t="str">
        <x:f>IF(OR(EG4&lt;0,EG4=EF4,ISERROR(INDEX(세부시간표!$A$3:$L$1183,9*EG4-3,11))),"",LEFT(INDEX(세부시간표!$A$3:$L$1183,9*EG4-3,11),4))</x:f>
        <x:v/>
      </x:c>
      <x:c r="EH25" s="65" t="str">
        <x:f>IF(OR(EH4&lt;0,EH4=EG4,ISERROR(INDEX(세부시간표!$A$3:$L$1183,9*EH4-3,11))),"",LEFT(INDEX(세부시간표!$A$3:$L$1183,9*EH4-3,11),4))</x:f>
        <x:v/>
      </x:c>
      <x:c r="EI25" s="65" t="str">
        <x:f>IF(OR(EI4&lt;0,EI4=EH4,ISERROR(INDEX(세부시간표!$A$3:$L$1183,9*EI4-3,11))),"",LEFT(INDEX(세부시간표!$A$3:$L$1183,9*EI4-3,11),4))</x:f>
        <x:v/>
      </x:c>
      <x:c r="EJ25" s="65" t="str">
        <x:f>IF(OR(EJ4&lt;0,EJ4=EI4,ISERROR(INDEX(세부시간표!$A$3:$L$1183,9*EJ4-3,11))),"",LEFT(INDEX(세부시간표!$A$3:$L$1183,9*EJ4-3,11),4))</x:f>
        <x:v/>
      </x:c>
      <x:c r="EK25" s="65" t="str">
        <x:f>IF(OR(EK4&lt;0,EK4=EJ4,ISERROR(INDEX(세부시간표!$A$3:$L$1183,9*EK4-3,11))),"",LEFT(INDEX(세부시간표!$A$3:$L$1183,9*EK4-3,11),4))</x:f>
        <x:v/>
      </x:c>
      <x:c r="EL25" s="49" t="str">
        <x:f>IF(OR(EL4&lt;0,EL4=EK4,ISERROR(INDEX(세부시간표!$A$3:$L$1183,9*EL4-3,11))),"",INDEX(세부시간표!$A$3:$L$1183,9*EL4-3,11))</x:f>
        <x:v/>
      </x:c>
      <x:c r="EM25" s="48" t="str">
        <x:f>IF(OR(EM4&lt;0,EM4=EL4,ISERROR(INDEX(세부시간표!$A$3:$L$1183,9*EM4-3,11))),"",INDEX(세부시간표!$A$3:$L$1183,9*EM4-3,11))</x:f>
        <x:v/>
      </x:c>
      <x:c r="EN25" s="48" t="str">
        <x:f>IF(OR(EN4&lt;0,EN4=EM4,ISERROR(INDEX(세부시간표!$A$3:$L$1183,9*EN4-3,11))),"",INDEX(세부시간표!$A$3:$L$1183,9*EN4-3,11))</x:f>
        <x:v/>
      </x:c>
      <x:c r="EO25" s="48" t="str">
        <x:f>IF(OR(EO4&lt;0,EO4=EN4,ISERROR(INDEX(세부시간표!$A$3:$L$1183,9*EO4-3,11))),"",INDEX(세부시간표!$A$3:$L$1183,9*EO4-3,11))</x:f>
        <x:v/>
      </x:c>
      <x:c r="EP25" s="50" t="str">
        <x:f>IF(OR(EP4&lt;0,EP4=EO4,ISERROR(INDEX(세부시간표!$A$3:$L$1183,9*EP4-3,11))),"",INDEX(세부시간표!$A$3:$L$1183,9*EP4-3,11))</x:f>
        <x:v/>
      </x:c>
    </x:row>
    <x:row r="26" spans="1:146" s="47" customFormat="1" ht="15" customHeight="1">
      <x:c r="A26" s="279"/>
      <x:c r="B26" s="66" t="str">
        <x:f>IF(OR(B4&lt;0,B4=A4,ISERROR(INDEX(세부시간표!$A$3:$L$1183,9*B4-3,12))),"",INDEX(세부시간표!$A$3:$L$1183,9*B4-3,12))</x:f>
        <x:v>양현수</x:v>
      </x:c>
      <x:c r="C26" s="66" t="str">
        <x:f>IF(OR(C4&lt;0,C4=B4,ISERROR(INDEX(세부시간표!$A$3:$L$1183,9*C4-3,12))),"",INDEX(세부시간표!$A$3:$L$1183,9*C4-3,12))</x:f>
        <x:v>양현수</x:v>
      </x:c>
      <x:c r="D26" s="66" t="str">
        <x:f>IF(OR(D4&lt;0,D4=C4,ISERROR(INDEX(세부시간표!$A$3:$L$1183,9*D4-3,12))),"",INDEX(세부시간표!$A$3:$L$1183,9*D4-3,12))</x:f>
        <x:v>양현수</x:v>
      </x:c>
      <x:c r="E26" s="66" t="str">
        <x:f>IF(OR(E4&lt;0,E4=D4,ISERROR(INDEX(세부시간표!$A$3:$L$1183,9*E4-3,12))),"",INDEX(세부시간표!$A$3:$L$1183,9*E4-3,12))</x:f>
        <x:v>양현수</x:v>
      </x:c>
      <x:c r="F26" s="66" t="str">
        <x:f>IF(OR(F4&lt;0,F4=E4,ISERROR(INDEX(세부시간표!$A$3:$L$1183,9*F4-3,12))),"",INDEX(세부시간표!$A$3:$L$1183,9*F4-3,12))</x:f>
        <x:v>양현수</x:v>
      </x:c>
      <x:c r="G26" s="66" t="str">
        <x:f>IF(OR(G4&lt;0,G4=F4,ISERROR(INDEX(세부시간표!$A$3:$L$1183,9*G4-3,12))),"",INDEX(세부시간표!$A$3:$L$1183,9*G4-3,12))</x:f>
        <x:v>양현수</x:v>
      </x:c>
      <x:c r="H26" s="66" t="str">
        <x:f>IF(OR(H4&lt;0,H4=G4,ISERROR(INDEX(세부시간표!$A$3:$L$1183,9*H4-3,12))),"",INDEX(세부시간표!$A$3:$L$1183,9*H4-3,12))</x:f>
        <x:v>양현수</x:v>
      </x:c>
      <x:c r="I26" s="66" t="str">
        <x:f>IF(OR(I4&lt;0,I4=H4,ISERROR(INDEX(세부시간표!$A$3:$L$1183,9*I4-3,12))),"",INDEX(세부시간표!$A$3:$L$1183,9*I4-3,12))</x:f>
        <x:v>양현수</x:v>
      </x:c>
      <x:c r="J26" s="66" t="str">
        <x:f>IF(OR(J4&lt;0,J4=I4,ISERROR(INDEX(세부시간표!$A$3:$L$1183,9*J4-3,12))),"",INDEX(세부시간표!$A$3:$L$1183,9*J4-3,12))</x:f>
        <x:v>양현수</x:v>
      </x:c>
      <x:c r="K26" s="66" t="str">
        <x:f>IF(OR(K4&lt;0,K4=J4,ISERROR(INDEX(세부시간표!$A$3:$L$1183,9*K4-3,12))),"",INDEX(세부시간표!$A$3:$L$1183,9*K4-3,12))</x:f>
        <x:v/>
      </x:c>
      <x:c r="L26" s="66" t="str">
        <x:f>IF(OR(L4&lt;0,L4=K4,ISERROR(INDEX(세부시간표!$A$3:$L$1183,9*L4-3,12))),"",INDEX(세부시간표!$A$3:$L$1183,9*L4-3,12))</x:f>
        <x:v/>
      </x:c>
      <x:c r="M26" s="66" t="str">
        <x:f>IF(OR(M4&lt;0,M4=L4,ISERROR(INDEX(세부시간표!$A$3:$L$1183,9*M4-3,12))),"",INDEX(세부시간표!$A$3:$L$1183,9*M4-3,12))</x:f>
        <x:v/>
      </x:c>
      <x:c r="N26" s="66" t="str">
        <x:f>IF(OR(N4&lt;0,N4=M4,ISERROR(INDEX(세부시간표!$A$3:$L$1183,9*N4-3,12))),"",INDEX(세부시간표!$A$3:$L$1183,9*N4-3,12))</x:f>
        <x:v/>
      </x:c>
      <x:c r="O26" s="66" t="str">
        <x:f>IF(OR(O4&lt;0,O4=N4,ISERROR(INDEX(세부시간표!$A$3:$L$1183,9*O4-3,12))),"",INDEX(세부시간표!$A$3:$L$1183,9*O4-3,12))</x:f>
        <x:v/>
      </x:c>
      <x:c r="P26" s="66" t="str">
        <x:f>IF(OR(P4&lt;0,P4=O4,ISERROR(INDEX(세부시간표!$A$3:$L$1183,9*P4-3,12))),"",INDEX(세부시간표!$A$3:$L$1183,9*P4-3,12))</x:f>
        <x:v>양현수</x:v>
      </x:c>
      <x:c r="Q26" s="66" t="str">
        <x:f>IF(OR(Q4&lt;0,Q4=P4,ISERROR(INDEX(세부시간표!$A$3:$L$1183,9*Q4-3,12))),"",INDEX(세부시간표!$A$3:$L$1183,9*Q4-3,12))</x:f>
        <x:v>양현수</x:v>
      </x:c>
      <x:c r="R26" s="66" t="str">
        <x:f>IF(OR(R4&lt;0,R4=Q4,ISERROR(INDEX(세부시간표!$A$3:$L$1183,9*R4-3,12))),"",INDEX(세부시간표!$A$3:$L$1183,9*R4-3,12))</x:f>
        <x:v>양현수</x:v>
      </x:c>
      <x:c r="S26" s="66" t="str">
        <x:f>IF(OR(S4&lt;0,S4=R4,ISERROR(INDEX(세부시간표!$A$3:$L$1183,9*S4-3,12))),"",INDEX(세부시간표!$A$3:$L$1183,9*S4-3,12))</x:f>
        <x:v>양현수</x:v>
      </x:c>
      <x:c r="T26" s="66" t="str">
        <x:f>IF(OR(T4&lt;0,T4=S4,ISERROR(INDEX(세부시간표!$A$3:$L$1183,9*T4-3,12))),"",INDEX(세부시간표!$A$3:$L$1183,9*T4-3,12))</x:f>
        <x:v>양현수</x:v>
      </x:c>
      <x:c r="U26" s="66" t="str">
        <x:f>IF(OR(U4&lt;0,U4=T4,ISERROR(INDEX(세부시간표!$A$3:$L$1183,9*U4-3,12))),"",INDEX(세부시간표!$A$3:$L$1183,9*U4-3,12))</x:f>
        <x:v>양현수</x:v>
      </x:c>
      <x:c r="V26" s="66" t="str">
        <x:f>IF(OR(V4&lt;0,V4=U4,ISERROR(INDEX(세부시간표!$A$3:$L$1183,9*V4-3,12))),"",INDEX(세부시간표!$A$3:$L$1183,9*V4-3,12))</x:f>
        <x:v>양현수</x:v>
      </x:c>
      <x:c r="W26" s="66" t="str">
        <x:f>IF(OR(W4&lt;0,W4=V4,ISERROR(INDEX(세부시간표!$A$3:$L$1183,9*W4-3,12))),"",INDEX(세부시간표!$A$3:$L$1183,9*W4-3,12))</x:f>
        <x:v>양현수</x:v>
      </x:c>
      <x:c r="X26" s="66" t="str">
        <x:f>IF(OR(X4&lt;0,X4=W4,ISERROR(INDEX(세부시간표!$A$3:$L$1183,9*X4-3,12))),"",INDEX(세부시간표!$A$3:$L$1183,9*X4-3,12))</x:f>
        <x:v>양현수</x:v>
      </x:c>
      <x:c r="Y26" s="66" t="str">
        <x:f>IF(OR(Y4&lt;0,Y4=X4,ISERROR(INDEX(세부시간표!$A$3:$L$1183,9*Y4-3,12))),"",INDEX(세부시간표!$A$3:$L$1183,9*Y4-3,12))</x:f>
        <x:v>양현수</x:v>
      </x:c>
      <x:c r="Z26" s="66" t="str">
        <x:f>IF(OR(Z4&lt;0,Z4=Y4,ISERROR(INDEX(세부시간표!$A$3:$L$1183,9*Z4-3,12))),"",INDEX(세부시간표!$A$3:$L$1183,9*Z4-3,12))</x:f>
        <x:v>양현수</x:v>
      </x:c>
      <x:c r="AA26" s="66" t="str">
        <x:f>IF(OR(AA4&lt;0,AA4=Z4,ISERROR(INDEX(세부시간표!$A$3:$L$1183,9*AA4-3,12))),"",INDEX(세부시간표!$A$3:$L$1183,9*AA4-3,12))</x:f>
        <x:v>양현수</x:v>
      </x:c>
      <x:c r="AB26" s="66" t="str">
        <x:f>IF(OR(AB4&lt;0,AB4=AA4,ISERROR(INDEX(세부시간표!$A$3:$L$1183,9*AB4-3,12))),"",INDEX(세부시간표!$A$3:$L$1183,9*AB4-3,12))</x:f>
        <x:v>양현수</x:v>
      </x:c>
      <x:c r="AC26" s="66" t="str">
        <x:f>IF(OR(AC4&lt;0,AC4=AB4,ISERROR(INDEX(세부시간표!$A$3:$L$1183,9*AC4-3,12))),"",INDEX(세부시간표!$A$3:$L$1183,9*AC4-3,12))</x:f>
        <x:v>양현수</x:v>
      </x:c>
      <x:c r="AD26" s="66" t="str">
        <x:f>IF(OR(AD4&lt;0,AD4=AC4,ISERROR(INDEX(세부시간표!$A$3:$L$1183,9*AD4-3,12))),"",INDEX(세부시간표!$A$3:$L$1183,9*AD4-3,12))</x:f>
        <x:v>양현수</x:v>
      </x:c>
      <x:c r="AE26" s="66" t="str">
        <x:f>IF(OR(AE4&lt;0,AE4=AD4,ISERROR(INDEX(세부시간표!$A$3:$L$1183,9*AE4-3,12))),"",INDEX(세부시간표!$A$3:$L$1183,9*AE4-3,12))</x:f>
        <x:v>양현수</x:v>
      </x:c>
      <x:c r="AF26" s="66" t="str">
        <x:f>IF(OR(AF4&lt;0,AF4=AE4,ISERROR(INDEX(세부시간표!$A$3:$L$1183,9*AF4-3,12))),"",INDEX(세부시간표!$A$3:$L$1183,9*AF4-3,12))</x:f>
        <x:v>양현수</x:v>
      </x:c>
      <x:c r="AG26" s="66" t="str">
        <x:f>IF(OR(AG4&lt;0,AG4=AF4,ISERROR(INDEX(세부시간표!$A$3:$L$1183,9*AG4-3,12))),"",INDEX(세부시간표!$A$3:$L$1183,9*AG4-3,12))</x:f>
        <x:v>양현수</x:v>
      </x:c>
      <x:c r="AH26" s="66" t="str">
        <x:f>IF(OR(AH4&lt;0,AH4=AG4,ISERROR(INDEX(세부시간표!$A$3:$L$1183,9*AH4-3,12))),"",INDEX(세부시간표!$A$3:$L$1183,9*AH4-3,12))</x:f>
        <x:v>양현수</x:v>
      </x:c>
      <x:c r="AI26" s="66" t="str">
        <x:f>IF(OR(AI4&lt;0,AI4=AH4,ISERROR(INDEX(세부시간표!$A$3:$L$1183,9*AI4-3,12))),"",INDEX(세부시간표!$A$3:$L$1183,9*AI4-3,12))</x:f>
        <x:v>양현수</x:v>
      </x:c>
      <x:c r="AJ26" s="66" t="str">
        <x:f>IF(OR(AJ4&lt;0,AJ4=AI4,ISERROR(INDEX(세부시간표!$A$3:$L$1183,9*AJ4-3,12))),"",INDEX(세부시간표!$A$3:$L$1183,9*AJ4-3,12))</x:f>
        <x:v>양현수</x:v>
      </x:c>
      <x:c r="AK26" s="66" t="str">
        <x:f>IF(OR(AK4&lt;0,AK4=AJ4,ISERROR(INDEX(세부시간표!$A$3:$L$1183,9*AK4-3,12))),"",INDEX(세부시간표!$A$3:$L$1183,9*AK4-3,12))</x:f>
        <x:v>양현수</x:v>
      </x:c>
      <x:c r="AL26" s="66" t="str">
        <x:f>IF(OR(AL4&lt;0,AL4=AK4,ISERROR(INDEX(세부시간표!$A$3:$L$1183,9*AL4-3,12))),"",INDEX(세부시간표!$A$3:$L$1183,9*AL4-3,12))</x:f>
        <x:v>양현수</x:v>
      </x:c>
      <x:c r="AM26" s="66" t="str">
        <x:f>IF(OR(AM4&lt;0,AM4=AL4,ISERROR(INDEX(세부시간표!$A$3:$L$1183,9*AM4-3,12))),"",INDEX(세부시간표!$A$3:$L$1183,9*AM4-3,12))</x:f>
        <x:v>양현수</x:v>
      </x:c>
      <x:c r="AN26" s="66" t="str">
        <x:f>IF(OR(AN4&lt;0,AN4=AM4,ISERROR(INDEX(세부시간표!$A$3:$L$1183,9*AN4-3,12))),"",INDEX(세부시간표!$A$3:$L$1183,9*AN4-3,12))</x:f>
        <x:v>양현수</x:v>
      </x:c>
      <x:c r="AO26" s="66" t="str">
        <x:f>IF(OR(AO4&lt;0,AO4=AN4,ISERROR(INDEX(세부시간표!$A$3:$L$1183,9*AO4-3,12))),"",INDEX(세부시간표!$A$3:$L$1183,9*AO4-3,12))</x:f>
        <x:v>양현수</x:v>
      </x:c>
      <x:c r="AP26" s="66" t="str">
        <x:f>IF(OR(AP4&lt;0,AP4=AO4,ISERROR(INDEX(세부시간표!$A$3:$L$1183,9*AP4-3,12))),"",INDEX(세부시간표!$A$3:$L$1183,9*AP4-3,12))</x:f>
        <x:v>양현수</x:v>
      </x:c>
      <x:c r="AQ26" s="66" t="str">
        <x:f>IF(OR(AQ4&lt;0,AQ4=AP4,ISERROR(INDEX(세부시간표!$A$3:$L$1183,9*AQ4-3,12))),"",INDEX(세부시간표!$A$3:$L$1183,9*AQ4-3,12))</x:f>
        <x:v>양현수</x:v>
      </x:c>
      <x:c r="AR26" s="66" t="str">
        <x:f>IF(OR(AR4&lt;0,AR4=AQ4,ISERROR(INDEX(세부시간표!$A$3:$L$1183,9*AR4-3,12))),"",INDEX(세부시간표!$A$3:$L$1183,9*AR4-3,12))</x:f>
        <x:v>양현수</x:v>
      </x:c>
      <x:c r="AS26" s="66" t="str">
        <x:f>IF(OR(AS4&lt;0,AS4=AR4,ISERROR(INDEX(세부시간표!$A$3:$L$1183,9*AS4-3,12))),"",INDEX(세부시간표!$A$3:$L$1183,9*AS4-3,12))</x:f>
        <x:v>양현수</x:v>
      </x:c>
      <x:c r="AT26" s="66" t="str">
        <x:f>IF(OR(AT4&lt;0,AT4=AS4,ISERROR(INDEX(세부시간표!$A$3:$L$1183,9*AT4-3,12))),"",INDEX(세부시간표!$A$3:$L$1183,9*AT4-3,12))</x:f>
        <x:v>양현수</x:v>
      </x:c>
      <x:c r="AU26" s="66" t="str">
        <x:f>IF(OR(AU4&lt;0,AU4=AT4,ISERROR(INDEX(세부시간표!$A$3:$L$1183,9*AU4-3,12))),"",INDEX(세부시간표!$A$3:$L$1183,9*AU4-3,12))</x:f>
        <x:v>양현수</x:v>
      </x:c>
      <x:c r="AV26" s="66" t="str">
        <x:f>IF(OR(AV4&lt;0,AV4=AU4,ISERROR(INDEX(세부시간표!$A$3:$L$1183,9*AV4-3,12))),"",INDEX(세부시간표!$A$3:$L$1183,9*AV4-3,12))</x:f>
        <x:v>양현수</x:v>
      </x:c>
      <x:c r="AW26" s="66" t="str">
        <x:f>IF(OR(AW4&lt;0,AW4=AV4,ISERROR(INDEX(세부시간표!$A$3:$L$1183,9*AW4-3,12))),"",INDEX(세부시간표!$A$3:$L$1183,9*AW4-3,12))</x:f>
        <x:v>양현수</x:v>
      </x:c>
      <x:c r="AX26" s="66" t="str">
        <x:f>IF(OR(AX4&lt;0,AX4=AW4,ISERROR(INDEX(세부시간표!$A$3:$L$1183,9*AX4-3,12))),"",INDEX(세부시간표!$A$3:$L$1183,9*AX4-3,12))</x:f>
        <x:v>양현수</x:v>
      </x:c>
      <x:c r="AY26" s="66" t="str">
        <x:f>IF(OR(AY4&lt;0,AY4=AX4,ISERROR(INDEX(세부시간표!$A$3:$L$1183,9*AY4-3,12))),"",INDEX(세부시간표!$A$3:$L$1183,9*AY4-3,12))</x:f>
        <x:v>양현수</x:v>
      </x:c>
      <x:c r="AZ26" s="66" t="str">
        <x:f>IF(OR(AZ4&lt;0,AZ4=AY4,ISERROR(INDEX(세부시간표!$A$3:$L$1183,9*AZ4-3,12))),"",INDEX(세부시간표!$A$3:$L$1183,9*AZ4-3,12))</x:f>
        <x:v>양현수</x:v>
      </x:c>
      <x:c r="BA26" s="66" t="str">
        <x:f>IF(OR(BA4&lt;0,BA4=AZ4,ISERROR(INDEX(세부시간표!$A$3:$L$1183,9*BA4-3,12))),"",INDEX(세부시간표!$A$3:$L$1183,9*BA4-3,12))</x:f>
        <x:v>양현수</x:v>
      </x:c>
      <x:c r="BB26" s="66" t="str">
        <x:f>IF(OR(BB4&lt;0,BB4=BA4,ISERROR(INDEX(세부시간표!$A$3:$L$1183,9*BB4-3,12))),"",INDEX(세부시간표!$A$3:$L$1183,9*BB4-3,12))</x:f>
        <x:v>양현수</x:v>
      </x:c>
      <x:c r="BC26" s="66" t="str">
        <x:f>IF(OR(BC4&lt;0,BC4=BB4,ISERROR(INDEX(세부시간표!$A$3:$L$1183,9*BC4-3,12))),"",INDEX(세부시간표!$A$3:$L$1183,9*BC4-3,12))</x:f>
        <x:v>양현수</x:v>
      </x:c>
      <x:c r="BD26" s="66" t="str">
        <x:f>IF(OR(BD4&lt;0,BD4=BC4,ISERROR(INDEX(세부시간표!$A$3:$L$1183,9*BD4-3,12))),"",INDEX(세부시간표!$A$3:$L$1183,9*BD4-3,12))</x:f>
        <x:v>양현수</x:v>
      </x:c>
      <x:c r="BE26" s="66" t="str">
        <x:f>IF(OR(BE4&lt;0,BE4=BD4,ISERROR(INDEX(세부시간표!$A$3:$L$1183,9*BE4-3,12))),"",INDEX(세부시간표!$A$3:$L$1183,9*BE4-3,12))</x:f>
        <x:v>양현수</x:v>
      </x:c>
      <x:c r="BF26" s="66" t="str">
        <x:f>IF(OR(BF4&lt;0,BF4=BE4,ISERROR(INDEX(세부시간표!$A$3:$L$1183,9*BF4-3,12))),"",INDEX(세부시간표!$A$3:$L$1183,9*BF4-3,12))</x:f>
        <x:v>양현수</x:v>
      </x:c>
      <x:c r="BG26" s="66" t="str">
        <x:f>IF(OR(BG4&lt;0,BG4=BF4,ISERROR(INDEX(세부시간표!$A$3:$L$1183,9*BG4-3,12))),"",INDEX(세부시간표!$A$3:$L$1183,9*BG4-3,12))</x:f>
        <x:v>양현수</x:v>
      </x:c>
      <x:c r="BH26" s="66" t="str">
        <x:f>IF(OR(BH4&lt;0,BH4=BG4,ISERROR(INDEX(세부시간표!$A$3:$L$1183,9*BH4-3,12))),"",INDEX(세부시간표!$A$3:$L$1183,9*BH4-3,12))</x:f>
        <x:v>양현수</x:v>
      </x:c>
      <x:c r="BI26" s="66" t="str">
        <x:f>IF(OR(BI4&lt;0,BI4=BH4,ISERROR(INDEX(세부시간표!$A$3:$L$1183,9*BI4-3,12))),"",INDEX(세부시간표!$A$3:$L$1183,9*BI4-3,12))</x:f>
        <x:v>양현수</x:v>
      </x:c>
      <x:c r="BJ26" s="66" t="str">
        <x:f>IF(OR(BJ4&lt;0,BJ4=BI4,ISERROR(INDEX(세부시간표!$A$3:$L$1183,9*BJ4-3,12))),"",INDEX(세부시간표!$A$3:$L$1183,9*BJ4-3,12))</x:f>
        <x:v>양현수</x:v>
      </x:c>
      <x:c r="BK26" s="66" t="str">
        <x:f>IF(OR(BK4&lt;0,BK4=BJ4,ISERROR(INDEX(세부시간표!$A$3:$L$1183,9*BK4-3,12))),"",INDEX(세부시간표!$A$3:$L$1183,9*BK4-3,12))</x:f>
        <x:v>양현수</x:v>
      </x:c>
      <x:c r="BL26" s="66" t="str">
        <x:f>IF(OR(BL4&lt;0,BL4=BK4,ISERROR(INDEX(세부시간표!$A$3:$L$1183,9*BL4-3,12))),"",INDEX(세부시간표!$A$3:$L$1183,9*BL4-3,12))</x:f>
        <x:v>양현수</x:v>
      </x:c>
      <x:c r="BM26" s="66" t="str">
        <x:f>IF(OR(BM4&lt;0,BM4=BL4,ISERROR(INDEX(세부시간표!$A$3:$L$1183,9*BM4-3,12))),"",INDEX(세부시간표!$A$3:$L$1183,9*BM4-3,12))</x:f>
        <x:v>양현수</x:v>
      </x:c>
      <x:c r="BN26" s="66" t="str">
        <x:f>IF(OR(BN4&lt;0,BN4=BM4,ISERROR(INDEX(세부시간표!$A$3:$L$1183,9*BN4-3,12))),"",INDEX(세부시간표!$A$3:$L$1183,9*BN4-3,12))</x:f>
        <x:v>양현수</x:v>
      </x:c>
      <x:c r="BO26" s="66" t="str">
        <x:f>IF(OR(BO4&lt;0,BO4=BN4,ISERROR(INDEX(세부시간표!$A$3:$L$1183,9*BO4-3,12))),"",INDEX(세부시간표!$A$3:$L$1183,9*BO4-3,12))</x:f>
        <x:v>양현수</x:v>
      </x:c>
      <x:c r="BP26" s="66" t="str">
        <x:f>IF(OR(BP4&lt;0,BP4=BO4,ISERROR(INDEX(세부시간표!$A$3:$L$1183,9*BP4-3,12))),"",INDEX(세부시간표!$A$3:$L$1183,9*BP4-3,12))</x:f>
        <x:v>양현수</x:v>
      </x:c>
      <x:c r="BQ26" s="66" t="str">
        <x:f>IF(OR(BQ4&lt;0,BQ4=BP4,ISERROR(INDEX(세부시간표!$A$3:$L$1183,9*BQ4-3,12))),"",INDEX(세부시간표!$A$3:$L$1183,9*BQ4-3,12))</x:f>
        <x:v>양현수</x:v>
      </x:c>
      <x:c r="BR26" s="66" t="str">
        <x:f>IF(OR(BR4&lt;0,BR4=BQ4,ISERROR(INDEX(세부시간표!$A$3:$L$1183,9*BR4-3,12))),"",INDEX(세부시간표!$A$3:$L$1183,9*BR4-3,12))</x:f>
        <x:v/>
      </x:c>
      <x:c r="BS26" s="66" t="str">
        <x:f>IF(OR(BS4&lt;0,BS4=BR4,ISERROR(INDEX(세부시간표!$A$3:$L$1183,9*BS4-3,12))),"",INDEX(세부시간표!$A$3:$L$1183,9*BS4-3,12))</x:f>
        <x:v>양현수</x:v>
      </x:c>
      <x:c r="BT26" s="66" t="str">
        <x:f>IF(OR(BT4&lt;0,BT4=BS4,ISERROR(INDEX(세부시간표!$A$3:$L$1183,9*BT4-3,12))),"",INDEX(세부시간표!$A$3:$L$1183,9*BT4-3,12))</x:f>
        <x:v>양현수</x:v>
      </x:c>
      <x:c r="BU26" s="66" t="str">
        <x:f>IF(OR(BU4&lt;0,BU4=BT4,ISERROR(INDEX(세부시간표!$A$3:$L$1183,9*BU4-3,12))),"",INDEX(세부시간표!$A$3:$L$1183,9*BU4-3,12))</x:f>
        <x:v>양현수</x:v>
      </x:c>
      <x:c r="BV26" s="66" t="str">
        <x:f>IF(OR(BV4&lt;0,BV4=BU4,ISERROR(INDEX(세부시간표!$A$3:$L$1183,9*BV4-3,12))),"",INDEX(세부시간표!$A$3:$L$1183,9*BV4-3,12))</x:f>
        <x:v>양현수</x:v>
      </x:c>
      <x:c r="BW26" s="66" t="str">
        <x:f>IF(OR(BW4&lt;0,BW4=BV4,ISERROR(INDEX(세부시간표!$A$3:$L$1183,9*BW4-3,12))),"",INDEX(세부시간표!$A$3:$L$1183,9*BW4-3,12))</x:f>
        <x:v/>
      </x:c>
      <x:c r="BX26" s="66" t="str">
        <x:f>IF(OR(BX4&lt;0,BX4=BW4,ISERROR(INDEX(세부시간표!$A$3:$L$1183,9*BX4-3,12))),"",INDEX(세부시간표!$A$3:$L$1183,9*BX4-3,12))</x:f>
        <x:v>양현수</x:v>
      </x:c>
      <x:c r="BY26" s="66" t="str">
        <x:f>IF(OR(BY4&lt;0,BY4=BX4,ISERROR(INDEX(세부시간표!$A$3:$L$1183,9*BY4-3,12))),"",INDEX(세부시간표!$A$3:$L$1183,9*BY4-3,12))</x:f>
        <x:v>양현수</x:v>
      </x:c>
      <x:c r="BZ26" s="66" t="str">
        <x:f>IF(OR(BZ4&lt;0,BZ4=BY4,ISERROR(INDEX(세부시간표!$A$3:$L$1183,9*BZ4-3,12))),"",INDEX(세부시간표!$A$3:$L$1183,9*BZ4-3,12))</x:f>
        <x:v>양현수</x:v>
      </x:c>
      <x:c r="CA26" s="66" t="str">
        <x:f>IF(OR(CA4&lt;0,CA4=BZ4,ISERROR(INDEX(세부시간표!$A$3:$L$1183,9*CA4-3,12))),"",INDEX(세부시간표!$A$3:$L$1183,9*CA4-3,12))</x:f>
        <x:v>양현수</x:v>
      </x:c>
      <x:c r="CB26" s="66" t="str">
        <x:f>IF(OR(CB4&lt;0,CB4=CA4,ISERROR(INDEX(세부시간표!$A$3:$L$1183,9*CB4-3,12))),"",INDEX(세부시간표!$A$3:$L$1183,9*CB4-3,12))</x:f>
        <x:v>양현수</x:v>
      </x:c>
      <x:c r="CC26" s="66" t="str">
        <x:f>IF(OR(CC4&lt;0,CC4=CB4,ISERROR(INDEX(세부시간표!$A$3:$L$1183,9*CC4-3,12))),"",INDEX(세부시간표!$A$3:$L$1183,9*CC4-3,12))</x:f>
        <x:v>양현수</x:v>
      </x:c>
      <x:c r="CD26" s="66" t="str">
        <x:f>IF(OR(CD4&lt;0,CD4=CC4,ISERROR(INDEX(세부시간표!$A$3:$L$1183,9*CD4-3,12))),"",INDEX(세부시간표!$A$3:$L$1183,9*CD4-3,12))</x:f>
        <x:v>양현수</x:v>
      </x:c>
      <x:c r="CE26" s="66" t="str">
        <x:f>IF(OR(CE4&lt;0,CE4=CD4,ISERROR(INDEX(세부시간표!$A$3:$L$1183,9*CE4-3,12))),"",INDEX(세부시간표!$A$3:$L$1183,9*CE4-3,12))</x:f>
        <x:v>양현수</x:v>
      </x:c>
      <x:c r="CF26" s="66" t="str">
        <x:f>IF(OR(CF4&lt;0,CF4=CE4,ISERROR(INDEX(세부시간표!$A$3:$L$1183,9*CF4-3,12))),"",INDEX(세부시간표!$A$3:$L$1183,9*CF4-3,12))</x:f>
        <x:v>양현수</x:v>
      </x:c>
      <x:c r="CG26" s="66" t="str">
        <x:f>IF(OR(CG4&lt;0,CG4=CF4,ISERROR(INDEX(세부시간표!$A$3:$L$1183,9*CG4-3,12))),"",INDEX(세부시간표!$A$3:$L$1183,9*CG4-3,12))</x:f>
        <x:v>양현수</x:v>
      </x:c>
      <x:c r="CH26" s="66" t="str">
        <x:f>IF(OR(CH4&lt;0,CH4=CG4,ISERROR(INDEX(세부시간표!$A$3:$L$1183,9*CH4-3,12))),"",INDEX(세부시간표!$A$3:$L$1183,9*CH4-3,12))</x:f>
        <x:v>양현수</x:v>
      </x:c>
      <x:c r="CI26" s="66" t="str">
        <x:f>IF(OR(CI4&lt;0,CI4=CH4,ISERROR(INDEX(세부시간표!$A$3:$L$1183,9*CI4-3,12))),"",INDEX(세부시간표!$A$3:$L$1183,9*CI4-3,12))</x:f>
        <x:v>양현수</x:v>
      </x:c>
      <x:c r="CJ26" s="66" t="str">
        <x:f>IF(OR(CJ4&lt;0,CJ4=CI4,ISERROR(INDEX(세부시간표!$A$3:$L$1183,9*CJ4-3,12))),"",INDEX(세부시간표!$A$3:$L$1183,9*CJ4-3,12))</x:f>
        <x:v>양현수</x:v>
      </x:c>
      <x:c r="CK26" s="66" t="str">
        <x:f>IF(OR(CK4&lt;0,CK4=CJ4,ISERROR(INDEX(세부시간표!$A$3:$L$1183,9*CK4-3,12))),"",INDEX(세부시간표!$A$3:$L$1183,9*CK4-3,12))</x:f>
        <x:v>양현수</x:v>
      </x:c>
      <x:c r="CL26" s="66" t="str">
        <x:f>IF(OR(CL4&lt;0,CL4=CK4,ISERROR(INDEX(세부시간표!$A$3:$L$1183,9*CL4-3,12))),"",INDEX(세부시간표!$A$3:$L$1183,9*CL4-3,12))</x:f>
        <x:v>양현수</x:v>
      </x:c>
      <x:c r="CM26" s="66" t="str">
        <x:f>IF(OR(CM4&lt;0,CM4=CL4,ISERROR(INDEX(세부시간표!$A$3:$L$1183,9*CM4-3,12))),"",INDEX(세부시간표!$A$3:$L$1183,9*CM4-3,12))</x:f>
        <x:v>양현수</x:v>
      </x:c>
      <x:c r="CN26" s="66" t="str">
        <x:f>IF(OR(CN4&lt;0,CN4=CM4,ISERROR(INDEX(세부시간표!$A$3:$L$1183,9*CN4-3,12))),"",INDEX(세부시간표!$A$3:$L$1183,9*CN4-3,12))</x:f>
        <x:v>양현수</x:v>
      </x:c>
      <x:c r="CO26" s="66" t="str">
        <x:f>IF(OR(CO4&lt;0,CO4=CN4,ISERROR(INDEX(세부시간표!$A$3:$L$1183,9*CO4-3,12))),"",INDEX(세부시간표!$A$3:$L$1183,9*CO4-3,12))</x:f>
        <x:v>양현수</x:v>
      </x:c>
      <x:c r="CP26" s="66" t="str">
        <x:f>IF(OR(CP4&lt;0,CP4=CO4,ISERROR(INDEX(세부시간표!$A$3:$L$1183,9*CP4-3,12))),"",INDEX(세부시간표!$A$3:$L$1183,9*CP4-3,12))</x:f>
        <x:v>양현수</x:v>
      </x:c>
      <x:c r="CQ26" s="66" t="str">
        <x:f>IF(OR(CQ4&lt;0,CQ4=CP4,ISERROR(INDEX(세부시간표!$A$3:$L$1183,9*CQ4-3,12))),"",INDEX(세부시간표!$A$3:$L$1183,9*CQ4-3,12))</x:f>
        <x:v>양현수</x:v>
      </x:c>
      <x:c r="CR26" s="66" t="str">
        <x:f>IF(OR(CR4&lt;0,CR4=CQ4,ISERROR(INDEX(세부시간표!$A$3:$L$1183,9*CR4-3,12))),"",INDEX(세부시간표!$A$3:$L$1183,9*CR4-3,12))</x:f>
        <x:v>양현수</x:v>
      </x:c>
      <x:c r="CS26" s="66" t="str">
        <x:f>IF(OR(CS4&lt;0,CS4=CR4,ISERROR(INDEX(세부시간표!$A$3:$L$1183,9*CS4-3,12))),"",INDEX(세부시간표!$A$3:$L$1183,9*CS4-3,12))</x:f>
        <x:v>양현수</x:v>
      </x:c>
      <x:c r="CT26" s="66" t="str">
        <x:f>IF(OR(CT4&lt;0,CT4=CS4,ISERROR(INDEX(세부시간표!$A$3:$L$1183,9*CT4-3,12))),"",INDEX(세부시간표!$A$3:$L$1183,9*CT4-3,12))</x:f>
        <x:v>양현수</x:v>
      </x:c>
      <x:c r="CU26" s="66" t="str">
        <x:f>IF(OR(CU4&lt;0,CU4=CT4,ISERROR(INDEX(세부시간표!$A$3:$L$1183,9*CU4-3,12))),"",INDEX(세부시간표!$A$3:$L$1183,9*CU4-3,12))</x:f>
        <x:v>양현수</x:v>
      </x:c>
      <x:c r="CV26" s="66" t="str">
        <x:f>IF(OR(CV4&lt;0,CV4=CU4,ISERROR(INDEX(세부시간표!$A$3:$L$1183,9*CV4-3,12))),"",INDEX(세부시간표!$A$3:$L$1183,9*CV4-3,12))</x:f>
        <x:v>양현수</x:v>
      </x:c>
      <x:c r="CW26" s="66" t="str">
        <x:f>IF(OR(CW4&lt;0,CW4=CV4,ISERROR(INDEX(세부시간표!$A$3:$L$1183,9*CW4-3,12))),"",INDEX(세부시간표!$A$3:$L$1183,9*CW4-3,12))</x:f>
        <x:v>양현수</x:v>
      </x:c>
      <x:c r="CX26" s="66" t="str">
        <x:f>IF(OR(CX4&lt;0,CX4=CW4,ISERROR(INDEX(세부시간표!$A$3:$L$1183,9*CX4-3,12))),"",INDEX(세부시간표!$A$3:$L$1183,9*CX4-3,12))</x:f>
        <x:v>양현수</x:v>
      </x:c>
      <x:c r="CY26" s="66" t="str">
        <x:f>IF(OR(CY4&lt;0,CY4=CX4,ISERROR(INDEX(세부시간표!$A$3:$L$1183,9*CY4-3,12))),"",INDEX(세부시간표!$A$3:$L$1183,9*CY4-3,12))</x:f>
        <x:v>양현수</x:v>
      </x:c>
      <x:c r="CZ26" s="66" t="str">
        <x:f>IF(OR(CZ4&lt;0,CZ4=CY4,ISERROR(INDEX(세부시간표!$A$3:$L$1183,9*CZ4-3,12))),"",INDEX(세부시간표!$A$3:$L$1183,9*CZ4-3,12))</x:f>
        <x:v>양현수</x:v>
      </x:c>
      <x:c r="DA26" s="66" t="str">
        <x:f>IF(OR(DA4&lt;0,DA4=CZ4,ISERROR(INDEX(세부시간표!$A$3:$L$1183,9*DA4-3,12))),"",INDEX(세부시간표!$A$3:$L$1183,9*DA4-3,12))</x:f>
        <x:v>양현수</x:v>
      </x:c>
      <x:c r="DB26" s="66" t="str">
        <x:f>IF(OR(DB4&lt;0,DB4=DA4,ISERROR(INDEX(세부시간표!$A$3:$L$1183,9*DB4-3,12))),"",INDEX(세부시간표!$A$3:$L$1183,9*DB4-3,12))</x:f>
        <x:v>양현수</x:v>
      </x:c>
      <x:c r="DC26" s="66" t="str">
        <x:f>IF(OR(DC4&lt;0,DC4=DB4,ISERROR(INDEX(세부시간표!$A$3:$L$1183,9*DC4-3,12))),"",INDEX(세부시간표!$A$3:$L$1183,9*DC4-3,12))</x:f>
        <x:v/>
      </x:c>
      <x:c r="DD26" s="66" t="str">
        <x:f>IF(OR(DD4&lt;0,DD4=DC4,ISERROR(INDEX(세부시간표!$A$3:$L$1183,9*DD4-3,12))),"",INDEX(세부시간표!$A$3:$L$1183,9*DD4-3,12))</x:f>
        <x:v/>
      </x:c>
      <x:c r="DE26" s="66" t="str">
        <x:f>IF(OR(DE4&lt;0,DE4=DD4,ISERROR(INDEX(세부시간표!$A$3:$L$1183,9*DE4-3,12))),"",INDEX(세부시간표!$A$3:$L$1183,9*DE4-3,12))</x:f>
        <x:v/>
      </x:c>
      <x:c r="DF26" s="66" t="str">
        <x:f>IF(OR(DF4&lt;0,DF4=DE4,ISERROR(INDEX(세부시간표!$A$3:$L$1183,9*DF4-3,12))),"",INDEX(세부시간표!$A$3:$L$1183,9*DF4-3,12))</x:f>
        <x:v>양현수</x:v>
      </x:c>
      <x:c r="DG26" s="66" t="str">
        <x:f>IF(OR(DG4&lt;0,DG4=DF4,ISERROR(INDEX(세부시간표!$A$3:$L$1183,9*DG4-3,12))),"",INDEX(세부시간표!$A$3:$L$1183,9*DG4-3,12))</x:f>
        <x:v>양현수</x:v>
      </x:c>
      <x:c r="DH26" s="66" t="str">
        <x:f>IF(OR(DH4&lt;0,DH4=DG4,ISERROR(INDEX(세부시간표!$A$3:$L$1183,9*DH4-3,12))),"",INDEX(세부시간표!$A$3:$L$1183,9*DH4-3,12))</x:f>
        <x:v>양현수</x:v>
      </x:c>
      <x:c r="DI26" s="66" t="str">
        <x:f>IF(OR(DI4&lt;0,DI4=DH4,ISERROR(INDEX(세부시간표!$A$3:$L$1183,9*DI4-3,12))),"",INDEX(세부시간표!$A$3:$L$1183,9*DI4-3,12))</x:f>
        <x:v>양현수</x:v>
      </x:c>
      <x:c r="DJ26" s="66" t="str">
        <x:f>IF(OR(DJ4&lt;0,DJ4=DI4,ISERROR(INDEX(세부시간표!$A$3:$L$1183,9*DJ4-3,12))),"",INDEX(세부시간표!$A$3:$L$1183,9*DJ4-3,12))</x:f>
        <x:v>양현수</x:v>
      </x:c>
      <x:c r="DK26" s="66" t="str">
        <x:f>IF(OR(DK4&lt;0,DK4=DJ4,ISERROR(INDEX(세부시간표!$A$3:$L$1183,9*DK4-3,12))),"",INDEX(세부시간표!$A$3:$L$1183,9*DK4-3,12))</x:f>
        <x:v>양현수</x:v>
      </x:c>
      <x:c r="DL26" s="66" t="str">
        <x:f>IF(OR(DL4&lt;0,DL4=DK4,ISERROR(INDEX(세부시간표!$A$3:$L$1183,9*DL4-3,12))),"",INDEX(세부시간표!$A$3:$L$1183,9*DL4-3,12))</x:f>
        <x:v>양현수</x:v>
      </x:c>
      <x:c r="DM26" s="66" t="str">
        <x:f>IF(OR(DM4&lt;0,DM4=DL4,ISERROR(INDEX(세부시간표!$A$3:$L$1183,9*DM4-3,12))),"",INDEX(세부시간표!$A$3:$L$1183,9*DM4-3,12))</x:f>
        <x:v/>
      </x:c>
      <x:c r="DN26" s="66" t="str">
        <x:f>IF(OR(DN4&lt;0,DN4=DM4,ISERROR(INDEX(세부시간표!$A$3:$L$1183,9*DN4-3,12))),"",INDEX(세부시간표!$A$3:$L$1183,9*DN4-3,12))</x:f>
        <x:v>양현수</x:v>
      </x:c>
      <x:c r="DO26" s="66" t="str">
        <x:f>IF(OR(DO4&lt;0,DO4=DN4,ISERROR(INDEX(세부시간표!$A$3:$L$1183,9*DO4-3,12))),"",INDEX(세부시간표!$A$3:$L$1183,9*DO4-3,12))</x:f>
        <x:v>양현수</x:v>
      </x:c>
      <x:c r="DP26" s="66" t="str">
        <x:f>IF(OR(DP4&lt;0,DP4=DO4,ISERROR(INDEX(세부시간표!$A$3:$L$1183,9*DP4-3,12))),"",INDEX(세부시간표!$A$3:$L$1183,9*DP4-3,12))</x:f>
        <x:v>양현수</x:v>
      </x:c>
      <x:c r="DQ26" s="66" t="str">
        <x:f>IF(OR(DQ4&lt;0,DQ4=DP4,ISERROR(INDEX(세부시간표!$A$3:$L$1183,9*DQ4-3,12))),"",INDEX(세부시간표!$A$3:$L$1183,9*DQ4-3,12))</x:f>
        <x:v>양현수</x:v>
      </x:c>
      <x:c r="DR26" s="66" t="str">
        <x:f>IF(OR(DR4&lt;0,DR4=DQ4,ISERROR(INDEX(세부시간표!$A$3:$L$1183,9*DR4-3,12))),"",INDEX(세부시간표!$A$3:$L$1183,9*DR4-3,12))</x:f>
        <x:v>양현수</x:v>
      </x:c>
      <x:c r="DS26" s="66" t="str">
        <x:f>IF(OR(DS4&lt;0,DS4=DR4,ISERROR(INDEX(세부시간표!$A$3:$L$1183,9*DS4-3,12))),"",INDEX(세부시간표!$A$3:$L$1183,9*DS4-3,12))</x:f>
        <x:v>양현수</x:v>
      </x:c>
      <x:c r="DT26" s="66" t="str">
        <x:f>IF(OR(DT4&lt;0,DT4=DS4,ISERROR(INDEX(세부시간표!$A$3:$L$1183,9*DT4-3,12))),"",INDEX(세부시간표!$A$3:$L$1183,9*DT4-3,12))</x:f>
        <x:v>양현수</x:v>
      </x:c>
      <x:c r="DU26" s="66" t="str">
        <x:f>IF(OR(DU4&lt;0,DU4=DT4,ISERROR(INDEX(세부시간표!$A$3:$L$1183,9*DU4-3,12))),"",INDEX(세부시간표!$A$3:$L$1183,9*DU4-3,12))</x:f>
        <x:v>양현수</x:v>
      </x:c>
      <x:c r="DV26" s="66" t="str">
        <x:f>IF(OR(DV4&lt;0,DV4=DU4,ISERROR(INDEX(세부시간표!$A$3:$L$1183,9*DV4-3,12))),"",INDEX(세부시간표!$A$3:$L$1183,9*DV4-3,12))</x:f>
        <x:v>양현수</x:v>
      </x:c>
      <x:c r="DW26" s="66" t="str">
        <x:f>IF(OR(DW4&lt;0,DW4=DV4,ISERROR(INDEX(세부시간표!$A$3:$L$1183,9*DW4-3,12))),"",INDEX(세부시간표!$A$3:$L$1183,9*DW4-3,12))</x:f>
        <x:v>양현수</x:v>
      </x:c>
      <x:c r="DX26" s="66" t="str">
        <x:f>IF(OR(DX4&lt;0,DX4=DW4,ISERROR(INDEX(세부시간표!$A$3:$L$1183,9*DX4-3,12))),"",INDEX(세부시간표!$A$3:$L$1183,9*DX4-3,12))</x:f>
        <x:v>양현수</x:v>
      </x:c>
      <x:c r="DY26" s="66" t="str">
        <x:f>IF(OR(DY4&lt;0,DY4=DX4,ISERROR(INDEX(세부시간표!$A$3:$L$1183,9*DY4-3,12))),"",INDEX(세부시간표!$A$3:$L$1183,9*DY4-3,12))</x:f>
        <x:v>양현수</x:v>
      </x:c>
      <x:c r="DZ26" s="66" t="str">
        <x:f>IF(OR(DZ4&lt;0,DZ4=DY4,ISERROR(INDEX(세부시간표!$A$3:$L$1183,9*DZ4-3,12))),"",INDEX(세부시간표!$A$3:$L$1183,9*DZ4-3,12))</x:f>
        <x:v>양현수</x:v>
      </x:c>
      <x:c r="EA26" s="66" t="str">
        <x:f>IF(OR(EA4&lt;0,EA4=DZ4,ISERROR(INDEX(세부시간표!$A$3:$L$1183,9*EA4-3,12))),"",INDEX(세부시간표!$A$3:$L$1183,9*EA4-3,12))</x:f>
        <x:v>양현수</x:v>
      </x:c>
      <x:c r="EB26" s="66" t="str">
        <x:f>IF(OR(EB4&lt;0,EB4=EA4,ISERROR(INDEX(세부시간표!$A$3:$L$1183,9*EB4-3,12))),"",INDEX(세부시간표!$A$3:$L$1183,9*EB4-3,12))</x:f>
        <x:v>양현수</x:v>
      </x:c>
      <x:c r="EC26" s="66" t="str">
        <x:f>IF(OR(EC4&lt;0,EC4=EB4,ISERROR(INDEX(세부시간표!$A$3:$L$1183,9*EC4-3,12))),"",INDEX(세부시간표!$A$3:$L$1183,9*EC4-3,12))</x:f>
        <x:v>양현수</x:v>
      </x:c>
      <x:c r="ED26" s="66" t="str">
        <x:f>IF(OR(ED4&lt;0,ED4=EC4,ISERROR(INDEX(세부시간표!$A$3:$L$1183,9*ED4-3,12))),"",INDEX(세부시간표!$A$3:$L$1183,9*ED4-3,12))</x:f>
        <x:v>양현수</x:v>
      </x:c>
      <x:c r="EE26" s="66" t="str">
        <x:f>IF(OR(EE4&lt;0,EE4=ED4,ISERROR(INDEX(세부시간표!$A$3:$L$1183,9*EE4-3,12))),"",INDEX(세부시간표!$A$3:$L$1183,9*EE4-3,12))</x:f>
        <x:v/>
      </x:c>
      <x:c r="EF26" s="66" t="str">
        <x:f>IF(OR(EF4&lt;0,EF4=EE4,ISERROR(INDEX(세부시간표!$A$3:$L$1183,9*EF4-3,12))),"",INDEX(세부시간표!$A$3:$L$1183,9*EF4-3,12))</x:f>
        <x:v/>
      </x:c>
      <x:c r="EG26" s="66" t="str">
        <x:f>IF(OR(EG4&lt;0,EG4=EF4,ISERROR(INDEX(세부시간표!$A$3:$L$1183,9*EG4-3,12))),"",INDEX(세부시간표!$A$3:$L$1183,9*EG4-3,12))</x:f>
        <x:v/>
      </x:c>
      <x:c r="EH26" s="66" t="str">
        <x:f>IF(OR(EH4&lt;0,EH4=EG4,ISERROR(INDEX(세부시간표!$A$3:$L$1183,9*EH4-3,12))),"",INDEX(세부시간표!$A$3:$L$1183,9*EH4-3,12))</x:f>
        <x:v/>
      </x:c>
      <x:c r="EI26" s="66" t="str">
        <x:f>IF(OR(EI4&lt;0,EI4=EH4,ISERROR(INDEX(세부시간표!$A$3:$L$1183,9*EI4-3,12))),"",INDEX(세부시간표!$A$3:$L$1183,9*EI4-3,12))</x:f>
        <x:v/>
      </x:c>
      <x:c r="EJ26" s="66" t="str">
        <x:f>IF(OR(EJ4&lt;0,EJ4=EI4,ISERROR(INDEX(세부시간표!$A$3:$L$1183,9*EJ4-3,12))),"",INDEX(세부시간표!$A$3:$L$1183,9*EJ4-3,12))</x:f>
        <x:v/>
      </x:c>
      <x:c r="EK26" s="66" t="str">
        <x:f>IF(OR(EK4&lt;0,EK4=EJ4,ISERROR(INDEX(세부시간표!$A$3:$L$1183,9*EK4-3,12))),"",INDEX(세부시간표!$A$3:$L$1183,9*EK4-3,12))</x:f>
        <x:v/>
      </x:c>
      <x:c r="EL26" s="57" t="str">
        <x:f>IF(OR(EL4&lt;0,EL4=EK4,ISERROR(INDEX(세부시간표!$A$3:$L$1183,9*EL4-3,12))),"",INDEX(세부시간표!$A$3:$L$1183,9*EL4-3,12))</x:f>
        <x:v/>
      </x:c>
      <x:c r="EM26" s="55" t="str">
        <x:f>IF(OR(EM4&lt;0,EM4=EL4,ISERROR(INDEX(세부시간표!$A$3:$L$1183,9*EM4-3,12))),"",INDEX(세부시간표!$A$3:$L$1183,9*EM4-3,12))</x:f>
        <x:v/>
      </x:c>
      <x:c r="EN26" s="55" t="str">
        <x:f>IF(OR(EN4&lt;0,EN4=EM4,ISERROR(INDEX(세부시간표!$A$3:$L$1183,9*EN4-3,12))),"",INDEX(세부시간표!$A$3:$L$1183,9*EN4-3,12))</x:f>
        <x:v/>
      </x:c>
      <x:c r="EO26" s="55" t="str">
        <x:f>IF(OR(EO4&lt;0,EO4=EN4,ISERROR(INDEX(세부시간표!$A$3:$L$1183,9*EO4-3,12))),"",INDEX(세부시간표!$A$3:$L$1183,9*EO4-3,12))</x:f>
        <x:v/>
      </x:c>
      <x:c r="EP26" s="56" t="str">
        <x:f>IF(OR(EP4&lt;0,EP4=EO4,ISERROR(INDEX(세부시간표!$A$3:$L$1183,9*EP4-3,12))),"",INDEX(세부시간표!$A$3:$L$1183,9*EP4-3,12))</x:f>
        <x:v/>
      </x:c>
    </x:row>
    <x:row r="27" spans="1:146" s="54" customFormat="1" ht="15" customHeight="1">
      <x:c r="A27" s="277" t="s">
        <x:v>50</x:v>
      </x:c>
      <x:c r="B27" s="78" t="str">
        <x:f>IF(OR(B4&lt;0,B4=A4,ISERROR(INDEX(세부시간표!$A$3:$L$1183,9*B4-2,10))),"",INDEX(세부시간표!$A$3:$L$1183,9*B4-2,10))</x:f>
        <x:v>웹 애플리케이션 개발</x:v>
      </x:c>
      <x:c r="C27" s="78" t="str">
        <x:f>IF(OR(C4&lt;0,C4=B4,ISERROR(INDEX(세부시간표!$A$3:$L$1183,9*C4-2,10))),"",INDEX(세부시간표!$A$3:$L$1183,9*C4-2,10))</x:f>
        <x:v>웹 애플리케이션 개발</x:v>
      </x:c>
      <x:c r="D27" s="78" t="str">
        <x:f>IF(OR(D4&lt;0,D4=C4,ISERROR(INDEX(세부시간표!$A$3:$L$1183,9*D4-2,10))),"",INDEX(세부시간표!$A$3:$L$1183,9*D4-2,10))</x:f>
        <x:v>웹 애플리케이션 개발</x:v>
      </x:c>
      <x:c r="E27" s="78" t="str">
        <x:f>IF(OR(E4&lt;0,E4=D4,ISERROR(INDEX(세부시간표!$A$3:$L$1183,9*E4-2,10))),"",INDEX(세부시간표!$A$3:$L$1183,9*E4-2,10))</x:f>
        <x:v>웹 애플리케이션 개발</x:v>
      </x:c>
      <x:c r="F27" s="78" t="str">
        <x:f>IF(OR(F4&lt;0,F4=E4,ISERROR(INDEX(세부시간표!$A$3:$L$1183,9*F4-2,10))),"",INDEX(세부시간표!$A$3:$L$1183,9*F4-2,10))</x:f>
        <x:v>웹 애플리케이션 개발</x:v>
      </x:c>
      <x:c r="G27" s="78" t="str">
        <x:f>IF(OR(G4&lt;0,G4=F4,ISERROR(INDEX(세부시간표!$A$3:$L$1183,9*G4-2,10))),"",INDEX(세부시간표!$A$3:$L$1183,9*G4-2,10))</x:f>
        <x:v>웹 애플리케이션 개발</x:v>
      </x:c>
      <x:c r="H27" s="78" t="str">
        <x:f>IF(OR(H4&lt;0,H4=G4,ISERROR(INDEX(세부시간표!$A$3:$L$1183,9*H4-2,10))),"",INDEX(세부시간표!$A$3:$L$1183,9*H4-2,10))</x:f>
        <x:v>웹 애플리케이션 개발</x:v>
      </x:c>
      <x:c r="I27" s="78" t="str">
        <x:f>IF(OR(I4&lt;0,I4=H4,ISERROR(INDEX(세부시간표!$A$3:$L$1183,9*I4-2,10))),"",INDEX(세부시간표!$A$3:$L$1183,9*I4-2,10))</x:f>
        <x:v>웹 애플리케이션 개발</x:v>
      </x:c>
      <x:c r="J27" s="78" t="str">
        <x:f>IF(OR(J4&lt;0,J4=I4,ISERROR(INDEX(세부시간표!$A$3:$L$1183,9*J4-2,10))),"",INDEX(세부시간표!$A$3:$L$1183,9*J4-2,10))</x:f>
        <x:v>웹 애플리케이션 개발</x:v>
      </x:c>
      <x:c r="K27" s="78" t="str">
        <x:f>IF(OR(K4&lt;0,K4=J4,ISERROR(INDEX(세부시간표!$A$3:$L$1183,9*K4-2,10))),"",INDEX(세부시간표!$A$3:$L$1183,9*K4-2,10))</x:f>
        <x:v/>
      </x:c>
      <x:c r="L27" s="78" t="str">
        <x:f>IF(OR(L4&lt;0,L4=K4,ISERROR(INDEX(세부시간표!$A$3:$L$1183,9*L4-2,10))),"",INDEX(세부시간표!$A$3:$L$1183,9*L4-2,10))</x:f>
        <x:v/>
      </x:c>
      <x:c r="M27" s="78" t="str">
        <x:f>IF(OR(M4&lt;0,M4=L4,ISERROR(INDEX(세부시간표!$A$3:$L$1183,9*M4-2,10))),"",INDEX(세부시간표!$A$3:$L$1183,9*M4-2,10))</x:f>
        <x:v/>
      </x:c>
      <x:c r="N27" s="78" t="str">
        <x:f>IF(OR(N4&lt;0,N4=M4,ISERROR(INDEX(세부시간표!$A$3:$L$1183,9*N4-2,10))),"",INDEX(세부시간표!$A$3:$L$1183,9*N4-2,10))</x:f>
        <x:v/>
      </x:c>
      <x:c r="O27" s="78" t="str">
        <x:f>IF(OR(O4&lt;0,O4=N4,ISERROR(INDEX(세부시간표!$A$3:$L$1183,9*O4-2,10))),"",INDEX(세부시간표!$A$3:$L$1183,9*O4-2,10))</x:f>
        <x:v/>
      </x:c>
      <x:c r="P27" s="78" t="str">
        <x:f>IF(OR(P4&lt;0,P4=O4,ISERROR(INDEX(세부시간표!$A$3:$L$1183,9*P4-2,10))),"",INDEX(세부시간표!$A$3:$L$1183,9*P4-2,10))</x:f>
        <x:v>웹 애플리케이션 개발</x:v>
      </x:c>
      <x:c r="Q27" s="78" t="str">
        <x:f>IF(OR(Q4&lt;0,Q4=P4,ISERROR(INDEX(세부시간표!$A$3:$L$1183,9*Q4-2,10))),"",INDEX(세부시간표!$A$3:$L$1183,9*Q4-2,10))</x:f>
        <x:v>웹&amp;콘텐츠 서비스 개발</x:v>
      </x:c>
      <x:c r="R27" s="78" t="str">
        <x:f>IF(OR(R4&lt;0,R4=Q4,ISERROR(INDEX(세부시간표!$A$3:$L$1183,9*R4-2,10))),"",INDEX(세부시간표!$A$3:$L$1183,9*R4-2,10))</x:f>
        <x:v>웹&amp;콘텐츠 서비스 개발</x:v>
      </x:c>
      <x:c r="S27" s="78" t="str">
        <x:f>IF(OR(S4&lt;0,S4=R4,ISERROR(INDEX(세부시간표!$A$3:$L$1183,9*S4-2,10))),"",INDEX(세부시간표!$A$3:$L$1183,9*S4-2,10))</x:f>
        <x:v>웹&amp;콘텐츠 서비스 개발</x:v>
      </x:c>
      <x:c r="T27" s="78" t="str">
        <x:f>IF(OR(T4&lt;0,T4=S4,ISERROR(INDEX(세부시간표!$A$3:$L$1183,9*T4-2,10))),"",INDEX(세부시간표!$A$3:$L$1183,9*T4-2,10))</x:f>
        <x:v>웹&amp;콘텐츠 서비스 개발</x:v>
      </x:c>
      <x:c r="U27" s="78" t="str">
        <x:f>IF(OR(U4&lt;0,U4=T4,ISERROR(INDEX(세부시간표!$A$3:$L$1183,9*U4-2,10))),"",INDEX(세부시간표!$A$3:$L$1183,9*U4-2,10))</x:f>
        <x:v>웹&amp;콘텐츠 서비스 개발</x:v>
      </x:c>
      <x:c r="V27" s="78" t="str">
        <x:f>IF(OR(V4&lt;0,V4=U4,ISERROR(INDEX(세부시간표!$A$3:$L$1183,9*V4-2,10))),"",INDEX(세부시간표!$A$3:$L$1183,9*V4-2,10))</x:f>
        <x:v>SQL 및 데이터 모델링</x:v>
      </x:c>
      <x:c r="W27" s="78" t="str">
        <x:f>IF(OR(W4&lt;0,W4=V4,ISERROR(INDEX(세부시간표!$A$3:$L$1183,9*W4-2,10))),"",INDEX(세부시간표!$A$3:$L$1183,9*W4-2,10))</x:f>
        <x:v>SQL 및 데이터 모델링</x:v>
      </x:c>
      <x:c r="X27" s="78" t="str">
        <x:f>IF(OR(X4&lt;0,X4=W4,ISERROR(INDEX(세부시간표!$A$3:$L$1183,9*X4-2,10))),"",INDEX(세부시간표!$A$3:$L$1183,9*X4-2,10))</x:f>
        <x:v>SQL 및 데이터 모델링</x:v>
      </x:c>
      <x:c r="Y27" s="78" t="str">
        <x:f>IF(OR(Y4&lt;0,Y4=X4,ISERROR(INDEX(세부시간표!$A$3:$L$1183,9*Y4-2,10))),"",INDEX(세부시간표!$A$3:$L$1183,9*Y4-2,10))</x:f>
        <x:v>SQL 및 데이터 모델링</x:v>
      </x:c>
      <x:c r="Z27" s="78" t="str">
        <x:f>IF(OR(Z4&lt;0,Z4=Y4,ISERROR(INDEX(세부시간표!$A$3:$L$1183,9*Z4-2,10))),"",INDEX(세부시간표!$A$3:$L$1183,9*Z4-2,10))</x:f>
        <x:v>SQL 및 데이터 모델링</x:v>
      </x:c>
      <x:c r="AA27" s="78" t="str">
        <x:f>IF(OR(AA4&lt;0,AA4=Z4,ISERROR(INDEX(세부시간표!$A$3:$L$1183,9*AA4-2,10))),"",INDEX(세부시간표!$A$3:$L$1183,9*AA4-2,10))</x:f>
        <x:v>SQL 및 데이터 모델링</x:v>
      </x:c>
      <x:c r="AB27" s="78" t="str">
        <x:f>IF(OR(AB4&lt;0,AB4=AA4,ISERROR(INDEX(세부시간표!$A$3:$L$1183,9*AB4-2,10))),"",INDEX(세부시간표!$A$3:$L$1183,9*AB4-2,10))</x:f>
        <x:v>SQL 및 데이터 모델링</x:v>
      </x:c>
      <x:c r="AC27" s="78" t="str">
        <x:f>IF(OR(AC4&lt;0,AC4=AB4,ISERROR(INDEX(세부시간표!$A$3:$L$1183,9*AC4-2,10))),"",INDEX(세부시간표!$A$3:$L$1183,9*AC4-2,10))</x:f>
        <x:v>SQL 및 데이터 모델링</x:v>
      </x:c>
      <x:c r="AD27" s="78" t="str">
        <x:f>IF(OR(AD4&lt;0,AD4=AC4,ISERROR(INDEX(세부시간표!$A$3:$L$1183,9*AD4-2,10))),"",INDEX(세부시간표!$A$3:$L$1183,9*AD4-2,10))</x:f>
        <x:v>SQL 및 데이터 모델링</x:v>
      </x:c>
      <x:c r="AE27" s="78" t="str">
        <x:f>IF(OR(AE4&lt;0,AE4=AD4,ISERROR(INDEX(세부시간표!$A$3:$L$1183,9*AE4-2,10))),"",INDEX(세부시간표!$A$3:$L$1183,9*AE4-2,10))</x:f>
        <x:v>AI개발 기초</x:v>
      </x:c>
      <x:c r="AF27" s="78" t="str">
        <x:f>IF(OR(AF4&lt;0,AF4=AE4,ISERROR(INDEX(세부시간표!$A$3:$L$1183,9*AF4-2,10))),"",INDEX(세부시간표!$A$3:$L$1183,9*AF4-2,10))</x:f>
        <x:v>AI개발 기초</x:v>
      </x:c>
      <x:c r="AG27" s="78" t="str">
        <x:f>IF(OR(AG4&lt;0,AG4=AF4,ISERROR(INDEX(세부시간표!$A$3:$L$1183,9*AG4-2,10))),"",INDEX(세부시간표!$A$3:$L$1183,9*AG4-2,10))</x:f>
        <x:v>AI개발 기초</x:v>
      </x:c>
      <x:c r="AH27" s="78" t="str">
        <x:f>IF(OR(AH4&lt;0,AH4=AG4,ISERROR(INDEX(세부시간표!$A$3:$L$1183,9*AH4-2,10))),"",INDEX(세부시간표!$A$3:$L$1183,9*AH4-2,10))</x:f>
        <x:v>AI개발 기초</x:v>
      </x:c>
      <x:c r="AI27" s="78" t="str">
        <x:f>IF(OR(AI4&lt;0,AI4=AH4,ISERROR(INDEX(세부시간표!$A$3:$L$1183,9*AI4-2,10))),"",INDEX(세부시간표!$A$3:$L$1183,9*AI4-2,10))</x:f>
        <x:v>AI개발 기초</x:v>
      </x:c>
      <x:c r="AJ27" s="78" t="str">
        <x:f>IF(OR(AJ4&lt;0,AJ4=AI4,ISERROR(INDEX(세부시간표!$A$3:$L$1183,9*AJ4-2,10))),"",INDEX(세부시간표!$A$3:$L$1183,9*AJ4-2,10))</x:f>
        <x:v>AI개발 기초</x:v>
      </x:c>
      <x:c r="AK27" s="78" t="str">
        <x:f>IF(OR(AK4&lt;0,AK4=AJ4,ISERROR(INDEX(세부시간표!$A$3:$L$1183,9*AK4-2,10))),"",INDEX(세부시간표!$A$3:$L$1183,9*AK4-2,10))</x:f>
        <x:v>AI개발 기초</x:v>
      </x:c>
      <x:c r="AL27" s="78" t="str">
        <x:f>IF(OR(AL4&lt;0,AL4=AK4,ISERROR(INDEX(세부시간표!$A$3:$L$1183,9*AL4-2,10))),"",INDEX(세부시간표!$A$3:$L$1183,9*AL4-2,10))</x:f>
        <x:v>AI개발 기초</x:v>
      </x:c>
      <x:c r="AM27" s="78" t="str">
        <x:f>IF(OR(AM4&lt;0,AM4=AL4,ISERROR(INDEX(세부시간표!$A$3:$L$1183,9*AM4-2,10))),"",INDEX(세부시간표!$A$3:$L$1183,9*AM4-2,10))</x:f>
        <x:v>AI개발 기초</x:v>
      </x:c>
      <x:c r="AN27" s="78" t="str">
        <x:f>IF(OR(AN4&lt;0,AN4=AM4,ISERROR(INDEX(세부시간표!$A$3:$L$1183,9*AN4-2,10))),"",INDEX(세부시간표!$A$3:$L$1183,9*AN4-2,10))</x:f>
        <x:v>AI개발 기초</x:v>
      </x:c>
      <x:c r="AO27" s="78" t="str">
        <x:f>IF(OR(AO4&lt;0,AO4=AN4,ISERROR(INDEX(세부시간표!$A$3:$L$1183,9*AO4-2,10))),"",INDEX(세부시간표!$A$3:$L$1183,9*AO4-2,10))</x:f>
        <x:v>AI개발 기초</x:v>
      </x:c>
      <x:c r="AP27" s="78" t="str">
        <x:f>IF(OR(AP4&lt;0,AP4=AO4,ISERROR(INDEX(세부시간표!$A$3:$L$1183,9*AP4-2,10))),"",INDEX(세부시간표!$A$3:$L$1183,9*AP4-2,10))</x:f>
        <x:v>AI개발 기초</x:v>
      </x:c>
      <x:c r="AQ27" s="78" t="str">
        <x:f>IF(OR(AQ4&lt;0,AQ4=AP4,ISERROR(INDEX(세부시간표!$A$3:$L$1183,9*AQ4-2,10))),"",INDEX(세부시간표!$A$3:$L$1183,9*AQ4-2,10))</x:f>
        <x:v>인공지능 프로그래밍</x:v>
      </x:c>
      <x:c r="AR27" s="78" t="str">
        <x:f>IF(OR(AR4&lt;0,AR4=AQ4,ISERROR(INDEX(세부시간표!$A$3:$L$1183,9*AR4-2,10))),"",INDEX(세부시간표!$A$3:$L$1183,9*AR4-2,10))</x:f>
        <x:v>인공지능 프로그래밍</x:v>
      </x:c>
      <x:c r="AS27" s="78" t="str">
        <x:f>IF(OR(AS4&lt;0,AS4=AR4,ISERROR(INDEX(세부시간표!$A$3:$L$1183,9*AS4-2,10))),"",INDEX(세부시간표!$A$3:$L$1183,9*AS4-2,10))</x:f>
        <x:v>인공지능 프로그래밍</x:v>
      </x:c>
      <x:c r="AT27" s="78" t="str">
        <x:f>IF(OR(AT4&lt;0,AT4=AS4,ISERROR(INDEX(세부시간표!$A$3:$L$1183,9*AT4-2,10))),"",INDEX(세부시간표!$A$3:$L$1183,9*AT4-2,10))</x:f>
        <x:v>인공지능 프로그래밍</x:v>
      </x:c>
      <x:c r="AU27" s="78" t="str">
        <x:f>IF(OR(AU4&lt;0,AU4=AT4,ISERROR(INDEX(세부시간표!$A$3:$L$1183,9*AU4-2,10))),"",INDEX(세부시간표!$A$3:$L$1183,9*AU4-2,10))</x:f>
        <x:v>인공지능 프로그래밍</x:v>
      </x:c>
      <x:c r="AV27" s="78" t="str">
        <x:f>IF(OR(AV4&lt;0,AV4=AU4,ISERROR(INDEX(세부시간표!$A$3:$L$1183,9*AV4-2,10))),"",INDEX(세부시간표!$A$3:$L$1183,9*AV4-2,10))</x:f>
        <x:v>인공지능 프로그래밍</x:v>
      </x:c>
      <x:c r="AW27" s="78" t="str">
        <x:f>IF(OR(AW4&lt;0,AW4=AV4,ISERROR(INDEX(세부시간표!$A$3:$L$1183,9*AW4-2,10))),"",INDEX(세부시간표!$A$3:$L$1183,9*AW4-2,10))</x:f>
        <x:v>인공지능 프로그래밍</x:v>
      </x:c>
      <x:c r="AX27" s="78" t="str">
        <x:f>IF(OR(AX4&lt;0,AX4=AW4,ISERROR(INDEX(세부시간표!$A$3:$L$1183,9*AX4-2,10))),"",INDEX(세부시간표!$A$3:$L$1183,9*AX4-2,10))</x:f>
        <x:v>인공지능 프로그래밍</x:v>
      </x:c>
      <x:c r="AY27" s="78" t="str">
        <x:f>IF(OR(AY4&lt;0,AY4=AX4,ISERROR(INDEX(세부시간표!$A$3:$L$1183,9*AY4-2,10))),"",INDEX(세부시간표!$A$3:$L$1183,9*AY4-2,10))</x:f>
        <x:v>인공지능 프로그래밍</x:v>
      </x:c>
      <x:c r="AZ27" s="78" t="str">
        <x:f>IF(OR(AZ4&lt;0,AZ4=AY4,ISERROR(INDEX(세부시간표!$A$3:$L$1183,9*AZ4-2,10))),"",INDEX(세부시간표!$A$3:$L$1183,9*AZ4-2,10))</x:f>
        <x:v>인공지능 프로그래밍</x:v>
      </x:c>
      <x:c r="BA27" s="78" t="str">
        <x:f>IF(OR(BA4&lt;0,BA4=AZ4,ISERROR(INDEX(세부시간표!$A$3:$L$1183,9*BA4-2,10))),"",INDEX(세부시간표!$A$3:$L$1183,9*BA4-2,10))</x:f>
        <x:v>인공지능 프로그래밍</x:v>
      </x:c>
      <x:c r="BB27" s="78" t="str">
        <x:f>IF(OR(BB4&lt;0,BB4=BA4,ISERROR(INDEX(세부시간표!$A$3:$L$1183,9*BB4-2,10))),"",INDEX(세부시간표!$A$3:$L$1183,9*BB4-2,10))</x:f>
        <x:v>인공지능 프로그래밍</x:v>
      </x:c>
      <x:c r="BC27" s="78" t="str">
        <x:f>IF(OR(BC4&lt;0,BC4=BB4,ISERROR(INDEX(세부시간표!$A$3:$L$1183,9*BC4-2,10))),"",INDEX(세부시간표!$A$3:$L$1183,9*BC4-2,10))</x:f>
        <x:v>인공지능 프로그래밍</x:v>
      </x:c>
      <x:c r="BD27" s="78" t="str">
        <x:f>IF(OR(BD4&lt;0,BD4=BC4,ISERROR(INDEX(세부시간표!$A$3:$L$1183,9*BD4-2,10))),"",INDEX(세부시간표!$A$3:$L$1183,9*BD4-2,10))</x:f>
        <x:v>인공지능 프로그래밍</x:v>
      </x:c>
      <x:c r="BE27" s="78" t="str">
        <x:f>IF(OR(BE4&lt;0,BE4=BD4,ISERROR(INDEX(세부시간표!$A$3:$L$1183,9*BE4-2,10))),"",INDEX(세부시간표!$A$3:$L$1183,9*BE4-2,10))</x:f>
        <x:v>인공지능 프로그래밍</x:v>
      </x:c>
      <x:c r="BF27" s="78" t="str">
        <x:f>IF(OR(BF4&lt;0,BF4=BE4,ISERROR(INDEX(세부시간표!$A$3:$L$1183,9*BF4-2,10))),"",INDEX(세부시간표!$A$3:$L$1183,9*BF4-2,10))</x:f>
        <x:v>인공지능 프로그래밍</x:v>
      </x:c>
      <x:c r="BG27" s="78" t="str">
        <x:f>IF(OR(BG4&lt;0,BG4=BF4,ISERROR(INDEX(세부시간표!$A$3:$L$1183,9*BG4-2,10))),"",INDEX(세부시간표!$A$3:$L$1183,9*BG4-2,10))</x:f>
        <x:v>Advanced 프로젝트</x:v>
      </x:c>
      <x:c r="BH27" s="78" t="str">
        <x:f>IF(OR(BH4&lt;0,BH4=BG4,ISERROR(INDEX(세부시간표!$A$3:$L$1183,9*BH4-2,10))),"",INDEX(세부시간표!$A$3:$L$1183,9*BH4-2,10))</x:f>
        <x:v>Advanced 프로젝트</x:v>
      </x:c>
      <x:c r="BI27" s="78" t="str">
        <x:f>IF(OR(BI4&lt;0,BI4=BH4,ISERROR(INDEX(세부시간표!$A$3:$L$1183,9*BI4-2,10))),"",INDEX(세부시간표!$A$3:$L$1183,9*BI4-2,10))</x:f>
        <x:v>Advanced 프로젝트</x:v>
      </x:c>
      <x:c r="BJ27" s="78" t="str">
        <x:f>IF(OR(BJ4&lt;0,BJ4=BI4,ISERROR(INDEX(세부시간표!$A$3:$L$1183,9*BJ4-2,10))),"",INDEX(세부시간표!$A$3:$L$1183,9*BJ4-2,10))</x:f>
        <x:v>Advanced 프로젝트</x:v>
      </x:c>
      <x:c r="BK27" s="78" t="str">
        <x:f>IF(OR(BK4&lt;0,BK4=BJ4,ISERROR(INDEX(세부시간표!$A$3:$L$1183,9*BK4-2,10))),"",INDEX(세부시간표!$A$3:$L$1183,9*BK4-2,10))</x:f>
        <x:v>Advanced 프로젝트</x:v>
      </x:c>
      <x:c r="BL27" s="78" t="str">
        <x:f>IF(OR(BL4&lt;0,BL4=BK4,ISERROR(INDEX(세부시간표!$A$3:$L$1183,9*BL4-2,10))),"",INDEX(세부시간표!$A$3:$L$1183,9*BL4-2,10))</x:f>
        <x:v>Advanced 프로젝트</x:v>
      </x:c>
      <x:c r="BM27" s="78" t="str">
        <x:f>IF(OR(BM4&lt;0,BM4=BL4,ISERROR(INDEX(세부시간표!$A$3:$L$1183,9*BM4-2,10))),"",INDEX(세부시간표!$A$3:$L$1183,9*BM4-2,10))</x:f>
        <x:v>Advanced 프로젝트</x:v>
      </x:c>
      <x:c r="BN27" s="78" t="str">
        <x:f>IF(OR(BN4&lt;0,BN4=BM4,ISERROR(INDEX(세부시간표!$A$3:$L$1183,9*BN4-2,10))),"",INDEX(세부시간표!$A$3:$L$1183,9*BN4-2,10))</x:f>
        <x:v>Advanced 프로젝트</x:v>
      </x:c>
      <x:c r="BO27" s="78" t="str">
        <x:f>IF(OR(BO4&lt;0,BO4=BN4,ISERROR(INDEX(세부시간표!$A$3:$L$1183,9*BO4-2,10))),"",INDEX(세부시간표!$A$3:$L$1183,9*BO4-2,10))</x:f>
        <x:v>Advanced 프로젝트</x:v>
      </x:c>
      <x:c r="BP27" s="78" t="str">
        <x:f>IF(OR(BP4&lt;0,BP4=BO4,ISERROR(INDEX(세부시간표!$A$3:$L$1183,9*BP4-2,10))),"",INDEX(세부시간표!$A$3:$L$1183,9*BP4-2,10))</x:f>
        <x:v>Advanced 프로젝트</x:v>
      </x:c>
      <x:c r="BQ27" s="78" t="str">
        <x:f>IF(OR(BQ4&lt;0,BQ4=BP4,ISERROR(INDEX(세부시간표!$A$3:$L$1183,9*BQ4-2,10))),"",INDEX(세부시간표!$A$3:$L$1183,9*BQ4-2,10))</x:f>
        <x:v>Advanced 프로젝트</x:v>
      </x:c>
      <x:c r="BR27" s="78" t="str">
        <x:f>IF(OR(BR4&lt;0,BR4=BQ4,ISERROR(INDEX(세부시간표!$A$3:$L$1183,9*BR4-2,10))),"",INDEX(세부시간표!$A$3:$L$1183,9*BR4-2,10))</x:f>
        <x:v/>
      </x:c>
      <x:c r="BS27" s="78" t="str">
        <x:f>IF(OR(BS4&lt;0,BS4=BR4,ISERROR(INDEX(세부시간표!$A$3:$L$1183,9*BS4-2,10))),"",INDEX(세부시간표!$A$3:$L$1183,9*BS4-2,10))</x:f>
        <x:v>Advanced 프로젝트</x:v>
      </x:c>
      <x:c r="BT27" s="78" t="str">
        <x:f>IF(OR(BT4&lt;0,BT4=BS4,ISERROR(INDEX(세부시간표!$A$3:$L$1183,9*BT4-2,10))),"",INDEX(세부시간표!$A$3:$L$1183,9*BT4-2,10))</x:f>
        <x:v>Advanced 프로젝트</x:v>
      </x:c>
      <x:c r="BU27" s="78" t="str">
        <x:f>IF(OR(BU4&lt;0,BU4=BT4,ISERROR(INDEX(세부시간표!$A$3:$L$1183,9*BU4-2,10))),"",INDEX(세부시간표!$A$3:$L$1183,9*BU4-2,10))</x:f>
        <x:v>빅데이터 분석 및 시각화</x:v>
      </x:c>
      <x:c r="BV27" s="78" t="str">
        <x:f>IF(OR(BV4&lt;0,BV4=BU4,ISERROR(INDEX(세부시간표!$A$3:$L$1183,9*BV4-2,10))),"",INDEX(세부시간표!$A$3:$L$1183,9*BV4-2,10))</x:f>
        <x:v>빅데이터 분석 및 시각화</x:v>
      </x:c>
      <x:c r="BW27" s="78" t="str">
        <x:f>IF(OR(BW4&lt;0,BW4=BV4,ISERROR(INDEX(세부시간표!$A$3:$L$1183,9*BW4-2,10))),"",INDEX(세부시간표!$A$3:$L$1183,9*BW4-2,10))</x:f>
        <x:v/>
      </x:c>
      <x:c r="BX27" s="78" t="str">
        <x:f>IF(OR(BX4&lt;0,BX4=BW4,ISERROR(INDEX(세부시간표!$A$3:$L$1183,9*BX4-2,10))),"",INDEX(세부시간표!$A$3:$L$1183,9*BX4-2,10))</x:f>
        <x:v>빅데이터 분석 및 시각화</x:v>
      </x:c>
      <x:c r="BY27" s="78" t="str">
        <x:f>IF(OR(BY4&lt;0,BY4=BX4,ISERROR(INDEX(세부시간표!$A$3:$L$1183,9*BY4-2,10))),"",INDEX(세부시간표!$A$3:$L$1183,9*BY4-2,10))</x:f>
        <x:v>빅데이터 분석 및 시각화</x:v>
      </x:c>
      <x:c r="BZ27" s="78" t="str">
        <x:f>IF(OR(BZ4&lt;0,BZ4=BY4,ISERROR(INDEX(세부시간표!$A$3:$L$1183,9*BZ4-2,10))),"",INDEX(세부시간표!$A$3:$L$1183,9*BZ4-2,10))</x:f>
        <x:v>빅데이터 분석 및 시각화</x:v>
      </x:c>
      <x:c r="CA27" s="78" t="str">
        <x:f>IF(OR(CA4&lt;0,CA4=BZ4,ISERROR(INDEX(세부시간표!$A$3:$L$1183,9*CA4-2,10))),"",INDEX(세부시간표!$A$3:$L$1183,9*CA4-2,10))</x:f>
        <x:v>빅데이터 시스템 구축</x:v>
      </x:c>
      <x:c r="CB27" s="78" t="str">
        <x:f>IF(OR(CB4&lt;0,CB4=CA4,ISERROR(INDEX(세부시간표!$A$3:$L$1183,9*CB4-2,10))),"",INDEX(세부시간표!$A$3:$L$1183,9*CB4-2,10))</x:f>
        <x:v>빅데이터 시스템 구축</x:v>
      </x:c>
      <x:c r="CC27" s="78" t="str">
        <x:f>IF(OR(CC4&lt;0,CC4=CB4,ISERROR(INDEX(세부시간표!$A$3:$L$1183,9*CC4-2,10))),"",INDEX(세부시간표!$A$3:$L$1183,9*CC4-2,10))</x:f>
        <x:v>빅데이터 시스템 구축</x:v>
      </x:c>
      <x:c r="CD27" s="78" t="str">
        <x:f>IF(OR(CD4&lt;0,CD4=CC4,ISERROR(INDEX(세부시간표!$A$3:$L$1183,9*CD4-2,10))),"",INDEX(세부시간표!$A$3:$L$1183,9*CD4-2,10))</x:f>
        <x:v>빅데이터 시스템 구축</x:v>
      </x:c>
      <x:c r="CE27" s="78" t="str">
        <x:f>IF(OR(CE4&lt;0,CE4=CD4,ISERROR(INDEX(세부시간표!$A$3:$L$1183,9*CE4-2,10))),"",INDEX(세부시간표!$A$3:$L$1183,9*CE4-2,10))</x:f>
        <x:v>빅데이터 시스템 구축</x:v>
      </x:c>
      <x:c r="CF27" s="78" t="str">
        <x:f>IF(OR(CF4&lt;0,CF4=CE4,ISERROR(INDEX(세부시간표!$A$3:$L$1183,9*CF4-2,10))),"",INDEX(세부시간표!$A$3:$L$1183,9*CF4-2,10))</x:f>
        <x:v>빅데이터 시스템 구축</x:v>
      </x:c>
      <x:c r="CG27" s="78" t="str">
        <x:f>IF(OR(CG4&lt;0,CG4=CF4,ISERROR(INDEX(세부시간표!$A$3:$L$1183,9*CG4-2,10))),"",INDEX(세부시간표!$A$3:$L$1183,9*CG4-2,10))</x:f>
        <x:v>빅데이터 시스템 구축</x:v>
      </x:c>
      <x:c r="CH27" s="78" t="str">
        <x:f>IF(OR(CH4&lt;0,CH4=CG4,ISERROR(INDEX(세부시간표!$A$3:$L$1183,9*CH4-2,10))),"",INDEX(세부시간표!$A$3:$L$1183,9*CH4-2,10))</x:f>
        <x:v>빅데이터 시스템 구축</x:v>
      </x:c>
      <x:c r="CI27" s="78" t="str">
        <x:f>IF(OR(CI4&lt;0,CI4=CH4,ISERROR(INDEX(세부시간표!$A$3:$L$1183,9*CI4-2,10))),"",INDEX(세부시간표!$A$3:$L$1183,9*CI4-2,10))</x:f>
        <x:v>빅데이터 시스템 구축</x:v>
      </x:c>
      <x:c r="CJ27" s="78" t="str">
        <x:f>IF(OR(CJ4&lt;0,CJ4=CI4,ISERROR(INDEX(세부시간표!$A$3:$L$1183,9*CJ4-2,10))),"",INDEX(세부시간표!$A$3:$L$1183,9*CJ4-2,10))</x:f>
        <x:v>빅데이터 시스템 구축</x:v>
      </x:c>
      <x:c r="CK27" s="78" t="str">
        <x:f>IF(OR(CK4&lt;0,CK4=CJ4,ISERROR(INDEX(세부시간표!$A$3:$L$1183,9*CK4-2,10))),"",INDEX(세부시간표!$A$3:$L$1183,9*CK4-2,10))</x:f>
        <x:v>빅데이터 플랫폼 개발</x:v>
      </x:c>
      <x:c r="CL27" s="78" t="str">
        <x:f>IF(OR(CL4&lt;0,CL4=CK4,ISERROR(INDEX(세부시간표!$A$3:$L$1183,9*CL4-2,10))),"",INDEX(세부시간표!$A$3:$L$1183,9*CL4-2,10))</x:f>
        <x:v>빅데이터 플랫폼 개발</x:v>
      </x:c>
      <x:c r="CM27" s="78" t="str">
        <x:f>IF(OR(CM4&lt;0,CM4=CL4,ISERROR(INDEX(세부시간표!$A$3:$L$1183,9*CM4-2,10))),"",INDEX(세부시간표!$A$3:$L$1183,9*CM4-2,10))</x:f>
        <x:v>빅데이터 플랫폼 개발</x:v>
      </x:c>
      <x:c r="CN27" s="78" t="str">
        <x:f>IF(OR(CN4&lt;0,CN4=CM4,ISERROR(INDEX(세부시간표!$A$3:$L$1183,9*CN4-2,10))),"",INDEX(세부시간표!$A$3:$L$1183,9*CN4-2,10))</x:f>
        <x:v>빅데이터 플랫폼 개발</x:v>
      </x:c>
      <x:c r="CO27" s="78" t="str">
        <x:f>IF(OR(CO4&lt;0,CO4=CN4,ISERROR(INDEX(세부시간표!$A$3:$L$1183,9*CO4-2,10))),"",INDEX(세부시간표!$A$3:$L$1183,9*CO4-2,10))</x:f>
        <x:v>빅데이터 플랫폼 개발</x:v>
      </x:c>
      <x:c r="CP27" s="78" t="str">
        <x:f>IF(OR(CP4&lt;0,CP4=CO4,ISERROR(INDEX(세부시간표!$A$3:$L$1183,9*CP4-2,10))),"",INDEX(세부시간표!$A$3:$L$1183,9*CP4-2,10))</x:f>
        <x:v>빅데이터 플랫폼 개발</x:v>
      </x:c>
      <x:c r="CQ27" s="78" t="str">
        <x:f>IF(OR(CQ4&lt;0,CQ4=CP4,ISERROR(INDEX(세부시간표!$A$3:$L$1183,9*CQ4-2,10))),"",INDEX(세부시간표!$A$3:$L$1183,9*CQ4-2,10))</x:f>
        <x:v>빅데이터 플랫폼 개발</x:v>
      </x:c>
      <x:c r="CR27" s="78" t="str">
        <x:f>IF(OR(CR4&lt;0,CR4=CQ4,ISERROR(INDEX(세부시간표!$A$3:$L$1183,9*CR4-2,10))),"",INDEX(세부시간표!$A$3:$L$1183,9*CR4-2,10))</x:f>
        <x:v>빅데이터 플랫폼 개발</x:v>
      </x:c>
      <x:c r="CS27" s="78" t="str">
        <x:f>IF(OR(CS4&lt;0,CS4=CR4,ISERROR(INDEX(세부시간표!$A$3:$L$1183,9*CS4-2,10))),"",INDEX(세부시간표!$A$3:$L$1183,9*CS4-2,10))</x:f>
        <x:v>Final 프로젝트</x:v>
      </x:c>
      <x:c r="CT27" s="78" t="str">
        <x:f>IF(OR(CT4&lt;0,CT4=CS4,ISERROR(INDEX(세부시간표!$A$3:$L$1183,9*CT4-2,10))),"",INDEX(세부시간표!$A$3:$L$1183,9*CT4-2,10))</x:f>
        <x:v>Final 프로젝트</x:v>
      </x:c>
      <x:c r="CU27" s="78" t="str">
        <x:f>IF(OR(CU4&lt;0,CU4=CT4,ISERROR(INDEX(세부시간표!$A$3:$L$1183,9*CU4-2,10))),"",INDEX(세부시간표!$A$3:$L$1183,9*CU4-2,10))</x:f>
        <x:v>Final 프로젝트</x:v>
      </x:c>
      <x:c r="CV27" s="78" t="str">
        <x:f>IF(OR(CV4&lt;0,CV4=CU4,ISERROR(INDEX(세부시간표!$A$3:$L$1183,9*CV4-2,10))),"",INDEX(세부시간표!$A$3:$L$1183,9*CV4-2,10))</x:f>
        <x:v>Final 프로젝트</x:v>
      </x:c>
      <x:c r="CW27" s="78" t="str">
        <x:f>IF(OR(CW4&lt;0,CW4=CV4,ISERROR(INDEX(세부시간표!$A$3:$L$1183,9*CW4-2,10))),"",INDEX(세부시간표!$A$3:$L$1183,9*CW4-2,10))</x:f>
        <x:v>Final 프로젝트</x:v>
      </x:c>
      <x:c r="CX27" s="78" t="str">
        <x:f>IF(OR(CX4&lt;0,CX4=CW4,ISERROR(INDEX(세부시간표!$A$3:$L$1183,9*CX4-2,10))),"",INDEX(세부시간표!$A$3:$L$1183,9*CX4-2,10))</x:f>
        <x:v>Final 프로젝트</x:v>
      </x:c>
      <x:c r="CY27" s="78" t="str">
        <x:f>IF(OR(CY4&lt;0,CY4=CX4,ISERROR(INDEX(세부시간표!$A$3:$L$1183,9*CY4-2,10))),"",INDEX(세부시간표!$A$3:$L$1183,9*CY4-2,10))</x:f>
        <x:v>Final 프로젝트</x:v>
      </x:c>
      <x:c r="CZ27" s="78" t="str">
        <x:f>IF(OR(CZ4&lt;0,CZ4=CY4,ISERROR(INDEX(세부시간표!$A$3:$L$1183,9*CZ4-2,10))),"",INDEX(세부시간표!$A$3:$L$1183,9*CZ4-2,10))</x:f>
        <x:v>Final 프로젝트</x:v>
      </x:c>
      <x:c r="DA27" s="78" t="str">
        <x:f>IF(OR(DA4&lt;0,DA4=CZ4,ISERROR(INDEX(세부시간표!$A$3:$L$1183,9*DA4-2,10))),"",INDEX(세부시간표!$A$3:$L$1183,9*DA4-2,10))</x:f>
        <x:v>Final 프로젝트</x:v>
      </x:c>
      <x:c r="DB27" s="78" t="str">
        <x:f>IF(OR(DB4&lt;0,DB4=DA4,ISERROR(INDEX(세부시간표!$A$3:$L$1183,9*DB4-2,10))),"",INDEX(세부시간표!$A$3:$L$1183,9*DB4-2,10))</x:f>
        <x:v>Final 프로젝트</x:v>
      </x:c>
      <x:c r="DC27" s="78" t="str">
        <x:f>IF(OR(DC4&lt;0,DC4=DB4,ISERROR(INDEX(세부시간표!$A$3:$L$1183,9*DC4-2,10))),"",INDEX(세부시간표!$A$3:$L$1183,9*DC4-2,10))</x:f>
        <x:v/>
      </x:c>
      <x:c r="DD27" s="78" t="str">
        <x:f>IF(OR(DD4&lt;0,DD4=DC4,ISERROR(INDEX(세부시간표!$A$3:$L$1183,9*DD4-2,10))),"",INDEX(세부시간표!$A$3:$L$1183,9*DD4-2,10))</x:f>
        <x:v/>
      </x:c>
      <x:c r="DE27" s="78" t="str">
        <x:f>IF(OR(DE4&lt;0,DE4=DD4,ISERROR(INDEX(세부시간표!$A$3:$L$1183,9*DE4-2,10))),"",INDEX(세부시간표!$A$3:$L$1183,9*DE4-2,10))</x:f>
        <x:v/>
      </x:c>
      <x:c r="DF27" s="78" t="str">
        <x:f>IF(OR(DF4&lt;0,DF4=DE4,ISERROR(INDEX(세부시간표!$A$3:$L$1183,9*DF4-2,10))),"",INDEX(세부시간표!$A$3:$L$1183,9*DF4-2,10))</x:f>
        <x:v>Final 프로젝트</x:v>
      </x:c>
      <x:c r="DG27" s="78" t="str">
        <x:f>IF(OR(DG4&lt;0,DG4=DF4,ISERROR(INDEX(세부시간표!$A$3:$L$1183,9*DG4-2,10))),"",INDEX(세부시간표!$A$3:$L$1183,9*DG4-2,10))</x:f>
        <x:v>Final 프로젝트</x:v>
      </x:c>
      <x:c r="DH27" s="78" t="str">
        <x:f>IF(OR(DH4&lt;0,DH4=DG4,ISERROR(INDEX(세부시간표!$A$3:$L$1183,9*DH4-2,10))),"",INDEX(세부시간표!$A$3:$L$1183,9*DH4-2,10))</x:f>
        <x:v>Final 프로젝트</x:v>
      </x:c>
      <x:c r="DI27" s="78" t="str">
        <x:f>IF(OR(DI4&lt;0,DI4=DH4,ISERROR(INDEX(세부시간표!$A$3:$L$1183,9*DI4-2,10))),"",INDEX(세부시간표!$A$3:$L$1183,9*DI4-2,10))</x:f>
        <x:v>Final 프로젝트</x:v>
      </x:c>
      <x:c r="DJ27" s="78" t="str">
        <x:f>IF(OR(DJ4&lt;0,DJ4=DI4,ISERROR(INDEX(세부시간표!$A$3:$L$1183,9*DJ4-2,10))),"",INDEX(세부시간표!$A$3:$L$1183,9*DJ4-2,10))</x:f>
        <x:v>Final 프로젝트</x:v>
      </x:c>
      <x:c r="DK27" s="78" t="str">
        <x:f>IF(OR(DK4&lt;0,DK4=DJ4,ISERROR(INDEX(세부시간표!$A$3:$L$1183,9*DK4-2,10))),"",INDEX(세부시간표!$A$3:$L$1183,9*DK4-2,10))</x:f>
        <x:v>Final 프로젝트</x:v>
      </x:c>
      <x:c r="DL27" s="78" t="str">
        <x:f>IF(OR(DL4&lt;0,DL4=DK4,ISERROR(INDEX(세부시간표!$A$3:$L$1183,9*DL4-2,10))),"",INDEX(세부시간표!$A$3:$L$1183,9*DL4-2,10))</x:f>
        <x:v>Final 프로젝트</x:v>
      </x:c>
      <x:c r="DM27" s="78" t="str">
        <x:f>IF(OR(DM4&lt;0,DM4=DL4,ISERROR(INDEX(세부시간표!$A$3:$L$1183,9*DM4-2,10))),"",INDEX(세부시간표!$A$3:$L$1183,9*DM4-2,10))</x:f>
        <x:v/>
      </x:c>
      <x:c r="DN27" s="78" t="str">
        <x:f>IF(OR(DN4&lt;0,DN4=DM4,ISERROR(INDEX(세부시간표!$A$3:$L$1183,9*DN4-2,10))),"",INDEX(세부시간표!$A$3:$L$1183,9*DN4-2,10))</x:f>
        <x:v>Final 프로젝트</x:v>
      </x:c>
      <x:c r="DO27" s="78" t="str">
        <x:f>IF(OR(DO4&lt;0,DO4=DN4,ISERROR(INDEX(세부시간표!$A$3:$L$1183,9*DO4-2,10))),"",INDEX(세부시간표!$A$3:$L$1183,9*DO4-2,10))</x:f>
        <x:v>Final 프로젝트</x:v>
      </x:c>
      <x:c r="DP27" s="78" t="str">
        <x:f>IF(OR(DP4&lt;0,DP4=DO4,ISERROR(INDEX(세부시간표!$A$3:$L$1183,9*DP4-2,10))),"",INDEX(세부시간표!$A$3:$L$1183,9*DP4-2,10))</x:f>
        <x:v>Final 프로젝트</x:v>
      </x:c>
      <x:c r="DQ27" s="78" t="str">
        <x:f>IF(OR(DQ4&lt;0,DQ4=DP4,ISERROR(INDEX(세부시간표!$A$3:$L$1183,9*DQ4-2,10))),"",INDEX(세부시간표!$A$3:$L$1183,9*DQ4-2,10))</x:f>
        <x:v>Final 프로젝트</x:v>
      </x:c>
      <x:c r="DR27" s="78" t="str">
        <x:f>IF(OR(DR4&lt;0,DR4=DQ4,ISERROR(INDEX(세부시간표!$A$3:$L$1183,9*DR4-2,10))),"",INDEX(세부시간표!$A$3:$L$1183,9*DR4-2,10))</x:f>
        <x:v>Final 프로젝트</x:v>
      </x:c>
      <x:c r="DS27" s="78" t="str">
        <x:f>IF(OR(DS4&lt;0,DS4=DR4,ISERROR(INDEX(세부시간표!$A$3:$L$1183,9*DS4-2,10))),"",INDEX(세부시간표!$A$3:$L$1183,9*DS4-2,10))</x:f>
        <x:v>Final 프로젝트</x:v>
      </x:c>
      <x:c r="DT27" s="78" t="str">
        <x:f>IF(OR(DT4&lt;0,DT4=DS4,ISERROR(INDEX(세부시간표!$A$3:$L$1183,9*DT4-2,10))),"",INDEX(세부시간표!$A$3:$L$1183,9*DT4-2,10))</x:f>
        <x:v>Final 프로젝트</x:v>
      </x:c>
      <x:c r="DU27" s="78" t="str">
        <x:f>IF(OR(DU4&lt;0,DU4=DT4,ISERROR(INDEX(세부시간표!$A$3:$L$1183,9*DU4-2,10))),"",INDEX(세부시간표!$A$3:$L$1183,9*DU4-2,10))</x:f>
        <x:v>Final 프로젝트</x:v>
      </x:c>
      <x:c r="DV27" s="78" t="str">
        <x:f>IF(OR(DV4&lt;0,DV4=DU4,ISERROR(INDEX(세부시간표!$A$3:$L$1183,9*DV4-2,10))),"",INDEX(세부시간표!$A$3:$L$1183,9*DV4-2,10))</x:f>
        <x:v>Final 프로젝트</x:v>
      </x:c>
      <x:c r="DW27" s="78" t="str">
        <x:f>IF(OR(DW4&lt;0,DW4=DV4,ISERROR(INDEX(세부시간표!$A$3:$L$1183,9*DW4-2,10))),"",INDEX(세부시간표!$A$3:$L$1183,9*DW4-2,10))</x:f>
        <x:v>Final 프로젝트</x:v>
      </x:c>
      <x:c r="DX27" s="78" t="str">
        <x:f>IF(OR(DX4&lt;0,DX4=DW4,ISERROR(INDEX(세부시간표!$A$3:$L$1183,9*DX4-2,10))),"",INDEX(세부시간표!$A$3:$L$1183,9*DX4-2,10))</x:f>
        <x:v>Final 프로젝트</x:v>
      </x:c>
      <x:c r="DY27" s="78" t="str">
        <x:f>IF(OR(DY4&lt;0,DY4=DX4,ISERROR(INDEX(세부시간표!$A$3:$L$1183,9*DY4-2,10))),"",INDEX(세부시간표!$A$3:$L$1183,9*DY4-2,10))</x:f>
        <x:v>Final 프로젝트</x:v>
      </x:c>
      <x:c r="DZ27" s="78" t="str">
        <x:f>IF(OR(DZ4&lt;0,DZ4=DY4,ISERROR(INDEX(세부시간표!$A$3:$L$1183,9*DZ4-2,10))),"",INDEX(세부시간표!$A$3:$L$1183,9*DZ4-2,10))</x:f>
        <x:v>Final 프로젝트</x:v>
      </x:c>
      <x:c r="EA27" s="78" t="str">
        <x:f>IF(OR(EA4&lt;0,EA4=DZ4,ISERROR(INDEX(세부시간표!$A$3:$L$1183,9*EA4-2,10))),"",INDEX(세부시간표!$A$3:$L$1183,9*EA4-2,10))</x:f>
        <x:v>Final 프로젝트</x:v>
      </x:c>
      <x:c r="EB27" s="78" t="str">
        <x:f>IF(OR(EB4&lt;0,EB4=EA4,ISERROR(INDEX(세부시간표!$A$3:$L$1183,9*EB4-2,10))),"",INDEX(세부시간표!$A$3:$L$1183,9*EB4-2,10))</x:f>
        <x:v>Final 프로젝트</x:v>
      </x:c>
      <x:c r="EC27" s="78" t="str">
        <x:f>IF(OR(EC4&lt;0,EC4=EB4,ISERROR(INDEX(세부시간표!$A$3:$L$1183,9*EC4-2,10))),"",INDEX(세부시간표!$A$3:$L$1183,9*EC4-2,10))</x:f>
        <x:v>취업특강 및 모의면접</x:v>
      </x:c>
      <x:c r="ED27" s="78" t="str">
        <x:f>IF(OR(ED4&lt;0,ED4=EC4,ISERROR(INDEX(세부시간표!$A$3:$L$1183,9*ED4-2,10))),"",INDEX(세부시간표!$A$3:$L$1183,9*ED4-2,10))</x:f>
        <x:v>산업체특강 , 프로젝트 발표(시연), 수료식</x:v>
      </x:c>
      <x:c r="EE27" s="78" t="str">
        <x:f>IF(OR(EE4&lt;0,EE4=ED4,ISERROR(INDEX(세부시간표!$A$3:$L$1183,9*EE4-2,10))),"",INDEX(세부시간표!$A$3:$L$1183,9*EE4-2,10))</x:f>
        <x:v/>
      </x:c>
      <x:c r="EF27" s="78" t="str">
        <x:f>IF(OR(EF4&lt;0,EF4=EE4,ISERROR(INDEX(세부시간표!$A$3:$L$1183,9*EF4-2,10))),"",INDEX(세부시간표!$A$3:$L$1183,9*EF4-2,10))</x:f>
        <x:v/>
      </x:c>
      <x:c r="EG27" s="78" t="str">
        <x:f>IF(OR(EG4&lt;0,EG4=EF4,ISERROR(INDEX(세부시간표!$A$3:$L$1183,9*EG4-2,10))),"",INDEX(세부시간표!$A$3:$L$1183,9*EG4-2,10))</x:f>
        <x:v/>
      </x:c>
      <x:c r="EH27" s="78" t="str">
        <x:f>IF(OR(EH4&lt;0,EH4=EG4,ISERROR(INDEX(세부시간표!$A$3:$L$1183,9*EH4-2,10))),"",INDEX(세부시간표!$A$3:$L$1183,9*EH4-2,10))</x:f>
        <x:v/>
      </x:c>
      <x:c r="EI27" s="78" t="str">
        <x:f>IF(OR(EI4&lt;0,EI4=EH4,ISERROR(INDEX(세부시간표!$A$3:$L$1183,9*EI4-2,10))),"",INDEX(세부시간표!$A$3:$L$1183,9*EI4-2,10))</x:f>
        <x:v/>
      </x:c>
      <x:c r="EJ27" s="78" t="str">
        <x:f>IF(OR(EJ4&lt;0,EJ4=EI4,ISERROR(INDEX(세부시간표!$A$3:$L$1183,9*EJ4-2,10))),"",INDEX(세부시간표!$A$3:$L$1183,9*EJ4-2,10))</x:f>
        <x:v/>
      </x:c>
      <x:c r="EK27" s="78" t="str">
        <x:f>IF(OR(EK4&lt;0,EK4=EJ4,ISERROR(INDEX(세부시간표!$A$3:$L$1183,9*EK4-2,10))),"",INDEX(세부시간표!$A$3:$L$1183,9*EK4-2,10))</x:f>
        <x:v/>
      </x:c>
      <x:c r="EL27" s="52" t="str">
        <x:f>IF(OR(EL4&lt;0,EL4=EK4,ISERROR(INDEX(세부시간표!$A$3:$L$1183,9*EL4-2,10))),"",INDEX(세부시간표!$A$3:$L$1183,9*EL4-2,10))</x:f>
        <x:v/>
      </x:c>
      <x:c r="EM27" s="51" t="str">
        <x:f>IF(OR(EM4&lt;0,EM4=EL4,ISERROR(INDEX(세부시간표!$A$3:$L$1183,9*EM4-2,10))),"",INDEX(세부시간표!$A$3:$L$1183,9*EM4-2,10))</x:f>
        <x:v/>
      </x:c>
      <x:c r="EN27" s="51" t="str">
        <x:f>IF(OR(EN4&lt;0,EN4=EM4,ISERROR(INDEX(세부시간표!$A$3:$L$1183,9*EN4-2,10))),"",INDEX(세부시간표!$A$3:$L$1183,9*EN4-2,10))</x:f>
        <x:v/>
      </x:c>
      <x:c r="EO27" s="51" t="str">
        <x:f>IF(OR(EO4&lt;0,EO4=EN4,ISERROR(INDEX(세부시간표!$A$3:$L$1183,9*EO4-2,10))),"",INDEX(세부시간표!$A$3:$L$1183,9*EO4-2,10))</x:f>
        <x:v/>
      </x:c>
      <x:c r="EP27" s="53" t="str">
        <x:f>IF(OR(EP4&lt;0,EP4=EO4,ISERROR(INDEX(세부시간표!$A$3:$L$1183,9*EP4-2,10))),"",INDEX(세부시간표!$A$3:$L$1183,9*EP4-2,10))</x:f>
        <x:v/>
      </x:c>
    </x:row>
    <x:row r="28" spans="1:146" s="88" customFormat="1" ht="30" customHeight="1">
      <x:c r="A28" s="278"/>
      <x:c r="B28" s="64" t="str">
        <x:f>B27</x:f>
        <x:v>웹 애플리케이션 개발</x:v>
      </x:c>
      <x:c r="C28" s="64" t="str">
        <x:f t="shared" ref="C28:BN28" si="31">C27</x:f>
        <x:v>웹 애플리케이션 개발</x:v>
      </x:c>
      <x:c r="D28" s="64" t="str">
        <x:f t="shared" si="31"/>
        <x:v>웹 애플리케이션 개발</x:v>
      </x:c>
      <x:c r="E28" s="64" t="str">
        <x:f t="shared" si="31"/>
        <x:v>웹 애플리케이션 개발</x:v>
      </x:c>
      <x:c r="F28" s="64" t="str">
        <x:f t="shared" si="31"/>
        <x:v>웹 애플리케이션 개발</x:v>
      </x:c>
      <x:c r="G28" s="64" t="str">
        <x:f t="shared" si="31"/>
        <x:v>웹 애플리케이션 개발</x:v>
      </x:c>
      <x:c r="H28" s="64" t="str">
        <x:f t="shared" si="31"/>
        <x:v>웹 애플리케이션 개발</x:v>
      </x:c>
      <x:c r="I28" s="64" t="str">
        <x:f t="shared" si="31"/>
        <x:v>웹 애플리케이션 개발</x:v>
      </x:c>
      <x:c r="J28" s="64" t="str">
        <x:f t="shared" si="31"/>
        <x:v>웹 애플리케이션 개발</x:v>
      </x:c>
      <x:c r="K28" s="64" t="str">
        <x:f t="shared" si="31"/>
        <x:v/>
      </x:c>
      <x:c r="L28" s="64" t="str">
        <x:f t="shared" si="31"/>
        <x:v/>
      </x:c>
      <x:c r="M28" s="64" t="str">
        <x:f t="shared" si="31"/>
        <x:v/>
      </x:c>
      <x:c r="N28" s="64" t="str">
        <x:f t="shared" si="31"/>
        <x:v/>
      </x:c>
      <x:c r="O28" s="64" t="str">
        <x:f t="shared" si="31"/>
        <x:v/>
      </x:c>
      <x:c r="P28" s="64" t="str">
        <x:f t="shared" si="31"/>
        <x:v>웹 애플리케이션 개발</x:v>
      </x:c>
      <x:c r="Q28" s="64" t="str">
        <x:f t="shared" si="31"/>
        <x:v>웹&amp;콘텐츠 서비스 개발</x:v>
      </x:c>
      <x:c r="R28" s="64" t="str">
        <x:f t="shared" si="31"/>
        <x:v>웹&amp;콘텐츠 서비스 개발</x:v>
      </x:c>
      <x:c r="S28" s="64" t="str">
        <x:f t="shared" si="31"/>
        <x:v>웹&amp;콘텐츠 서비스 개발</x:v>
      </x:c>
      <x:c r="T28" s="64" t="str">
        <x:f t="shared" si="31"/>
        <x:v>웹&amp;콘텐츠 서비스 개발</x:v>
      </x:c>
      <x:c r="U28" s="64" t="str">
        <x:f t="shared" si="31"/>
        <x:v>웹&amp;콘텐츠 서비스 개발</x:v>
      </x:c>
      <x:c r="V28" s="64" t="str">
        <x:f t="shared" si="31"/>
        <x:v>SQL 및 데이터 모델링</x:v>
      </x:c>
      <x:c r="W28" s="64" t="str">
        <x:f t="shared" si="31"/>
        <x:v>SQL 및 데이터 모델링</x:v>
      </x:c>
      <x:c r="X28" s="64" t="str">
        <x:f t="shared" si="31"/>
        <x:v>SQL 및 데이터 모델링</x:v>
      </x:c>
      <x:c r="Y28" s="64" t="str">
        <x:f t="shared" si="31"/>
        <x:v>SQL 및 데이터 모델링</x:v>
      </x:c>
      <x:c r="Z28" s="64" t="str">
        <x:f t="shared" si="31"/>
        <x:v>SQL 및 데이터 모델링</x:v>
      </x:c>
      <x:c r="AA28" s="64" t="str">
        <x:f t="shared" si="31"/>
        <x:v>SQL 및 데이터 모델링</x:v>
      </x:c>
      <x:c r="AB28" s="64" t="str">
        <x:f t="shared" si="31"/>
        <x:v>SQL 및 데이터 모델링</x:v>
      </x:c>
      <x:c r="AC28" s="64" t="str">
        <x:f t="shared" si="31"/>
        <x:v>SQL 및 데이터 모델링</x:v>
      </x:c>
      <x:c r="AD28" s="64" t="str">
        <x:f t="shared" si="31"/>
        <x:v>SQL 및 데이터 모델링</x:v>
      </x:c>
      <x:c r="AE28" s="64" t="str">
        <x:f t="shared" si="31"/>
        <x:v>AI개발 기초</x:v>
      </x:c>
      <x:c r="AF28" s="64" t="str">
        <x:f t="shared" si="31"/>
        <x:v>AI개발 기초</x:v>
      </x:c>
      <x:c r="AG28" s="64" t="str">
        <x:f t="shared" si="31"/>
        <x:v>AI개발 기초</x:v>
      </x:c>
      <x:c r="AH28" s="64" t="str">
        <x:f t="shared" si="31"/>
        <x:v>AI개발 기초</x:v>
      </x:c>
      <x:c r="AI28" s="64" t="str">
        <x:f t="shared" si="31"/>
        <x:v>AI개발 기초</x:v>
      </x:c>
      <x:c r="AJ28" s="64" t="str">
        <x:f t="shared" si="31"/>
        <x:v>AI개발 기초</x:v>
      </x:c>
      <x:c r="AK28" s="64" t="str">
        <x:f t="shared" si="31"/>
        <x:v>AI개발 기초</x:v>
      </x:c>
      <x:c r="AL28" s="64" t="str">
        <x:f t="shared" si="31"/>
        <x:v>AI개발 기초</x:v>
      </x:c>
      <x:c r="AM28" s="64" t="str">
        <x:f t="shared" si="31"/>
        <x:v>AI개발 기초</x:v>
      </x:c>
      <x:c r="AN28" s="64" t="str">
        <x:f t="shared" si="31"/>
        <x:v>AI개발 기초</x:v>
      </x:c>
      <x:c r="AO28" s="64" t="str">
        <x:f t="shared" si="31"/>
        <x:v>AI개발 기초</x:v>
      </x:c>
      <x:c r="AP28" s="64" t="str">
        <x:f t="shared" si="31"/>
        <x:v>AI개발 기초</x:v>
      </x:c>
      <x:c r="AQ28" s="64" t="str">
        <x:f t="shared" si="31"/>
        <x:v>인공지능 프로그래밍</x:v>
      </x:c>
      <x:c r="AR28" s="64" t="str">
        <x:f t="shared" si="31"/>
        <x:v>인공지능 프로그래밍</x:v>
      </x:c>
      <x:c r="AS28" s="64" t="str">
        <x:f t="shared" si="31"/>
        <x:v>인공지능 프로그래밍</x:v>
      </x:c>
      <x:c r="AT28" s="64" t="str">
        <x:f t="shared" si="31"/>
        <x:v>인공지능 프로그래밍</x:v>
      </x:c>
      <x:c r="AU28" s="64" t="str">
        <x:f t="shared" si="31"/>
        <x:v>인공지능 프로그래밍</x:v>
      </x:c>
      <x:c r="AV28" s="64" t="str">
        <x:f t="shared" si="31"/>
        <x:v>인공지능 프로그래밍</x:v>
      </x:c>
      <x:c r="AW28" s="64" t="str">
        <x:f t="shared" si="31"/>
        <x:v>인공지능 프로그래밍</x:v>
      </x:c>
      <x:c r="AX28" s="64" t="str">
        <x:f t="shared" si="31"/>
        <x:v>인공지능 프로그래밍</x:v>
      </x:c>
      <x:c r="AY28" s="64" t="str">
        <x:f t="shared" si="31"/>
        <x:v>인공지능 프로그래밍</x:v>
      </x:c>
      <x:c r="AZ28" s="64" t="str">
        <x:f t="shared" si="31"/>
        <x:v>인공지능 프로그래밍</x:v>
      </x:c>
      <x:c r="BA28" s="64" t="str">
        <x:f t="shared" si="31"/>
        <x:v>인공지능 프로그래밍</x:v>
      </x:c>
      <x:c r="BB28" s="64" t="str">
        <x:f t="shared" si="31"/>
        <x:v>인공지능 프로그래밍</x:v>
      </x:c>
      <x:c r="BC28" s="64" t="str">
        <x:f t="shared" si="31"/>
        <x:v>인공지능 프로그래밍</x:v>
      </x:c>
      <x:c r="BD28" s="64" t="str">
        <x:f t="shared" si="31"/>
        <x:v>인공지능 프로그래밍</x:v>
      </x:c>
      <x:c r="BE28" s="64" t="str">
        <x:f t="shared" si="31"/>
        <x:v>인공지능 프로그래밍</x:v>
      </x:c>
      <x:c r="BF28" s="64" t="str">
        <x:f t="shared" si="31"/>
        <x:v>인공지능 프로그래밍</x:v>
      </x:c>
      <x:c r="BG28" s="64" t="str">
        <x:f t="shared" si="31"/>
        <x:v>Advanced 프로젝트</x:v>
      </x:c>
      <x:c r="BH28" s="64" t="str">
        <x:f t="shared" si="31"/>
        <x:v>Advanced 프로젝트</x:v>
      </x:c>
      <x:c r="BI28" s="64" t="str">
        <x:f t="shared" si="31"/>
        <x:v>Advanced 프로젝트</x:v>
      </x:c>
      <x:c r="BJ28" s="64" t="str">
        <x:f t="shared" si="31"/>
        <x:v>Advanced 프로젝트</x:v>
      </x:c>
      <x:c r="BK28" s="64" t="str">
        <x:f t="shared" si="31"/>
        <x:v>Advanced 프로젝트</x:v>
      </x:c>
      <x:c r="BL28" s="64" t="str">
        <x:f t="shared" si="31"/>
        <x:v>Advanced 프로젝트</x:v>
      </x:c>
      <x:c r="BM28" s="64" t="str">
        <x:f t="shared" si="31"/>
        <x:v>Advanced 프로젝트</x:v>
      </x:c>
      <x:c r="BN28" s="64" t="str">
        <x:f t="shared" si="31"/>
        <x:v>Advanced 프로젝트</x:v>
      </x:c>
      <x:c r="BO28" s="64" t="str">
        <x:f t="shared" ref="BO28:DZ28" si="32">BO27</x:f>
        <x:v>Advanced 프로젝트</x:v>
      </x:c>
      <x:c r="BP28" s="64" t="str">
        <x:f t="shared" si="32"/>
        <x:v>Advanced 프로젝트</x:v>
      </x:c>
      <x:c r="BQ28" s="64" t="str">
        <x:f t="shared" si="32"/>
        <x:v>Advanced 프로젝트</x:v>
      </x:c>
      <x:c r="BR28" s="64" t="str">
        <x:f t="shared" si="32"/>
        <x:v/>
      </x:c>
      <x:c r="BS28" s="64" t="str">
        <x:f t="shared" si="32"/>
        <x:v>Advanced 프로젝트</x:v>
      </x:c>
      <x:c r="BT28" s="64" t="str">
        <x:f t="shared" si="32"/>
        <x:v>Advanced 프로젝트</x:v>
      </x:c>
      <x:c r="BU28" s="64" t="str">
        <x:f t="shared" si="32"/>
        <x:v>빅데이터 분석 및 시각화</x:v>
      </x:c>
      <x:c r="BV28" s="64" t="str">
        <x:f t="shared" si="32"/>
        <x:v>빅데이터 분석 및 시각화</x:v>
      </x:c>
      <x:c r="BW28" s="64" t="str">
        <x:f t="shared" si="32"/>
        <x:v/>
      </x:c>
      <x:c r="BX28" s="64" t="str">
        <x:f t="shared" si="32"/>
        <x:v>빅데이터 분석 및 시각화</x:v>
      </x:c>
      <x:c r="BY28" s="64" t="str">
        <x:f t="shared" si="32"/>
        <x:v>빅데이터 분석 및 시각화</x:v>
      </x:c>
      <x:c r="BZ28" s="64" t="str">
        <x:f t="shared" si="32"/>
        <x:v>빅데이터 분석 및 시각화</x:v>
      </x:c>
      <x:c r="CA28" s="64" t="str">
        <x:f t="shared" si="32"/>
        <x:v>빅데이터 시스템 구축</x:v>
      </x:c>
      <x:c r="CB28" s="64" t="str">
        <x:f t="shared" si="32"/>
        <x:v>빅데이터 시스템 구축</x:v>
      </x:c>
      <x:c r="CC28" s="64" t="str">
        <x:f t="shared" si="32"/>
        <x:v>빅데이터 시스템 구축</x:v>
      </x:c>
      <x:c r="CD28" s="64" t="str">
        <x:f t="shared" si="32"/>
        <x:v>빅데이터 시스템 구축</x:v>
      </x:c>
      <x:c r="CE28" s="64" t="str">
        <x:f t="shared" si="32"/>
        <x:v>빅데이터 시스템 구축</x:v>
      </x:c>
      <x:c r="CF28" s="64" t="str">
        <x:f t="shared" si="32"/>
        <x:v>빅데이터 시스템 구축</x:v>
      </x:c>
      <x:c r="CG28" s="64" t="str">
        <x:f t="shared" si="32"/>
        <x:v>빅데이터 시스템 구축</x:v>
      </x:c>
      <x:c r="CH28" s="64" t="str">
        <x:f t="shared" si="32"/>
        <x:v>빅데이터 시스템 구축</x:v>
      </x:c>
      <x:c r="CI28" s="64" t="str">
        <x:f t="shared" si="32"/>
        <x:v>빅데이터 시스템 구축</x:v>
      </x:c>
      <x:c r="CJ28" s="64" t="str">
        <x:f t="shared" si="32"/>
        <x:v>빅데이터 시스템 구축</x:v>
      </x:c>
      <x:c r="CK28" s="64" t="str">
        <x:f t="shared" si="32"/>
        <x:v>빅데이터 플랫폼 개발</x:v>
      </x:c>
      <x:c r="CL28" s="64" t="str">
        <x:f t="shared" si="32"/>
        <x:v>빅데이터 플랫폼 개발</x:v>
      </x:c>
      <x:c r="CM28" s="64" t="str">
        <x:f t="shared" si="32"/>
        <x:v>빅데이터 플랫폼 개발</x:v>
      </x:c>
      <x:c r="CN28" s="64" t="str">
        <x:f t="shared" si="32"/>
        <x:v>빅데이터 플랫폼 개발</x:v>
      </x:c>
      <x:c r="CO28" s="64" t="str">
        <x:f t="shared" si="32"/>
        <x:v>빅데이터 플랫폼 개발</x:v>
      </x:c>
      <x:c r="CP28" s="64" t="str">
        <x:f t="shared" si="32"/>
        <x:v>빅데이터 플랫폼 개발</x:v>
      </x:c>
      <x:c r="CQ28" s="64" t="str">
        <x:f t="shared" si="32"/>
        <x:v>빅데이터 플랫폼 개발</x:v>
      </x:c>
      <x:c r="CR28" s="64" t="str">
        <x:f t="shared" si="32"/>
        <x:v>빅데이터 플랫폼 개발</x:v>
      </x:c>
      <x:c r="CS28" s="64" t="str">
        <x:f t="shared" si="32"/>
        <x:v>Final 프로젝트</x:v>
      </x:c>
      <x:c r="CT28" s="64" t="str">
        <x:f t="shared" si="32"/>
        <x:v>Final 프로젝트</x:v>
      </x:c>
      <x:c r="CU28" s="64" t="str">
        <x:f t="shared" si="32"/>
        <x:v>Final 프로젝트</x:v>
      </x:c>
      <x:c r="CV28" s="64" t="str">
        <x:f t="shared" si="32"/>
        <x:v>Final 프로젝트</x:v>
      </x:c>
      <x:c r="CW28" s="64" t="str">
        <x:f t="shared" si="32"/>
        <x:v>Final 프로젝트</x:v>
      </x:c>
      <x:c r="CX28" s="64" t="str">
        <x:f t="shared" si="32"/>
        <x:v>Final 프로젝트</x:v>
      </x:c>
      <x:c r="CY28" s="64" t="str">
        <x:f t="shared" si="32"/>
        <x:v>Final 프로젝트</x:v>
      </x:c>
      <x:c r="CZ28" s="64" t="str">
        <x:f t="shared" si="32"/>
        <x:v>Final 프로젝트</x:v>
      </x:c>
      <x:c r="DA28" s="64" t="str">
        <x:f t="shared" si="32"/>
        <x:v>Final 프로젝트</x:v>
      </x:c>
      <x:c r="DB28" s="64" t="str">
        <x:f t="shared" si="32"/>
        <x:v>Final 프로젝트</x:v>
      </x:c>
      <x:c r="DC28" s="64" t="str">
        <x:f t="shared" si="32"/>
        <x:v/>
      </x:c>
      <x:c r="DD28" s="64" t="str">
        <x:f t="shared" si="32"/>
        <x:v/>
      </x:c>
      <x:c r="DE28" s="64" t="str">
        <x:f t="shared" si="32"/>
        <x:v/>
      </x:c>
      <x:c r="DF28" s="64" t="str">
        <x:f t="shared" si="32"/>
        <x:v>Final 프로젝트</x:v>
      </x:c>
      <x:c r="DG28" s="64" t="str">
        <x:f t="shared" si="32"/>
        <x:v>Final 프로젝트</x:v>
      </x:c>
      <x:c r="DH28" s="64" t="str">
        <x:f t="shared" si="32"/>
        <x:v>Final 프로젝트</x:v>
      </x:c>
      <x:c r="DI28" s="64" t="str">
        <x:f t="shared" si="32"/>
        <x:v>Final 프로젝트</x:v>
      </x:c>
      <x:c r="DJ28" s="64" t="str">
        <x:f t="shared" si="32"/>
        <x:v>Final 프로젝트</x:v>
      </x:c>
      <x:c r="DK28" s="64" t="str">
        <x:f t="shared" si="32"/>
        <x:v>Final 프로젝트</x:v>
      </x:c>
      <x:c r="DL28" s="64" t="str">
        <x:f t="shared" si="32"/>
        <x:v>Final 프로젝트</x:v>
      </x:c>
      <x:c r="DM28" s="64" t="str">
        <x:f t="shared" si="32"/>
        <x:v/>
      </x:c>
      <x:c r="DN28" s="64" t="str">
        <x:f t="shared" si="32"/>
        <x:v>Final 프로젝트</x:v>
      </x:c>
      <x:c r="DO28" s="64" t="str">
        <x:f t="shared" si="32"/>
        <x:v>Final 프로젝트</x:v>
      </x:c>
      <x:c r="DP28" s="64" t="str">
        <x:f t="shared" si="32"/>
        <x:v>Final 프로젝트</x:v>
      </x:c>
      <x:c r="DQ28" s="64" t="str">
        <x:f t="shared" si="32"/>
        <x:v>Final 프로젝트</x:v>
      </x:c>
      <x:c r="DR28" s="64" t="str">
        <x:f t="shared" si="32"/>
        <x:v>Final 프로젝트</x:v>
      </x:c>
      <x:c r="DS28" s="64" t="str">
        <x:f t="shared" si="32"/>
        <x:v>Final 프로젝트</x:v>
      </x:c>
      <x:c r="DT28" s="64" t="str">
        <x:f t="shared" si="32"/>
        <x:v>Final 프로젝트</x:v>
      </x:c>
      <x:c r="DU28" s="64" t="str">
        <x:f t="shared" si="32"/>
        <x:v>Final 프로젝트</x:v>
      </x:c>
      <x:c r="DV28" s="64" t="str">
        <x:f t="shared" si="32"/>
        <x:v>Final 프로젝트</x:v>
      </x:c>
      <x:c r="DW28" s="64" t="str">
        <x:f t="shared" si="32"/>
        <x:v>Final 프로젝트</x:v>
      </x:c>
      <x:c r="DX28" s="64" t="str">
        <x:f t="shared" si="32"/>
        <x:v>Final 프로젝트</x:v>
      </x:c>
      <x:c r="DY28" s="64" t="str">
        <x:f t="shared" si="32"/>
        <x:v>Final 프로젝트</x:v>
      </x:c>
      <x:c r="DZ28" s="64" t="str">
        <x:f t="shared" si="32"/>
        <x:v>Final 프로젝트</x:v>
      </x:c>
      <x:c r="EA28" s="64" t="str">
        <x:f t="shared" ref="EA28:EK28" si="33">EA27</x:f>
        <x:v>Final 프로젝트</x:v>
      </x:c>
      <x:c r="EB28" s="64" t="str">
        <x:f t="shared" si="33"/>
        <x:v>Final 프로젝트</x:v>
      </x:c>
      <x:c r="EC28" s="64" t="str">
        <x:f t="shared" si="33"/>
        <x:v>취업특강 및 모의면접</x:v>
      </x:c>
      <x:c r="ED28" s="64" t="str">
        <x:f t="shared" si="33"/>
        <x:v>산업체특강 , 프로젝트 발표(시연), 수료식</x:v>
      </x:c>
      <x:c r="EE28" s="64" t="str">
        <x:f t="shared" si="33"/>
        <x:v/>
      </x:c>
      <x:c r="EF28" s="64" t="str">
        <x:f t="shared" si="33"/>
        <x:v/>
      </x:c>
      <x:c r="EG28" s="64" t="str">
        <x:f t="shared" si="33"/>
        <x:v/>
      </x:c>
      <x:c r="EH28" s="64" t="str">
        <x:f t="shared" si="33"/>
        <x:v/>
      </x:c>
      <x:c r="EI28" s="64" t="str">
        <x:f t="shared" si="33"/>
        <x:v/>
      </x:c>
      <x:c r="EJ28" s="64" t="str">
        <x:f t="shared" si="33"/>
        <x:v/>
      </x:c>
      <x:c r="EK28" s="64" t="str">
        <x:f t="shared" si="33"/>
        <x:v/>
      </x:c>
      <x:c r="EL28" s="60" t="str">
        <x:f>EL27</x:f>
        <x:v/>
      </x:c>
      <x:c r="EM28" s="58" t="str">
        <x:f>EM27</x:f>
        <x:v/>
      </x:c>
      <x:c r="EN28" s="58" t="str">
        <x:f>EN27</x:f>
        <x:v/>
      </x:c>
      <x:c r="EO28" s="58" t="str">
        <x:f>EO27</x:f>
        <x:v/>
      </x:c>
      <x:c r="EP28" s="59" t="str">
        <x:f>EP27</x:f>
        <x:v/>
      </x:c>
    </x:row>
    <x:row r="29" spans="1:146" s="47" customFormat="1" ht="15" customHeight="1">
      <x:c r="A29" s="278"/>
      <x:c r="B29" s="65" t="str">
        <x:f>IF(OR(B4&lt;0,B4=A4,ISERROR(INDEX(세부시간표!$A$3:$L$1183,9*B4-2,11))),"",LEFT(INDEX(세부시간표!$A$3:$L$1183,9*B4-2,11),4))</x:f>
        <x:v>1교육실</x:v>
      </x:c>
      <x:c r="C29" s="65" t="str">
        <x:f>IF(OR(C4&lt;0,C4=B4,ISERROR(INDEX(세부시간표!$A$3:$L$1183,9*C4-2,11))),"",LEFT(INDEX(세부시간표!$A$3:$L$1183,9*C4-2,11),4))</x:f>
        <x:v>1교육실</x:v>
      </x:c>
      <x:c r="D29" s="65" t="str">
        <x:f>IF(OR(D4&lt;0,D4=C4,ISERROR(INDEX(세부시간표!$A$3:$L$1183,9*D4-2,11))),"",LEFT(INDEX(세부시간표!$A$3:$L$1183,9*D4-2,11),4))</x:f>
        <x:v>1교육실</x:v>
      </x:c>
      <x:c r="E29" s="65" t="str">
        <x:f>IF(OR(E4&lt;0,E4=D4,ISERROR(INDEX(세부시간표!$A$3:$L$1183,9*E4-2,11))),"",LEFT(INDEX(세부시간표!$A$3:$L$1183,9*E4-2,11),4))</x:f>
        <x:v>1교육실</x:v>
      </x:c>
      <x:c r="F29" s="65" t="str">
        <x:f>IF(OR(F4&lt;0,F4=E4,ISERROR(INDEX(세부시간표!$A$3:$L$1183,9*F4-2,11))),"",LEFT(INDEX(세부시간표!$A$3:$L$1183,9*F4-2,11),4))</x:f>
        <x:v>1교육실</x:v>
      </x:c>
      <x:c r="G29" s="65" t="str">
        <x:f>IF(OR(G4&lt;0,G4=F4,ISERROR(INDEX(세부시간표!$A$3:$L$1183,9*G4-2,11))),"",LEFT(INDEX(세부시간표!$A$3:$L$1183,9*G4-2,11),4))</x:f>
        <x:v>1교육실</x:v>
      </x:c>
      <x:c r="H29" s="65" t="str">
        <x:f>IF(OR(H4&lt;0,H4=G4,ISERROR(INDEX(세부시간표!$A$3:$L$1183,9*H4-2,11))),"",LEFT(INDEX(세부시간표!$A$3:$L$1183,9*H4-2,11),4))</x:f>
        <x:v>1교육실</x:v>
      </x:c>
      <x:c r="I29" s="65" t="str">
        <x:f>IF(OR(I4&lt;0,I4=H4,ISERROR(INDEX(세부시간표!$A$3:$L$1183,9*I4-2,11))),"",LEFT(INDEX(세부시간표!$A$3:$L$1183,9*I4-2,11),4))</x:f>
        <x:v>1교육실</x:v>
      </x:c>
      <x:c r="J29" s="65" t="str">
        <x:f>IF(OR(J4&lt;0,J4=I4,ISERROR(INDEX(세부시간표!$A$3:$L$1183,9*J4-2,11))),"",LEFT(INDEX(세부시간표!$A$3:$L$1183,9*J4-2,11),4))</x:f>
        <x:v>1교육실</x:v>
      </x:c>
      <x:c r="K29" s="65" t="str">
        <x:f>IF(OR(K4&lt;0,K4=J4,ISERROR(INDEX(세부시간표!$A$3:$L$1183,9*K4-2,11))),"",LEFT(INDEX(세부시간표!$A$3:$L$1183,9*K4-2,11),4))</x:f>
        <x:v/>
      </x:c>
      <x:c r="L29" s="65" t="str">
        <x:f>IF(OR(L4&lt;0,L4=K4,ISERROR(INDEX(세부시간표!$A$3:$L$1183,9*L4-2,11))),"",LEFT(INDEX(세부시간표!$A$3:$L$1183,9*L4-2,11),4))</x:f>
        <x:v/>
      </x:c>
      <x:c r="M29" s="65" t="str">
        <x:f>IF(OR(M4&lt;0,M4=L4,ISERROR(INDEX(세부시간표!$A$3:$L$1183,9*M4-2,11))),"",LEFT(INDEX(세부시간표!$A$3:$L$1183,9*M4-2,11),4))</x:f>
        <x:v/>
      </x:c>
      <x:c r="N29" s="65" t="str">
        <x:f>IF(OR(N4&lt;0,N4=M4,ISERROR(INDEX(세부시간표!$A$3:$L$1183,9*N4-2,11))),"",LEFT(INDEX(세부시간표!$A$3:$L$1183,9*N4-2,11),4))</x:f>
        <x:v/>
      </x:c>
      <x:c r="O29" s="65" t="str">
        <x:f>IF(OR(O4&lt;0,O4=N4,ISERROR(INDEX(세부시간표!$A$3:$L$1183,9*O4-2,11))),"",LEFT(INDEX(세부시간표!$A$3:$L$1183,9*O4-2,11),4))</x:f>
        <x:v/>
      </x:c>
      <x:c r="P29" s="65" t="str">
        <x:f>IF(OR(P4&lt;0,P4=O4,ISERROR(INDEX(세부시간표!$A$3:$L$1183,9*P4-2,11))),"",LEFT(INDEX(세부시간표!$A$3:$L$1183,9*P4-2,11),4))</x:f>
        <x:v>1교육실</x:v>
      </x:c>
      <x:c r="Q29" s="65" t="str">
        <x:f>IF(OR(Q4&lt;0,Q4=P4,ISERROR(INDEX(세부시간표!$A$3:$L$1183,9*Q4-2,11))),"",LEFT(INDEX(세부시간표!$A$3:$L$1183,9*Q4-2,11),4))</x:f>
        <x:v>1교육실</x:v>
      </x:c>
      <x:c r="R29" s="65" t="str">
        <x:f>IF(OR(R4&lt;0,R4=Q4,ISERROR(INDEX(세부시간표!$A$3:$L$1183,9*R4-2,11))),"",LEFT(INDEX(세부시간표!$A$3:$L$1183,9*R4-2,11),4))</x:f>
        <x:v>1교육실</x:v>
      </x:c>
      <x:c r="S29" s="65" t="str">
        <x:f>IF(OR(S4&lt;0,S4=R4,ISERROR(INDEX(세부시간표!$A$3:$L$1183,9*S4-2,11))),"",LEFT(INDEX(세부시간표!$A$3:$L$1183,9*S4-2,11),4))</x:f>
        <x:v>1교육실</x:v>
      </x:c>
      <x:c r="T29" s="65" t="str">
        <x:f>IF(OR(T4&lt;0,T4=S4,ISERROR(INDEX(세부시간표!$A$3:$L$1183,9*T4-2,11))),"",LEFT(INDEX(세부시간표!$A$3:$L$1183,9*T4-2,11),4))</x:f>
        <x:v>1교육실</x:v>
      </x:c>
      <x:c r="U29" s="65" t="str">
        <x:f>IF(OR(U4&lt;0,U4=T4,ISERROR(INDEX(세부시간표!$A$3:$L$1183,9*U4-2,11))),"",LEFT(INDEX(세부시간표!$A$3:$L$1183,9*U4-2,11),4))</x:f>
        <x:v>1교육실</x:v>
      </x:c>
      <x:c r="V29" s="65" t="str">
        <x:f>IF(OR(V4&lt;0,V4=U4,ISERROR(INDEX(세부시간표!$A$3:$L$1183,9*V4-2,11))),"",LEFT(INDEX(세부시간표!$A$3:$L$1183,9*V4-2,11),4))</x:f>
        <x:v>1교육실</x:v>
      </x:c>
      <x:c r="W29" s="65" t="str">
        <x:f>IF(OR(W4&lt;0,W4=V4,ISERROR(INDEX(세부시간표!$A$3:$L$1183,9*W4-2,11))),"",LEFT(INDEX(세부시간표!$A$3:$L$1183,9*W4-2,11),4))</x:f>
        <x:v>1교육실</x:v>
      </x:c>
      <x:c r="X29" s="65" t="str">
        <x:f>IF(OR(X4&lt;0,X4=W4,ISERROR(INDEX(세부시간표!$A$3:$L$1183,9*X4-2,11))),"",LEFT(INDEX(세부시간표!$A$3:$L$1183,9*X4-2,11),4))</x:f>
        <x:v>1교육실</x:v>
      </x:c>
      <x:c r="Y29" s="65" t="str">
        <x:f>IF(OR(Y4&lt;0,Y4=X4,ISERROR(INDEX(세부시간표!$A$3:$L$1183,9*Y4-2,11))),"",LEFT(INDEX(세부시간표!$A$3:$L$1183,9*Y4-2,11),4))</x:f>
        <x:v>1교육실</x:v>
      </x:c>
      <x:c r="Z29" s="65" t="str">
        <x:f>IF(OR(Z4&lt;0,Z4=Y4,ISERROR(INDEX(세부시간표!$A$3:$L$1183,9*Z4-2,11))),"",LEFT(INDEX(세부시간표!$A$3:$L$1183,9*Z4-2,11),4))</x:f>
        <x:v>1교육실</x:v>
      </x:c>
      <x:c r="AA29" s="65" t="str">
        <x:f>IF(OR(AA4&lt;0,AA4=Z4,ISERROR(INDEX(세부시간표!$A$3:$L$1183,9*AA4-2,11))),"",LEFT(INDEX(세부시간표!$A$3:$L$1183,9*AA4-2,11),4))</x:f>
        <x:v>1교육실</x:v>
      </x:c>
      <x:c r="AB29" s="65" t="str">
        <x:f>IF(OR(AB4&lt;0,AB4=AA4,ISERROR(INDEX(세부시간표!$A$3:$L$1183,9*AB4-2,11))),"",LEFT(INDEX(세부시간표!$A$3:$L$1183,9*AB4-2,11),4))</x:f>
        <x:v>1교육실</x:v>
      </x:c>
      <x:c r="AC29" s="65" t="str">
        <x:f>IF(OR(AC4&lt;0,AC4=AB4,ISERROR(INDEX(세부시간표!$A$3:$L$1183,9*AC4-2,11))),"",LEFT(INDEX(세부시간표!$A$3:$L$1183,9*AC4-2,11),4))</x:f>
        <x:v>1교육실</x:v>
      </x:c>
      <x:c r="AD29" s="65" t="str">
        <x:f>IF(OR(AD4&lt;0,AD4=AC4,ISERROR(INDEX(세부시간표!$A$3:$L$1183,9*AD4-2,11))),"",LEFT(INDEX(세부시간표!$A$3:$L$1183,9*AD4-2,11),4))</x:f>
        <x:v>1교육실</x:v>
      </x:c>
      <x:c r="AE29" s="65" t="str">
        <x:f>IF(OR(AE4&lt;0,AE4=AD4,ISERROR(INDEX(세부시간표!$A$3:$L$1183,9*AE4-2,11))),"",LEFT(INDEX(세부시간표!$A$3:$L$1183,9*AE4-2,11),4))</x:f>
        <x:v>1교육실</x:v>
      </x:c>
      <x:c r="AF29" s="65" t="str">
        <x:f>IF(OR(AF4&lt;0,AF4=AE4,ISERROR(INDEX(세부시간표!$A$3:$L$1183,9*AF4-2,11))),"",LEFT(INDEX(세부시간표!$A$3:$L$1183,9*AF4-2,11),4))</x:f>
        <x:v>1교육실</x:v>
      </x:c>
      <x:c r="AG29" s="65" t="str">
        <x:f>IF(OR(AG4&lt;0,AG4=AF4,ISERROR(INDEX(세부시간표!$A$3:$L$1183,9*AG4-2,11))),"",LEFT(INDEX(세부시간표!$A$3:$L$1183,9*AG4-2,11),4))</x:f>
        <x:v>1교육실</x:v>
      </x:c>
      <x:c r="AH29" s="65" t="str">
        <x:f>IF(OR(AH4&lt;0,AH4=AG4,ISERROR(INDEX(세부시간표!$A$3:$L$1183,9*AH4-2,11))),"",LEFT(INDEX(세부시간표!$A$3:$L$1183,9*AH4-2,11),4))</x:f>
        <x:v>1교육실</x:v>
      </x:c>
      <x:c r="AI29" s="65" t="str">
        <x:f>IF(OR(AI4&lt;0,AI4=AH4,ISERROR(INDEX(세부시간표!$A$3:$L$1183,9*AI4-2,11))),"",LEFT(INDEX(세부시간표!$A$3:$L$1183,9*AI4-2,11),4))</x:f>
        <x:v>1교육실</x:v>
      </x:c>
      <x:c r="AJ29" s="65" t="str">
        <x:f>IF(OR(AJ4&lt;0,AJ4=AI4,ISERROR(INDEX(세부시간표!$A$3:$L$1183,9*AJ4-2,11))),"",LEFT(INDEX(세부시간표!$A$3:$L$1183,9*AJ4-2,11),4))</x:f>
        <x:v>1교육실</x:v>
      </x:c>
      <x:c r="AK29" s="65" t="str">
        <x:f>IF(OR(AK4&lt;0,AK4=AJ4,ISERROR(INDEX(세부시간표!$A$3:$L$1183,9*AK4-2,11))),"",LEFT(INDEX(세부시간표!$A$3:$L$1183,9*AK4-2,11),4))</x:f>
        <x:v>1교육실</x:v>
      </x:c>
      <x:c r="AL29" s="65" t="str">
        <x:f>IF(OR(AL4&lt;0,AL4=AK4,ISERROR(INDEX(세부시간표!$A$3:$L$1183,9*AL4-2,11))),"",LEFT(INDEX(세부시간표!$A$3:$L$1183,9*AL4-2,11),4))</x:f>
        <x:v>1교육실</x:v>
      </x:c>
      <x:c r="AM29" s="65" t="str">
        <x:f>IF(OR(AM4&lt;0,AM4=AL4,ISERROR(INDEX(세부시간표!$A$3:$L$1183,9*AM4-2,11))),"",LEFT(INDEX(세부시간표!$A$3:$L$1183,9*AM4-2,11),4))</x:f>
        <x:v>1교육실</x:v>
      </x:c>
      <x:c r="AN29" s="65" t="str">
        <x:f>IF(OR(AN4&lt;0,AN4=AM4,ISERROR(INDEX(세부시간표!$A$3:$L$1183,9*AN4-2,11))),"",LEFT(INDEX(세부시간표!$A$3:$L$1183,9*AN4-2,11),4))</x:f>
        <x:v>1교육실</x:v>
      </x:c>
      <x:c r="AO29" s="65" t="str">
        <x:f>IF(OR(AO4&lt;0,AO4=AN4,ISERROR(INDEX(세부시간표!$A$3:$L$1183,9*AO4-2,11))),"",LEFT(INDEX(세부시간표!$A$3:$L$1183,9*AO4-2,11),4))</x:f>
        <x:v>1교육실</x:v>
      </x:c>
      <x:c r="AP29" s="65" t="str">
        <x:f>IF(OR(AP4&lt;0,AP4=AO4,ISERROR(INDEX(세부시간표!$A$3:$L$1183,9*AP4-2,11))),"",LEFT(INDEX(세부시간표!$A$3:$L$1183,9*AP4-2,11),4))</x:f>
        <x:v>1교육실</x:v>
      </x:c>
      <x:c r="AQ29" s="65" t="str">
        <x:f>IF(OR(AQ4&lt;0,AQ4=AP4,ISERROR(INDEX(세부시간표!$A$3:$L$1183,9*AQ4-2,11))),"",LEFT(INDEX(세부시간표!$A$3:$L$1183,9*AQ4-2,11),4))</x:f>
        <x:v>1교육실</x:v>
      </x:c>
      <x:c r="AR29" s="65" t="str">
        <x:f>IF(OR(AR4&lt;0,AR4=AQ4,ISERROR(INDEX(세부시간표!$A$3:$L$1183,9*AR4-2,11))),"",LEFT(INDEX(세부시간표!$A$3:$L$1183,9*AR4-2,11),4))</x:f>
        <x:v>1교육실</x:v>
      </x:c>
      <x:c r="AS29" s="65" t="str">
        <x:f>IF(OR(AS4&lt;0,AS4=AR4,ISERROR(INDEX(세부시간표!$A$3:$L$1183,9*AS4-2,11))),"",LEFT(INDEX(세부시간표!$A$3:$L$1183,9*AS4-2,11),4))</x:f>
        <x:v>1교육실</x:v>
      </x:c>
      <x:c r="AT29" s="65" t="str">
        <x:f>IF(OR(AT4&lt;0,AT4=AS4,ISERROR(INDEX(세부시간표!$A$3:$L$1183,9*AT4-2,11))),"",LEFT(INDEX(세부시간표!$A$3:$L$1183,9*AT4-2,11),4))</x:f>
        <x:v>1교육실</x:v>
      </x:c>
      <x:c r="AU29" s="65" t="str">
        <x:f>IF(OR(AU4&lt;0,AU4=AT4,ISERROR(INDEX(세부시간표!$A$3:$L$1183,9*AU4-2,11))),"",LEFT(INDEX(세부시간표!$A$3:$L$1183,9*AU4-2,11),4))</x:f>
        <x:v>1교육실</x:v>
      </x:c>
      <x:c r="AV29" s="65" t="str">
        <x:f>IF(OR(AV4&lt;0,AV4=AU4,ISERROR(INDEX(세부시간표!$A$3:$L$1183,9*AV4-2,11))),"",LEFT(INDEX(세부시간표!$A$3:$L$1183,9*AV4-2,11),4))</x:f>
        <x:v>1교육실</x:v>
      </x:c>
      <x:c r="AW29" s="65" t="str">
        <x:f>IF(OR(AW4&lt;0,AW4=AV4,ISERROR(INDEX(세부시간표!$A$3:$L$1183,9*AW4-2,11))),"",LEFT(INDEX(세부시간표!$A$3:$L$1183,9*AW4-2,11),4))</x:f>
        <x:v>1교육실</x:v>
      </x:c>
      <x:c r="AX29" s="65" t="str">
        <x:f>IF(OR(AX4&lt;0,AX4=AW4,ISERROR(INDEX(세부시간표!$A$3:$L$1183,9*AX4-2,11))),"",LEFT(INDEX(세부시간표!$A$3:$L$1183,9*AX4-2,11),4))</x:f>
        <x:v>1교육실</x:v>
      </x:c>
      <x:c r="AY29" s="65" t="str">
        <x:f>IF(OR(AY4&lt;0,AY4=AX4,ISERROR(INDEX(세부시간표!$A$3:$L$1183,9*AY4-2,11))),"",LEFT(INDEX(세부시간표!$A$3:$L$1183,9*AY4-2,11),4))</x:f>
        <x:v>1교육실</x:v>
      </x:c>
      <x:c r="AZ29" s="65" t="str">
        <x:f>IF(OR(AZ4&lt;0,AZ4=AY4,ISERROR(INDEX(세부시간표!$A$3:$L$1183,9*AZ4-2,11))),"",LEFT(INDEX(세부시간표!$A$3:$L$1183,9*AZ4-2,11),4))</x:f>
        <x:v>1교육실</x:v>
      </x:c>
      <x:c r="BA29" s="65" t="str">
        <x:f>IF(OR(BA4&lt;0,BA4=AZ4,ISERROR(INDEX(세부시간표!$A$3:$L$1183,9*BA4-2,11))),"",LEFT(INDEX(세부시간표!$A$3:$L$1183,9*BA4-2,11),4))</x:f>
        <x:v>1교육실</x:v>
      </x:c>
      <x:c r="BB29" s="65" t="str">
        <x:f>IF(OR(BB4&lt;0,BB4=BA4,ISERROR(INDEX(세부시간표!$A$3:$L$1183,9*BB4-2,11))),"",LEFT(INDEX(세부시간표!$A$3:$L$1183,9*BB4-2,11),4))</x:f>
        <x:v>1교육실</x:v>
      </x:c>
      <x:c r="BC29" s="65" t="str">
        <x:f>IF(OR(BC4&lt;0,BC4=BB4,ISERROR(INDEX(세부시간표!$A$3:$L$1183,9*BC4-2,11))),"",LEFT(INDEX(세부시간표!$A$3:$L$1183,9*BC4-2,11),4))</x:f>
        <x:v>1교육실</x:v>
      </x:c>
      <x:c r="BD29" s="65" t="str">
        <x:f>IF(OR(BD4&lt;0,BD4=BC4,ISERROR(INDEX(세부시간표!$A$3:$L$1183,9*BD4-2,11))),"",LEFT(INDEX(세부시간표!$A$3:$L$1183,9*BD4-2,11),4))</x:f>
        <x:v>1교육실</x:v>
      </x:c>
      <x:c r="BE29" s="65" t="str">
        <x:f>IF(OR(BE4&lt;0,BE4=BD4,ISERROR(INDEX(세부시간표!$A$3:$L$1183,9*BE4-2,11))),"",LEFT(INDEX(세부시간표!$A$3:$L$1183,9*BE4-2,11),4))</x:f>
        <x:v>1교육실</x:v>
      </x:c>
      <x:c r="BF29" s="65" t="str">
        <x:f>IF(OR(BF4&lt;0,BF4=BE4,ISERROR(INDEX(세부시간표!$A$3:$L$1183,9*BF4-2,11))),"",LEFT(INDEX(세부시간표!$A$3:$L$1183,9*BF4-2,11),4))</x:f>
        <x:v>1교육실</x:v>
      </x:c>
      <x:c r="BG29" s="65" t="str">
        <x:f>IF(OR(BG4&lt;0,BG4=BF4,ISERROR(INDEX(세부시간표!$A$3:$L$1183,9*BG4-2,11))),"",LEFT(INDEX(세부시간표!$A$3:$L$1183,9*BG4-2,11),4))</x:f>
        <x:v>1교육실</x:v>
      </x:c>
      <x:c r="BH29" s="65" t="str">
        <x:f>IF(OR(BH4&lt;0,BH4=BG4,ISERROR(INDEX(세부시간표!$A$3:$L$1183,9*BH4-2,11))),"",LEFT(INDEX(세부시간표!$A$3:$L$1183,9*BH4-2,11),4))</x:f>
        <x:v>1교육실</x:v>
      </x:c>
      <x:c r="BI29" s="65" t="str">
        <x:f>IF(OR(BI4&lt;0,BI4=BH4,ISERROR(INDEX(세부시간표!$A$3:$L$1183,9*BI4-2,11))),"",LEFT(INDEX(세부시간표!$A$3:$L$1183,9*BI4-2,11),4))</x:f>
        <x:v>1교육실</x:v>
      </x:c>
      <x:c r="BJ29" s="65" t="str">
        <x:f>IF(OR(BJ4&lt;0,BJ4=BI4,ISERROR(INDEX(세부시간표!$A$3:$L$1183,9*BJ4-2,11))),"",LEFT(INDEX(세부시간표!$A$3:$L$1183,9*BJ4-2,11),4))</x:f>
        <x:v>1교육실</x:v>
      </x:c>
      <x:c r="BK29" s="65" t="str">
        <x:f>IF(OR(BK4&lt;0,BK4=BJ4,ISERROR(INDEX(세부시간표!$A$3:$L$1183,9*BK4-2,11))),"",LEFT(INDEX(세부시간표!$A$3:$L$1183,9*BK4-2,11),4))</x:f>
        <x:v>1교육실</x:v>
      </x:c>
      <x:c r="BL29" s="65" t="str">
        <x:f>IF(OR(BL4&lt;0,BL4=BK4,ISERROR(INDEX(세부시간표!$A$3:$L$1183,9*BL4-2,11))),"",LEFT(INDEX(세부시간표!$A$3:$L$1183,9*BL4-2,11),4))</x:f>
        <x:v>1교육실</x:v>
      </x:c>
      <x:c r="BM29" s="65" t="str">
        <x:f>IF(OR(BM4&lt;0,BM4=BL4,ISERROR(INDEX(세부시간표!$A$3:$L$1183,9*BM4-2,11))),"",LEFT(INDEX(세부시간표!$A$3:$L$1183,9*BM4-2,11),4))</x:f>
        <x:v>1교육실</x:v>
      </x:c>
      <x:c r="BN29" s="65" t="str">
        <x:f>IF(OR(BN4&lt;0,BN4=BM4,ISERROR(INDEX(세부시간표!$A$3:$L$1183,9*BN4-2,11))),"",LEFT(INDEX(세부시간표!$A$3:$L$1183,9*BN4-2,11),4))</x:f>
        <x:v>1교육실</x:v>
      </x:c>
      <x:c r="BO29" s="65" t="str">
        <x:f>IF(OR(BO4&lt;0,BO4=BN4,ISERROR(INDEX(세부시간표!$A$3:$L$1183,9*BO4-2,11))),"",LEFT(INDEX(세부시간표!$A$3:$L$1183,9*BO4-2,11),4))</x:f>
        <x:v>1교육실</x:v>
      </x:c>
      <x:c r="BP29" s="65" t="str">
        <x:f>IF(OR(BP4&lt;0,BP4=BO4,ISERROR(INDEX(세부시간표!$A$3:$L$1183,9*BP4-2,11))),"",LEFT(INDEX(세부시간표!$A$3:$L$1183,9*BP4-2,11),4))</x:f>
        <x:v>1교육실</x:v>
      </x:c>
      <x:c r="BQ29" s="65" t="str">
        <x:f>IF(OR(BQ4&lt;0,BQ4=BP4,ISERROR(INDEX(세부시간표!$A$3:$L$1183,9*BQ4-2,11))),"",LEFT(INDEX(세부시간표!$A$3:$L$1183,9*BQ4-2,11),4))</x:f>
        <x:v>1교육실</x:v>
      </x:c>
      <x:c r="BR29" s="65" t="str">
        <x:f>IF(OR(BR4&lt;0,BR4=BQ4,ISERROR(INDEX(세부시간표!$A$3:$L$1183,9*BR4-2,11))),"",LEFT(INDEX(세부시간표!$A$3:$L$1183,9*BR4-2,11),4))</x:f>
        <x:v/>
      </x:c>
      <x:c r="BS29" s="65" t="str">
        <x:f>IF(OR(BS4&lt;0,BS4=BR4,ISERROR(INDEX(세부시간표!$A$3:$L$1183,9*BS4-2,11))),"",LEFT(INDEX(세부시간표!$A$3:$L$1183,9*BS4-2,11),4))</x:f>
        <x:v>1교육실</x:v>
      </x:c>
      <x:c r="BT29" s="65" t="str">
        <x:f>IF(OR(BT4&lt;0,BT4=BS4,ISERROR(INDEX(세부시간표!$A$3:$L$1183,9*BT4-2,11))),"",LEFT(INDEX(세부시간표!$A$3:$L$1183,9*BT4-2,11),4))</x:f>
        <x:v>1교육실</x:v>
      </x:c>
      <x:c r="BU29" s="65" t="str">
        <x:f>IF(OR(BU4&lt;0,BU4=BT4,ISERROR(INDEX(세부시간표!$A$3:$L$1183,9*BU4-2,11))),"",LEFT(INDEX(세부시간표!$A$3:$L$1183,9*BU4-2,11),4))</x:f>
        <x:v>1교육실</x:v>
      </x:c>
      <x:c r="BV29" s="65" t="str">
        <x:f>IF(OR(BV4&lt;0,BV4=BU4,ISERROR(INDEX(세부시간표!$A$3:$L$1183,9*BV4-2,11))),"",LEFT(INDEX(세부시간표!$A$3:$L$1183,9*BV4-2,11),4))</x:f>
        <x:v>1교육실</x:v>
      </x:c>
      <x:c r="BW29" s="65" t="str">
        <x:f>IF(OR(BW4&lt;0,BW4=BV4,ISERROR(INDEX(세부시간표!$A$3:$L$1183,9*BW4-2,11))),"",LEFT(INDEX(세부시간표!$A$3:$L$1183,9*BW4-2,11),4))</x:f>
        <x:v/>
      </x:c>
      <x:c r="BX29" s="65" t="str">
        <x:f>IF(OR(BX4&lt;0,BX4=BW4,ISERROR(INDEX(세부시간표!$A$3:$L$1183,9*BX4-2,11))),"",LEFT(INDEX(세부시간표!$A$3:$L$1183,9*BX4-2,11),4))</x:f>
        <x:v>1교육실</x:v>
      </x:c>
      <x:c r="BY29" s="65" t="str">
        <x:f>IF(OR(BY4&lt;0,BY4=BX4,ISERROR(INDEX(세부시간표!$A$3:$L$1183,9*BY4-2,11))),"",LEFT(INDEX(세부시간표!$A$3:$L$1183,9*BY4-2,11),4))</x:f>
        <x:v>1교육실</x:v>
      </x:c>
      <x:c r="BZ29" s="65" t="str">
        <x:f>IF(OR(BZ4&lt;0,BZ4=BY4,ISERROR(INDEX(세부시간표!$A$3:$L$1183,9*BZ4-2,11))),"",LEFT(INDEX(세부시간표!$A$3:$L$1183,9*BZ4-2,11),4))</x:f>
        <x:v>1교육실</x:v>
      </x:c>
      <x:c r="CA29" s="65" t="str">
        <x:f>IF(OR(CA4&lt;0,CA4=BZ4,ISERROR(INDEX(세부시간표!$A$3:$L$1183,9*CA4-2,11))),"",LEFT(INDEX(세부시간표!$A$3:$L$1183,9*CA4-2,11),4))</x:f>
        <x:v>1교육실</x:v>
      </x:c>
      <x:c r="CB29" s="65" t="str">
        <x:f>IF(OR(CB4&lt;0,CB4=CA4,ISERROR(INDEX(세부시간표!$A$3:$L$1183,9*CB4-2,11))),"",LEFT(INDEX(세부시간표!$A$3:$L$1183,9*CB4-2,11),4))</x:f>
        <x:v>1교육실</x:v>
      </x:c>
      <x:c r="CC29" s="65" t="str">
        <x:f>IF(OR(CC4&lt;0,CC4=CB4,ISERROR(INDEX(세부시간표!$A$3:$L$1183,9*CC4-2,11))),"",LEFT(INDEX(세부시간표!$A$3:$L$1183,9*CC4-2,11),4))</x:f>
        <x:v>1교육실</x:v>
      </x:c>
      <x:c r="CD29" s="65" t="str">
        <x:f>IF(OR(CD4&lt;0,CD4=CC4,ISERROR(INDEX(세부시간표!$A$3:$L$1183,9*CD4-2,11))),"",LEFT(INDEX(세부시간표!$A$3:$L$1183,9*CD4-2,11),4))</x:f>
        <x:v>1교육실</x:v>
      </x:c>
      <x:c r="CE29" s="65" t="str">
        <x:f>IF(OR(CE4&lt;0,CE4=CD4,ISERROR(INDEX(세부시간표!$A$3:$L$1183,9*CE4-2,11))),"",LEFT(INDEX(세부시간표!$A$3:$L$1183,9*CE4-2,11),4))</x:f>
        <x:v>1교육실</x:v>
      </x:c>
      <x:c r="CF29" s="65" t="str">
        <x:f>IF(OR(CF4&lt;0,CF4=CE4,ISERROR(INDEX(세부시간표!$A$3:$L$1183,9*CF4-2,11))),"",LEFT(INDEX(세부시간표!$A$3:$L$1183,9*CF4-2,11),4))</x:f>
        <x:v>1교육실</x:v>
      </x:c>
      <x:c r="CG29" s="65" t="str">
        <x:f>IF(OR(CG4&lt;0,CG4=CF4,ISERROR(INDEX(세부시간표!$A$3:$L$1183,9*CG4-2,11))),"",LEFT(INDEX(세부시간표!$A$3:$L$1183,9*CG4-2,11),4))</x:f>
        <x:v>1교육실</x:v>
      </x:c>
      <x:c r="CH29" s="65" t="str">
        <x:f>IF(OR(CH4&lt;0,CH4=CG4,ISERROR(INDEX(세부시간표!$A$3:$L$1183,9*CH4-2,11))),"",LEFT(INDEX(세부시간표!$A$3:$L$1183,9*CH4-2,11),4))</x:f>
        <x:v>1교육실</x:v>
      </x:c>
      <x:c r="CI29" s="65" t="str">
        <x:f>IF(OR(CI4&lt;0,CI4=CH4,ISERROR(INDEX(세부시간표!$A$3:$L$1183,9*CI4-2,11))),"",LEFT(INDEX(세부시간표!$A$3:$L$1183,9*CI4-2,11),4))</x:f>
        <x:v>1교육실</x:v>
      </x:c>
      <x:c r="CJ29" s="65" t="str">
        <x:f>IF(OR(CJ4&lt;0,CJ4=CI4,ISERROR(INDEX(세부시간표!$A$3:$L$1183,9*CJ4-2,11))),"",LEFT(INDEX(세부시간표!$A$3:$L$1183,9*CJ4-2,11),4))</x:f>
        <x:v>1교육실</x:v>
      </x:c>
      <x:c r="CK29" s="65" t="str">
        <x:f>IF(OR(CK4&lt;0,CK4=CJ4,ISERROR(INDEX(세부시간표!$A$3:$L$1183,9*CK4-2,11))),"",LEFT(INDEX(세부시간표!$A$3:$L$1183,9*CK4-2,11),4))</x:f>
        <x:v>1교육실</x:v>
      </x:c>
      <x:c r="CL29" s="65" t="str">
        <x:f>IF(OR(CL4&lt;0,CL4=CK4,ISERROR(INDEX(세부시간표!$A$3:$L$1183,9*CL4-2,11))),"",LEFT(INDEX(세부시간표!$A$3:$L$1183,9*CL4-2,11),4))</x:f>
        <x:v>1교육실</x:v>
      </x:c>
      <x:c r="CM29" s="65" t="str">
        <x:f>IF(OR(CM4&lt;0,CM4=CL4,ISERROR(INDEX(세부시간표!$A$3:$L$1183,9*CM4-2,11))),"",LEFT(INDEX(세부시간표!$A$3:$L$1183,9*CM4-2,11),4))</x:f>
        <x:v>1교육실</x:v>
      </x:c>
      <x:c r="CN29" s="65" t="str">
        <x:f>IF(OR(CN4&lt;0,CN4=CM4,ISERROR(INDEX(세부시간표!$A$3:$L$1183,9*CN4-2,11))),"",LEFT(INDEX(세부시간표!$A$3:$L$1183,9*CN4-2,11),4))</x:f>
        <x:v>1교육실</x:v>
      </x:c>
      <x:c r="CO29" s="65" t="str">
        <x:f>IF(OR(CO4&lt;0,CO4=CN4,ISERROR(INDEX(세부시간표!$A$3:$L$1183,9*CO4-2,11))),"",LEFT(INDEX(세부시간표!$A$3:$L$1183,9*CO4-2,11),4))</x:f>
        <x:v>1교육실</x:v>
      </x:c>
      <x:c r="CP29" s="65" t="str">
        <x:f>IF(OR(CP4&lt;0,CP4=CO4,ISERROR(INDEX(세부시간표!$A$3:$L$1183,9*CP4-2,11))),"",LEFT(INDEX(세부시간표!$A$3:$L$1183,9*CP4-2,11),4))</x:f>
        <x:v>1교육실</x:v>
      </x:c>
      <x:c r="CQ29" s="65" t="str">
        <x:f>IF(OR(CQ4&lt;0,CQ4=CP4,ISERROR(INDEX(세부시간표!$A$3:$L$1183,9*CQ4-2,11))),"",LEFT(INDEX(세부시간표!$A$3:$L$1183,9*CQ4-2,11),4))</x:f>
        <x:v>1교육실</x:v>
      </x:c>
      <x:c r="CR29" s="65" t="str">
        <x:f>IF(OR(CR4&lt;0,CR4=CQ4,ISERROR(INDEX(세부시간표!$A$3:$L$1183,9*CR4-2,11))),"",LEFT(INDEX(세부시간표!$A$3:$L$1183,9*CR4-2,11),4))</x:f>
        <x:v>1교육실</x:v>
      </x:c>
      <x:c r="CS29" s="65" t="str">
        <x:f>IF(OR(CS4&lt;0,CS4=CR4,ISERROR(INDEX(세부시간표!$A$3:$L$1183,9*CS4-2,11))),"",LEFT(INDEX(세부시간표!$A$3:$L$1183,9*CS4-2,11),4))</x:f>
        <x:v>1교육실</x:v>
      </x:c>
      <x:c r="CT29" s="65" t="str">
        <x:f>IF(OR(CT4&lt;0,CT4=CS4,ISERROR(INDEX(세부시간표!$A$3:$L$1183,9*CT4-2,11))),"",LEFT(INDEX(세부시간표!$A$3:$L$1183,9*CT4-2,11),4))</x:f>
        <x:v>1교육실</x:v>
      </x:c>
      <x:c r="CU29" s="65" t="str">
        <x:f>IF(OR(CU4&lt;0,CU4=CT4,ISERROR(INDEX(세부시간표!$A$3:$L$1183,9*CU4-2,11))),"",LEFT(INDEX(세부시간표!$A$3:$L$1183,9*CU4-2,11),4))</x:f>
        <x:v>1교육실</x:v>
      </x:c>
      <x:c r="CV29" s="65" t="str">
        <x:f>IF(OR(CV4&lt;0,CV4=CU4,ISERROR(INDEX(세부시간표!$A$3:$L$1183,9*CV4-2,11))),"",LEFT(INDEX(세부시간표!$A$3:$L$1183,9*CV4-2,11),4))</x:f>
        <x:v>1교육실</x:v>
      </x:c>
      <x:c r="CW29" s="65" t="str">
        <x:f>IF(OR(CW4&lt;0,CW4=CV4,ISERROR(INDEX(세부시간표!$A$3:$L$1183,9*CW4-2,11))),"",LEFT(INDEX(세부시간표!$A$3:$L$1183,9*CW4-2,11),4))</x:f>
        <x:v>1교육실</x:v>
      </x:c>
      <x:c r="CX29" s="65" t="str">
        <x:f>IF(OR(CX4&lt;0,CX4=CW4,ISERROR(INDEX(세부시간표!$A$3:$L$1183,9*CX4-2,11))),"",LEFT(INDEX(세부시간표!$A$3:$L$1183,9*CX4-2,11),4))</x:f>
        <x:v>1교육실</x:v>
      </x:c>
      <x:c r="CY29" s="65" t="str">
        <x:f>IF(OR(CY4&lt;0,CY4=CX4,ISERROR(INDEX(세부시간표!$A$3:$L$1183,9*CY4-2,11))),"",LEFT(INDEX(세부시간표!$A$3:$L$1183,9*CY4-2,11),4))</x:f>
        <x:v>1교육실</x:v>
      </x:c>
      <x:c r="CZ29" s="65" t="str">
        <x:f>IF(OR(CZ4&lt;0,CZ4=CY4,ISERROR(INDEX(세부시간표!$A$3:$L$1183,9*CZ4-2,11))),"",LEFT(INDEX(세부시간표!$A$3:$L$1183,9*CZ4-2,11),4))</x:f>
        <x:v>1교육실</x:v>
      </x:c>
      <x:c r="DA29" s="65" t="str">
        <x:f>IF(OR(DA4&lt;0,DA4=CZ4,ISERROR(INDEX(세부시간표!$A$3:$L$1183,9*DA4-2,11))),"",LEFT(INDEX(세부시간표!$A$3:$L$1183,9*DA4-2,11),4))</x:f>
        <x:v>1교육실</x:v>
      </x:c>
      <x:c r="DB29" s="65" t="str">
        <x:f>IF(OR(DB4&lt;0,DB4=DA4,ISERROR(INDEX(세부시간표!$A$3:$L$1183,9*DB4-2,11))),"",LEFT(INDEX(세부시간표!$A$3:$L$1183,9*DB4-2,11),4))</x:f>
        <x:v>1교육실</x:v>
      </x:c>
      <x:c r="DC29" s="65" t="str">
        <x:f>IF(OR(DC4&lt;0,DC4=DB4,ISERROR(INDEX(세부시간표!$A$3:$L$1183,9*DC4-2,11))),"",LEFT(INDEX(세부시간표!$A$3:$L$1183,9*DC4-2,11),4))</x:f>
        <x:v/>
      </x:c>
      <x:c r="DD29" s="65" t="str">
        <x:f>IF(OR(DD4&lt;0,DD4=DC4,ISERROR(INDEX(세부시간표!$A$3:$L$1183,9*DD4-2,11))),"",LEFT(INDEX(세부시간표!$A$3:$L$1183,9*DD4-2,11),4))</x:f>
        <x:v/>
      </x:c>
      <x:c r="DE29" s="65" t="str">
        <x:f>IF(OR(DE4&lt;0,DE4=DD4,ISERROR(INDEX(세부시간표!$A$3:$L$1183,9*DE4-2,11))),"",LEFT(INDEX(세부시간표!$A$3:$L$1183,9*DE4-2,11),4))</x:f>
        <x:v/>
      </x:c>
      <x:c r="DF29" s="65" t="str">
        <x:f>IF(OR(DF4&lt;0,DF4=DE4,ISERROR(INDEX(세부시간표!$A$3:$L$1183,9*DF4-2,11))),"",LEFT(INDEX(세부시간표!$A$3:$L$1183,9*DF4-2,11),4))</x:f>
        <x:v>1교육실</x:v>
      </x:c>
      <x:c r="DG29" s="65" t="str">
        <x:f>IF(OR(DG4&lt;0,DG4=DF4,ISERROR(INDEX(세부시간표!$A$3:$L$1183,9*DG4-2,11))),"",LEFT(INDEX(세부시간표!$A$3:$L$1183,9*DG4-2,11),4))</x:f>
        <x:v>1교육실</x:v>
      </x:c>
      <x:c r="DH29" s="65" t="str">
        <x:f>IF(OR(DH4&lt;0,DH4=DG4,ISERROR(INDEX(세부시간표!$A$3:$L$1183,9*DH4-2,11))),"",LEFT(INDEX(세부시간표!$A$3:$L$1183,9*DH4-2,11),4))</x:f>
        <x:v>1교육실</x:v>
      </x:c>
      <x:c r="DI29" s="65" t="str">
        <x:f>IF(OR(DI4&lt;0,DI4=DH4,ISERROR(INDEX(세부시간표!$A$3:$L$1183,9*DI4-2,11))),"",LEFT(INDEX(세부시간표!$A$3:$L$1183,9*DI4-2,11),4))</x:f>
        <x:v>1교육실</x:v>
      </x:c>
      <x:c r="DJ29" s="65" t="str">
        <x:f>IF(OR(DJ4&lt;0,DJ4=DI4,ISERROR(INDEX(세부시간표!$A$3:$L$1183,9*DJ4-2,11))),"",LEFT(INDEX(세부시간표!$A$3:$L$1183,9*DJ4-2,11),4))</x:f>
        <x:v>1교육실</x:v>
      </x:c>
      <x:c r="DK29" s="65" t="str">
        <x:f>IF(OR(DK4&lt;0,DK4=DJ4,ISERROR(INDEX(세부시간표!$A$3:$L$1183,9*DK4-2,11))),"",LEFT(INDEX(세부시간표!$A$3:$L$1183,9*DK4-2,11),4))</x:f>
        <x:v>1교육실</x:v>
      </x:c>
      <x:c r="DL29" s="65" t="str">
        <x:f>IF(OR(DL4&lt;0,DL4=DK4,ISERROR(INDEX(세부시간표!$A$3:$L$1183,9*DL4-2,11))),"",LEFT(INDEX(세부시간표!$A$3:$L$1183,9*DL4-2,11),4))</x:f>
        <x:v>1교육실</x:v>
      </x:c>
      <x:c r="DM29" s="65" t="str">
        <x:f>IF(OR(DM4&lt;0,DM4=DL4,ISERROR(INDEX(세부시간표!$A$3:$L$1183,9*DM4-2,11))),"",LEFT(INDEX(세부시간표!$A$3:$L$1183,9*DM4-2,11),4))</x:f>
        <x:v/>
      </x:c>
      <x:c r="DN29" s="65" t="str">
        <x:f>IF(OR(DN4&lt;0,DN4=DM4,ISERROR(INDEX(세부시간표!$A$3:$L$1183,9*DN4-2,11))),"",LEFT(INDEX(세부시간표!$A$3:$L$1183,9*DN4-2,11),4))</x:f>
        <x:v>1교육실</x:v>
      </x:c>
      <x:c r="DO29" s="65" t="str">
        <x:f>IF(OR(DO4&lt;0,DO4=DN4,ISERROR(INDEX(세부시간표!$A$3:$L$1183,9*DO4-2,11))),"",LEFT(INDEX(세부시간표!$A$3:$L$1183,9*DO4-2,11),4))</x:f>
        <x:v>1교육실</x:v>
      </x:c>
      <x:c r="DP29" s="65" t="str">
        <x:f>IF(OR(DP4&lt;0,DP4=DO4,ISERROR(INDEX(세부시간표!$A$3:$L$1183,9*DP4-2,11))),"",LEFT(INDEX(세부시간표!$A$3:$L$1183,9*DP4-2,11),4))</x:f>
        <x:v>1교육실</x:v>
      </x:c>
      <x:c r="DQ29" s="65" t="str">
        <x:f>IF(OR(DQ4&lt;0,DQ4=DP4,ISERROR(INDEX(세부시간표!$A$3:$L$1183,9*DQ4-2,11))),"",LEFT(INDEX(세부시간표!$A$3:$L$1183,9*DQ4-2,11),4))</x:f>
        <x:v>1교육실</x:v>
      </x:c>
      <x:c r="DR29" s="65" t="str">
        <x:f>IF(OR(DR4&lt;0,DR4=DQ4,ISERROR(INDEX(세부시간표!$A$3:$L$1183,9*DR4-2,11))),"",LEFT(INDEX(세부시간표!$A$3:$L$1183,9*DR4-2,11),4))</x:f>
        <x:v>1교육실</x:v>
      </x:c>
      <x:c r="DS29" s="65" t="str">
        <x:f>IF(OR(DS4&lt;0,DS4=DR4,ISERROR(INDEX(세부시간표!$A$3:$L$1183,9*DS4-2,11))),"",LEFT(INDEX(세부시간표!$A$3:$L$1183,9*DS4-2,11),4))</x:f>
        <x:v>1교육실</x:v>
      </x:c>
      <x:c r="DT29" s="65" t="str">
        <x:f>IF(OR(DT4&lt;0,DT4=DS4,ISERROR(INDEX(세부시간표!$A$3:$L$1183,9*DT4-2,11))),"",LEFT(INDEX(세부시간표!$A$3:$L$1183,9*DT4-2,11),4))</x:f>
        <x:v>1교육실</x:v>
      </x:c>
      <x:c r="DU29" s="65" t="str">
        <x:f>IF(OR(DU4&lt;0,DU4=DT4,ISERROR(INDEX(세부시간표!$A$3:$L$1183,9*DU4-2,11))),"",LEFT(INDEX(세부시간표!$A$3:$L$1183,9*DU4-2,11),4))</x:f>
        <x:v>1교육실</x:v>
      </x:c>
      <x:c r="DV29" s="65" t="str">
        <x:f>IF(OR(DV4&lt;0,DV4=DU4,ISERROR(INDEX(세부시간표!$A$3:$L$1183,9*DV4-2,11))),"",LEFT(INDEX(세부시간표!$A$3:$L$1183,9*DV4-2,11),4))</x:f>
        <x:v>1교육실</x:v>
      </x:c>
      <x:c r="DW29" s="65" t="str">
        <x:f>IF(OR(DW4&lt;0,DW4=DV4,ISERROR(INDEX(세부시간표!$A$3:$L$1183,9*DW4-2,11))),"",LEFT(INDEX(세부시간표!$A$3:$L$1183,9*DW4-2,11),4))</x:f>
        <x:v>1교육실</x:v>
      </x:c>
      <x:c r="DX29" s="65" t="str">
        <x:f>IF(OR(DX4&lt;0,DX4=DW4,ISERROR(INDEX(세부시간표!$A$3:$L$1183,9*DX4-2,11))),"",LEFT(INDEX(세부시간표!$A$3:$L$1183,9*DX4-2,11),4))</x:f>
        <x:v>1교육실</x:v>
      </x:c>
      <x:c r="DY29" s="65" t="str">
        <x:f>IF(OR(DY4&lt;0,DY4=DX4,ISERROR(INDEX(세부시간표!$A$3:$L$1183,9*DY4-2,11))),"",LEFT(INDEX(세부시간표!$A$3:$L$1183,9*DY4-2,11),4))</x:f>
        <x:v>1교육실</x:v>
      </x:c>
      <x:c r="DZ29" s="65" t="str">
        <x:f>IF(OR(DZ4&lt;0,DZ4=DY4,ISERROR(INDEX(세부시간표!$A$3:$L$1183,9*DZ4-2,11))),"",LEFT(INDEX(세부시간표!$A$3:$L$1183,9*DZ4-2,11),4))</x:f>
        <x:v>1교육실</x:v>
      </x:c>
      <x:c r="EA29" s="65" t="str">
        <x:f>IF(OR(EA4&lt;0,EA4=DZ4,ISERROR(INDEX(세부시간표!$A$3:$L$1183,9*EA4-2,11))),"",LEFT(INDEX(세부시간표!$A$3:$L$1183,9*EA4-2,11),4))</x:f>
        <x:v>1교육실</x:v>
      </x:c>
      <x:c r="EB29" s="65" t="str">
        <x:f>IF(OR(EB4&lt;0,EB4=EA4,ISERROR(INDEX(세부시간표!$A$3:$L$1183,9*EB4-2,11))),"",LEFT(INDEX(세부시간표!$A$3:$L$1183,9*EB4-2,11),4))</x:f>
        <x:v>1교육실</x:v>
      </x:c>
      <x:c r="EC29" s="65" t="str">
        <x:f>IF(OR(EC4&lt;0,EC4=EB4,ISERROR(INDEX(세부시간표!$A$3:$L$1183,9*EC4-2,11))),"",LEFT(INDEX(세부시간표!$A$3:$L$1183,9*EC4-2,11),4))</x:f>
        <x:v>1교육실</x:v>
      </x:c>
      <x:c r="ED29" s="65" t="str">
        <x:f>IF(OR(ED4&lt;0,ED4=EC4,ISERROR(INDEX(세부시간표!$A$3:$L$1183,9*ED4-2,11))),"",LEFT(INDEX(세부시간표!$A$3:$L$1183,9*ED4-2,11),4))</x:f>
        <x:v>1교육실</x:v>
      </x:c>
      <x:c r="EE29" s="65" t="str">
        <x:f>IF(OR(EE4&lt;0,EE4=ED4,ISERROR(INDEX(세부시간표!$A$3:$L$1183,9*EE4-2,11))),"",LEFT(INDEX(세부시간표!$A$3:$L$1183,9*EE4-2,11),4))</x:f>
        <x:v/>
      </x:c>
      <x:c r="EF29" s="65" t="str">
        <x:f>IF(OR(EF4&lt;0,EF4=EE4,ISERROR(INDEX(세부시간표!$A$3:$L$1183,9*EF4-2,11))),"",LEFT(INDEX(세부시간표!$A$3:$L$1183,9*EF4-2,11),4))</x:f>
        <x:v/>
      </x:c>
      <x:c r="EG29" s="65" t="str">
        <x:f>IF(OR(EG4&lt;0,EG4=EF4,ISERROR(INDEX(세부시간표!$A$3:$L$1183,9*EG4-2,11))),"",LEFT(INDEX(세부시간표!$A$3:$L$1183,9*EG4-2,11),4))</x:f>
        <x:v/>
      </x:c>
      <x:c r="EH29" s="65" t="str">
        <x:f>IF(OR(EH4&lt;0,EH4=EG4,ISERROR(INDEX(세부시간표!$A$3:$L$1183,9*EH4-2,11))),"",LEFT(INDEX(세부시간표!$A$3:$L$1183,9*EH4-2,11),4))</x:f>
        <x:v/>
      </x:c>
      <x:c r="EI29" s="65" t="str">
        <x:f>IF(OR(EI4&lt;0,EI4=EH4,ISERROR(INDEX(세부시간표!$A$3:$L$1183,9*EI4-2,11))),"",LEFT(INDEX(세부시간표!$A$3:$L$1183,9*EI4-2,11),4))</x:f>
        <x:v/>
      </x:c>
      <x:c r="EJ29" s="65" t="str">
        <x:f>IF(OR(EJ4&lt;0,EJ4=EI4,ISERROR(INDEX(세부시간표!$A$3:$L$1183,9*EJ4-2,11))),"",LEFT(INDEX(세부시간표!$A$3:$L$1183,9*EJ4-2,11),4))</x:f>
        <x:v/>
      </x:c>
      <x:c r="EK29" s="65" t="str">
        <x:f>IF(OR(EK4&lt;0,EK4=EJ4,ISERROR(INDEX(세부시간표!$A$3:$L$1183,9*EK4-2,11))),"",LEFT(INDEX(세부시간표!$A$3:$L$1183,9*EK4-2,11),4))</x:f>
        <x:v/>
      </x:c>
      <x:c r="EL29" s="49" t="str">
        <x:f>IF(OR(EL4&lt;0,EL4=EK4,ISERROR(INDEX(세부시간표!$A$3:$L$1183,9*EL4-2,11))),"",INDEX(세부시간표!$A$3:$L$1183,9*EL4-2,11))</x:f>
        <x:v/>
      </x:c>
      <x:c r="EM29" s="48" t="str">
        <x:f>IF(OR(EM4&lt;0,EM4=EL4,ISERROR(INDEX(세부시간표!$A$3:$L$1183,9*EM4-2,11))),"",INDEX(세부시간표!$A$3:$L$1183,9*EM4-2,11))</x:f>
        <x:v/>
      </x:c>
      <x:c r="EN29" s="48" t="str">
        <x:f>IF(OR(EN4&lt;0,EN4=EM4,ISERROR(INDEX(세부시간표!$A$3:$L$1183,9*EN4-2,11))),"",INDEX(세부시간표!$A$3:$L$1183,9*EN4-2,11))</x:f>
        <x:v/>
      </x:c>
      <x:c r="EO29" s="48" t="str">
        <x:f>IF(OR(EO4&lt;0,EO4=EN4,ISERROR(INDEX(세부시간표!$A$3:$L$1183,9*EO4-2,11))),"",INDEX(세부시간표!$A$3:$L$1183,9*EO4-2,11))</x:f>
        <x:v/>
      </x:c>
      <x:c r="EP29" s="50" t="str">
        <x:f>IF(OR(EP4&lt;0,EP4=EO4,ISERROR(INDEX(세부시간표!$A$3:$L$1183,9*EP4-2,11))),"",INDEX(세부시간표!$A$3:$L$1183,9*EP4-2,11))</x:f>
        <x:v/>
      </x:c>
    </x:row>
    <x:row r="30" spans="1:146" s="47" customFormat="1" ht="15" customHeight="1">
      <x:c r="A30" s="279"/>
      <x:c r="B30" s="77" t="str">
        <x:f>IF(OR(B4&lt;0,B4=A4,ISERROR(INDEX(세부시간표!$A$3:$L$1183,9*B4-2,12))),"",INDEX(세부시간표!$A$3:$L$1183,9*B4-2,12))</x:f>
        <x:v>양현수</x:v>
      </x:c>
      <x:c r="C30" s="77" t="str">
        <x:f>IF(OR(C4&lt;0,C4=B4,ISERROR(INDEX(세부시간표!$A$3:$L$1183,9*C4-2,12))),"",INDEX(세부시간표!$A$3:$L$1183,9*C4-2,12))</x:f>
        <x:v>양현수</x:v>
      </x:c>
      <x:c r="D30" s="77" t="str">
        <x:f>IF(OR(D4&lt;0,D4=C4,ISERROR(INDEX(세부시간표!$A$3:$L$1183,9*D4-2,12))),"",INDEX(세부시간표!$A$3:$L$1183,9*D4-2,12))</x:f>
        <x:v>양현수</x:v>
      </x:c>
      <x:c r="E30" s="77" t="str">
        <x:f>IF(OR(E4&lt;0,E4=D4,ISERROR(INDEX(세부시간표!$A$3:$L$1183,9*E4-2,12))),"",INDEX(세부시간표!$A$3:$L$1183,9*E4-2,12))</x:f>
        <x:v>양현수</x:v>
      </x:c>
      <x:c r="F30" s="77" t="str">
        <x:f>IF(OR(F4&lt;0,F4=E4,ISERROR(INDEX(세부시간표!$A$3:$L$1183,9*F4-2,12))),"",INDEX(세부시간표!$A$3:$L$1183,9*F4-2,12))</x:f>
        <x:v>양현수</x:v>
      </x:c>
      <x:c r="G30" s="77" t="str">
        <x:f>IF(OR(G4&lt;0,G4=F4,ISERROR(INDEX(세부시간표!$A$3:$L$1183,9*G4-2,12))),"",INDEX(세부시간표!$A$3:$L$1183,9*G4-2,12))</x:f>
        <x:v>양현수</x:v>
      </x:c>
      <x:c r="H30" s="77" t="str">
        <x:f>IF(OR(H4&lt;0,H4=G4,ISERROR(INDEX(세부시간표!$A$3:$L$1183,9*H4-2,12))),"",INDEX(세부시간표!$A$3:$L$1183,9*H4-2,12))</x:f>
        <x:v>양현수</x:v>
      </x:c>
      <x:c r="I30" s="77" t="str">
        <x:f>IF(OR(I4&lt;0,I4=H4,ISERROR(INDEX(세부시간표!$A$3:$L$1183,9*I4-2,12))),"",INDEX(세부시간표!$A$3:$L$1183,9*I4-2,12))</x:f>
        <x:v>양현수</x:v>
      </x:c>
      <x:c r="J30" s="77" t="str">
        <x:f>IF(OR(J4&lt;0,J4=I4,ISERROR(INDEX(세부시간표!$A$3:$L$1183,9*J4-2,12))),"",INDEX(세부시간표!$A$3:$L$1183,9*J4-2,12))</x:f>
        <x:v>양현수</x:v>
      </x:c>
      <x:c r="K30" s="77" t="str">
        <x:f>IF(OR(K4&lt;0,K4=J4,ISERROR(INDEX(세부시간표!$A$3:$L$1183,9*K4-2,12))),"",INDEX(세부시간표!$A$3:$L$1183,9*K4-2,12))</x:f>
        <x:v/>
      </x:c>
      <x:c r="L30" s="77" t="str">
        <x:f>IF(OR(L4&lt;0,L4=K4,ISERROR(INDEX(세부시간표!$A$3:$L$1183,9*L4-2,12))),"",INDEX(세부시간표!$A$3:$L$1183,9*L4-2,12))</x:f>
        <x:v/>
      </x:c>
      <x:c r="M30" s="77" t="str">
        <x:f>IF(OR(M4&lt;0,M4=L4,ISERROR(INDEX(세부시간표!$A$3:$L$1183,9*M4-2,12))),"",INDEX(세부시간표!$A$3:$L$1183,9*M4-2,12))</x:f>
        <x:v/>
      </x:c>
      <x:c r="N30" s="77" t="str">
        <x:f>IF(OR(N4&lt;0,N4=M4,ISERROR(INDEX(세부시간표!$A$3:$L$1183,9*N4-2,12))),"",INDEX(세부시간표!$A$3:$L$1183,9*N4-2,12))</x:f>
        <x:v/>
      </x:c>
      <x:c r="O30" s="77" t="str">
        <x:f>IF(OR(O4&lt;0,O4=N4,ISERROR(INDEX(세부시간표!$A$3:$L$1183,9*O4-2,12))),"",INDEX(세부시간표!$A$3:$L$1183,9*O4-2,12))</x:f>
        <x:v/>
      </x:c>
      <x:c r="P30" s="77" t="str">
        <x:f>IF(OR(P4&lt;0,P4=O4,ISERROR(INDEX(세부시간표!$A$3:$L$1183,9*P4-2,12))),"",INDEX(세부시간표!$A$3:$L$1183,9*P4-2,12))</x:f>
        <x:v>양현수</x:v>
      </x:c>
      <x:c r="Q30" s="77" t="str">
        <x:f>IF(OR(Q4&lt;0,Q4=P4,ISERROR(INDEX(세부시간표!$A$3:$L$1183,9*Q4-2,12))),"",INDEX(세부시간표!$A$3:$L$1183,9*Q4-2,12))</x:f>
        <x:v>양현수</x:v>
      </x:c>
      <x:c r="R30" s="77" t="str">
        <x:f>IF(OR(R4&lt;0,R4=Q4,ISERROR(INDEX(세부시간표!$A$3:$L$1183,9*R4-2,12))),"",INDEX(세부시간표!$A$3:$L$1183,9*R4-2,12))</x:f>
        <x:v>양현수</x:v>
      </x:c>
      <x:c r="S30" s="77" t="str">
        <x:f>IF(OR(S4&lt;0,S4=R4,ISERROR(INDEX(세부시간표!$A$3:$L$1183,9*S4-2,12))),"",INDEX(세부시간표!$A$3:$L$1183,9*S4-2,12))</x:f>
        <x:v>양현수</x:v>
      </x:c>
      <x:c r="T30" s="77" t="str">
        <x:f>IF(OR(T4&lt;0,T4=S4,ISERROR(INDEX(세부시간표!$A$3:$L$1183,9*T4-2,12))),"",INDEX(세부시간표!$A$3:$L$1183,9*T4-2,12))</x:f>
        <x:v>양현수</x:v>
      </x:c>
      <x:c r="U30" s="77" t="str">
        <x:f>IF(OR(U4&lt;0,U4=T4,ISERROR(INDEX(세부시간표!$A$3:$L$1183,9*U4-2,12))),"",INDEX(세부시간표!$A$3:$L$1183,9*U4-2,12))</x:f>
        <x:v>양현수</x:v>
      </x:c>
      <x:c r="V30" s="77" t="str">
        <x:f>IF(OR(V4&lt;0,V4=U4,ISERROR(INDEX(세부시간표!$A$3:$L$1183,9*V4-2,12))),"",INDEX(세부시간표!$A$3:$L$1183,9*V4-2,12))</x:f>
        <x:v>양현수</x:v>
      </x:c>
      <x:c r="W30" s="77" t="str">
        <x:f>IF(OR(W4&lt;0,W4=V4,ISERROR(INDEX(세부시간표!$A$3:$L$1183,9*W4-2,12))),"",INDEX(세부시간표!$A$3:$L$1183,9*W4-2,12))</x:f>
        <x:v>양현수</x:v>
      </x:c>
      <x:c r="X30" s="77" t="str">
        <x:f>IF(OR(X4&lt;0,X4=W4,ISERROR(INDEX(세부시간표!$A$3:$L$1183,9*X4-2,12))),"",INDEX(세부시간표!$A$3:$L$1183,9*X4-2,12))</x:f>
        <x:v>양현수</x:v>
      </x:c>
      <x:c r="Y30" s="77" t="str">
        <x:f>IF(OR(Y4&lt;0,Y4=X4,ISERROR(INDEX(세부시간표!$A$3:$L$1183,9*Y4-2,12))),"",INDEX(세부시간표!$A$3:$L$1183,9*Y4-2,12))</x:f>
        <x:v>양현수</x:v>
      </x:c>
      <x:c r="Z30" s="77" t="str">
        <x:f>IF(OR(Z4&lt;0,Z4=Y4,ISERROR(INDEX(세부시간표!$A$3:$L$1183,9*Z4-2,12))),"",INDEX(세부시간표!$A$3:$L$1183,9*Z4-2,12))</x:f>
        <x:v>양현수</x:v>
      </x:c>
      <x:c r="AA30" s="77" t="str">
        <x:f>IF(OR(AA4&lt;0,AA4=Z4,ISERROR(INDEX(세부시간표!$A$3:$L$1183,9*AA4-2,12))),"",INDEX(세부시간표!$A$3:$L$1183,9*AA4-2,12))</x:f>
        <x:v>양현수</x:v>
      </x:c>
      <x:c r="AB30" s="77" t="str">
        <x:f>IF(OR(AB4&lt;0,AB4=AA4,ISERROR(INDEX(세부시간표!$A$3:$L$1183,9*AB4-2,12))),"",INDEX(세부시간표!$A$3:$L$1183,9*AB4-2,12))</x:f>
        <x:v>양현수</x:v>
      </x:c>
      <x:c r="AC30" s="77" t="str">
        <x:f>IF(OR(AC4&lt;0,AC4=AB4,ISERROR(INDEX(세부시간표!$A$3:$L$1183,9*AC4-2,12))),"",INDEX(세부시간표!$A$3:$L$1183,9*AC4-2,12))</x:f>
        <x:v>양현수</x:v>
      </x:c>
      <x:c r="AD30" s="77" t="str">
        <x:f>IF(OR(AD4&lt;0,AD4=AC4,ISERROR(INDEX(세부시간표!$A$3:$L$1183,9*AD4-2,12))),"",INDEX(세부시간표!$A$3:$L$1183,9*AD4-2,12))</x:f>
        <x:v>양현수</x:v>
      </x:c>
      <x:c r="AE30" s="77" t="str">
        <x:f>IF(OR(AE4&lt;0,AE4=AD4,ISERROR(INDEX(세부시간표!$A$3:$L$1183,9*AE4-2,12))),"",INDEX(세부시간표!$A$3:$L$1183,9*AE4-2,12))</x:f>
        <x:v>양현수</x:v>
      </x:c>
      <x:c r="AF30" s="77" t="str">
        <x:f>IF(OR(AF4&lt;0,AF4=AE4,ISERROR(INDEX(세부시간표!$A$3:$L$1183,9*AF4-2,12))),"",INDEX(세부시간표!$A$3:$L$1183,9*AF4-2,12))</x:f>
        <x:v>양현수</x:v>
      </x:c>
      <x:c r="AG30" s="77" t="str">
        <x:f>IF(OR(AG4&lt;0,AG4=AF4,ISERROR(INDEX(세부시간표!$A$3:$L$1183,9*AG4-2,12))),"",INDEX(세부시간표!$A$3:$L$1183,9*AG4-2,12))</x:f>
        <x:v>양현수</x:v>
      </x:c>
      <x:c r="AH30" s="77" t="str">
        <x:f>IF(OR(AH4&lt;0,AH4=AG4,ISERROR(INDEX(세부시간표!$A$3:$L$1183,9*AH4-2,12))),"",INDEX(세부시간표!$A$3:$L$1183,9*AH4-2,12))</x:f>
        <x:v>양현수</x:v>
      </x:c>
      <x:c r="AI30" s="77" t="str">
        <x:f>IF(OR(AI4&lt;0,AI4=AH4,ISERROR(INDEX(세부시간표!$A$3:$L$1183,9*AI4-2,12))),"",INDEX(세부시간표!$A$3:$L$1183,9*AI4-2,12))</x:f>
        <x:v>양현수</x:v>
      </x:c>
      <x:c r="AJ30" s="77" t="str">
        <x:f>IF(OR(AJ4&lt;0,AJ4=AI4,ISERROR(INDEX(세부시간표!$A$3:$L$1183,9*AJ4-2,12))),"",INDEX(세부시간표!$A$3:$L$1183,9*AJ4-2,12))</x:f>
        <x:v>양현수</x:v>
      </x:c>
      <x:c r="AK30" s="77" t="str">
        <x:f>IF(OR(AK4&lt;0,AK4=AJ4,ISERROR(INDEX(세부시간표!$A$3:$L$1183,9*AK4-2,12))),"",INDEX(세부시간표!$A$3:$L$1183,9*AK4-2,12))</x:f>
        <x:v>양현수</x:v>
      </x:c>
      <x:c r="AL30" s="77" t="str">
        <x:f>IF(OR(AL4&lt;0,AL4=AK4,ISERROR(INDEX(세부시간표!$A$3:$L$1183,9*AL4-2,12))),"",INDEX(세부시간표!$A$3:$L$1183,9*AL4-2,12))</x:f>
        <x:v>양현수</x:v>
      </x:c>
      <x:c r="AM30" s="77" t="str">
        <x:f>IF(OR(AM4&lt;0,AM4=AL4,ISERROR(INDEX(세부시간표!$A$3:$L$1183,9*AM4-2,12))),"",INDEX(세부시간표!$A$3:$L$1183,9*AM4-2,12))</x:f>
        <x:v>양현수</x:v>
      </x:c>
      <x:c r="AN30" s="77" t="str">
        <x:f>IF(OR(AN4&lt;0,AN4=AM4,ISERROR(INDEX(세부시간표!$A$3:$L$1183,9*AN4-2,12))),"",INDEX(세부시간표!$A$3:$L$1183,9*AN4-2,12))</x:f>
        <x:v>양현수</x:v>
      </x:c>
      <x:c r="AO30" s="77" t="str">
        <x:f>IF(OR(AO4&lt;0,AO4=AN4,ISERROR(INDEX(세부시간표!$A$3:$L$1183,9*AO4-2,12))),"",INDEX(세부시간표!$A$3:$L$1183,9*AO4-2,12))</x:f>
        <x:v>양현수</x:v>
      </x:c>
      <x:c r="AP30" s="77" t="str">
        <x:f>IF(OR(AP4&lt;0,AP4=AO4,ISERROR(INDEX(세부시간표!$A$3:$L$1183,9*AP4-2,12))),"",INDEX(세부시간표!$A$3:$L$1183,9*AP4-2,12))</x:f>
        <x:v>양현수</x:v>
      </x:c>
      <x:c r="AQ30" s="77" t="str">
        <x:f>IF(OR(AQ4&lt;0,AQ4=AP4,ISERROR(INDEX(세부시간표!$A$3:$L$1183,9*AQ4-2,12))),"",INDEX(세부시간표!$A$3:$L$1183,9*AQ4-2,12))</x:f>
        <x:v>양현수</x:v>
      </x:c>
      <x:c r="AR30" s="77" t="str">
        <x:f>IF(OR(AR4&lt;0,AR4=AQ4,ISERROR(INDEX(세부시간표!$A$3:$L$1183,9*AR4-2,12))),"",INDEX(세부시간표!$A$3:$L$1183,9*AR4-2,12))</x:f>
        <x:v>양현수</x:v>
      </x:c>
      <x:c r="AS30" s="77" t="str">
        <x:f>IF(OR(AS4&lt;0,AS4=AR4,ISERROR(INDEX(세부시간표!$A$3:$L$1183,9*AS4-2,12))),"",INDEX(세부시간표!$A$3:$L$1183,9*AS4-2,12))</x:f>
        <x:v>양현수</x:v>
      </x:c>
      <x:c r="AT30" s="77" t="str">
        <x:f>IF(OR(AT4&lt;0,AT4=AS4,ISERROR(INDEX(세부시간표!$A$3:$L$1183,9*AT4-2,12))),"",INDEX(세부시간표!$A$3:$L$1183,9*AT4-2,12))</x:f>
        <x:v>양현수</x:v>
      </x:c>
      <x:c r="AU30" s="77" t="str">
        <x:f>IF(OR(AU4&lt;0,AU4=AT4,ISERROR(INDEX(세부시간표!$A$3:$L$1183,9*AU4-2,12))),"",INDEX(세부시간표!$A$3:$L$1183,9*AU4-2,12))</x:f>
        <x:v>양현수</x:v>
      </x:c>
      <x:c r="AV30" s="77" t="str">
        <x:f>IF(OR(AV4&lt;0,AV4=AU4,ISERROR(INDEX(세부시간표!$A$3:$L$1183,9*AV4-2,12))),"",INDEX(세부시간표!$A$3:$L$1183,9*AV4-2,12))</x:f>
        <x:v>양현수</x:v>
      </x:c>
      <x:c r="AW30" s="77" t="str">
        <x:f>IF(OR(AW4&lt;0,AW4=AV4,ISERROR(INDEX(세부시간표!$A$3:$L$1183,9*AW4-2,12))),"",INDEX(세부시간표!$A$3:$L$1183,9*AW4-2,12))</x:f>
        <x:v>양현수</x:v>
      </x:c>
      <x:c r="AX30" s="77" t="str">
        <x:f>IF(OR(AX4&lt;0,AX4=AW4,ISERROR(INDEX(세부시간표!$A$3:$L$1183,9*AX4-2,12))),"",INDEX(세부시간표!$A$3:$L$1183,9*AX4-2,12))</x:f>
        <x:v>양현수</x:v>
      </x:c>
      <x:c r="AY30" s="77" t="str">
        <x:f>IF(OR(AY4&lt;0,AY4=AX4,ISERROR(INDEX(세부시간표!$A$3:$L$1183,9*AY4-2,12))),"",INDEX(세부시간표!$A$3:$L$1183,9*AY4-2,12))</x:f>
        <x:v>양현수</x:v>
      </x:c>
      <x:c r="AZ30" s="77" t="str">
        <x:f>IF(OR(AZ4&lt;0,AZ4=AY4,ISERROR(INDEX(세부시간표!$A$3:$L$1183,9*AZ4-2,12))),"",INDEX(세부시간표!$A$3:$L$1183,9*AZ4-2,12))</x:f>
        <x:v>양현수</x:v>
      </x:c>
      <x:c r="BA30" s="77" t="str">
        <x:f>IF(OR(BA4&lt;0,BA4=AZ4,ISERROR(INDEX(세부시간표!$A$3:$L$1183,9*BA4-2,12))),"",INDEX(세부시간표!$A$3:$L$1183,9*BA4-2,12))</x:f>
        <x:v>양현수</x:v>
      </x:c>
      <x:c r="BB30" s="77" t="str">
        <x:f>IF(OR(BB4&lt;0,BB4=BA4,ISERROR(INDEX(세부시간표!$A$3:$L$1183,9*BB4-2,12))),"",INDEX(세부시간표!$A$3:$L$1183,9*BB4-2,12))</x:f>
        <x:v>양현수</x:v>
      </x:c>
      <x:c r="BC30" s="77" t="str">
        <x:f>IF(OR(BC4&lt;0,BC4=BB4,ISERROR(INDEX(세부시간표!$A$3:$L$1183,9*BC4-2,12))),"",INDEX(세부시간표!$A$3:$L$1183,9*BC4-2,12))</x:f>
        <x:v>양현수</x:v>
      </x:c>
      <x:c r="BD30" s="77" t="str">
        <x:f>IF(OR(BD4&lt;0,BD4=BC4,ISERROR(INDEX(세부시간표!$A$3:$L$1183,9*BD4-2,12))),"",INDEX(세부시간표!$A$3:$L$1183,9*BD4-2,12))</x:f>
        <x:v>양현수</x:v>
      </x:c>
      <x:c r="BE30" s="77" t="str">
        <x:f>IF(OR(BE4&lt;0,BE4=BD4,ISERROR(INDEX(세부시간표!$A$3:$L$1183,9*BE4-2,12))),"",INDEX(세부시간표!$A$3:$L$1183,9*BE4-2,12))</x:f>
        <x:v>양현수</x:v>
      </x:c>
      <x:c r="BF30" s="77" t="str">
        <x:f>IF(OR(BF4&lt;0,BF4=BE4,ISERROR(INDEX(세부시간표!$A$3:$L$1183,9*BF4-2,12))),"",INDEX(세부시간표!$A$3:$L$1183,9*BF4-2,12))</x:f>
        <x:v>양현수</x:v>
      </x:c>
      <x:c r="BG30" s="77" t="str">
        <x:f>IF(OR(BG4&lt;0,BG4=BF4,ISERROR(INDEX(세부시간표!$A$3:$L$1183,9*BG4-2,12))),"",INDEX(세부시간표!$A$3:$L$1183,9*BG4-2,12))</x:f>
        <x:v>양현수</x:v>
      </x:c>
      <x:c r="BH30" s="77" t="str">
        <x:f>IF(OR(BH4&lt;0,BH4=BG4,ISERROR(INDEX(세부시간표!$A$3:$L$1183,9*BH4-2,12))),"",INDEX(세부시간표!$A$3:$L$1183,9*BH4-2,12))</x:f>
        <x:v>양현수</x:v>
      </x:c>
      <x:c r="BI30" s="77" t="str">
        <x:f>IF(OR(BI4&lt;0,BI4=BH4,ISERROR(INDEX(세부시간표!$A$3:$L$1183,9*BI4-2,12))),"",INDEX(세부시간표!$A$3:$L$1183,9*BI4-2,12))</x:f>
        <x:v>양현수</x:v>
      </x:c>
      <x:c r="BJ30" s="77" t="str">
        <x:f>IF(OR(BJ4&lt;0,BJ4=BI4,ISERROR(INDEX(세부시간표!$A$3:$L$1183,9*BJ4-2,12))),"",INDEX(세부시간표!$A$3:$L$1183,9*BJ4-2,12))</x:f>
        <x:v>양현수</x:v>
      </x:c>
      <x:c r="BK30" s="77" t="str">
        <x:f>IF(OR(BK4&lt;0,BK4=BJ4,ISERROR(INDEX(세부시간표!$A$3:$L$1183,9*BK4-2,12))),"",INDEX(세부시간표!$A$3:$L$1183,9*BK4-2,12))</x:f>
        <x:v>양현수</x:v>
      </x:c>
      <x:c r="BL30" s="77" t="str">
        <x:f>IF(OR(BL4&lt;0,BL4=BK4,ISERROR(INDEX(세부시간표!$A$3:$L$1183,9*BL4-2,12))),"",INDEX(세부시간표!$A$3:$L$1183,9*BL4-2,12))</x:f>
        <x:v>양현수</x:v>
      </x:c>
      <x:c r="BM30" s="77" t="str">
        <x:f>IF(OR(BM4&lt;0,BM4=BL4,ISERROR(INDEX(세부시간표!$A$3:$L$1183,9*BM4-2,12))),"",INDEX(세부시간표!$A$3:$L$1183,9*BM4-2,12))</x:f>
        <x:v>양현수</x:v>
      </x:c>
      <x:c r="BN30" s="77" t="str">
        <x:f>IF(OR(BN4&lt;0,BN4=BM4,ISERROR(INDEX(세부시간표!$A$3:$L$1183,9*BN4-2,12))),"",INDEX(세부시간표!$A$3:$L$1183,9*BN4-2,12))</x:f>
        <x:v>양현수</x:v>
      </x:c>
      <x:c r="BO30" s="77" t="str">
        <x:f>IF(OR(BO4&lt;0,BO4=BN4,ISERROR(INDEX(세부시간표!$A$3:$L$1183,9*BO4-2,12))),"",INDEX(세부시간표!$A$3:$L$1183,9*BO4-2,12))</x:f>
        <x:v>양현수</x:v>
      </x:c>
      <x:c r="BP30" s="77" t="str">
        <x:f>IF(OR(BP4&lt;0,BP4=BO4,ISERROR(INDEX(세부시간표!$A$3:$L$1183,9*BP4-2,12))),"",INDEX(세부시간표!$A$3:$L$1183,9*BP4-2,12))</x:f>
        <x:v>양현수</x:v>
      </x:c>
      <x:c r="BQ30" s="77" t="str">
        <x:f>IF(OR(BQ4&lt;0,BQ4=BP4,ISERROR(INDEX(세부시간표!$A$3:$L$1183,9*BQ4-2,12))),"",INDEX(세부시간표!$A$3:$L$1183,9*BQ4-2,12))</x:f>
        <x:v>양현수</x:v>
      </x:c>
      <x:c r="BR30" s="77" t="str">
        <x:f>IF(OR(BR4&lt;0,BR4=BQ4,ISERROR(INDEX(세부시간표!$A$3:$L$1183,9*BR4-2,12))),"",INDEX(세부시간표!$A$3:$L$1183,9*BR4-2,12))</x:f>
        <x:v/>
      </x:c>
      <x:c r="BS30" s="77" t="str">
        <x:f>IF(OR(BS4&lt;0,BS4=BR4,ISERROR(INDEX(세부시간표!$A$3:$L$1183,9*BS4-2,12))),"",INDEX(세부시간표!$A$3:$L$1183,9*BS4-2,12))</x:f>
        <x:v>양현수</x:v>
      </x:c>
      <x:c r="BT30" s="77" t="str">
        <x:f>IF(OR(BT4&lt;0,BT4=BS4,ISERROR(INDEX(세부시간표!$A$3:$L$1183,9*BT4-2,12))),"",INDEX(세부시간표!$A$3:$L$1183,9*BT4-2,12))</x:f>
        <x:v>양현수</x:v>
      </x:c>
      <x:c r="BU30" s="77" t="str">
        <x:f>IF(OR(BU4&lt;0,BU4=BT4,ISERROR(INDEX(세부시간표!$A$3:$L$1183,9*BU4-2,12))),"",INDEX(세부시간표!$A$3:$L$1183,9*BU4-2,12))</x:f>
        <x:v>양현수</x:v>
      </x:c>
      <x:c r="BV30" s="77" t="str">
        <x:f>IF(OR(BV4&lt;0,BV4=BU4,ISERROR(INDEX(세부시간표!$A$3:$L$1183,9*BV4-2,12))),"",INDEX(세부시간표!$A$3:$L$1183,9*BV4-2,12))</x:f>
        <x:v>양현수</x:v>
      </x:c>
      <x:c r="BW30" s="77" t="str">
        <x:f>IF(OR(BW4&lt;0,BW4=BV4,ISERROR(INDEX(세부시간표!$A$3:$L$1183,9*BW4-2,12))),"",INDEX(세부시간표!$A$3:$L$1183,9*BW4-2,12))</x:f>
        <x:v/>
      </x:c>
      <x:c r="BX30" s="77" t="str">
        <x:f>IF(OR(BX4&lt;0,BX4=BW4,ISERROR(INDEX(세부시간표!$A$3:$L$1183,9*BX4-2,12))),"",INDEX(세부시간표!$A$3:$L$1183,9*BX4-2,12))</x:f>
        <x:v>양현수</x:v>
      </x:c>
      <x:c r="BY30" s="77" t="str">
        <x:f>IF(OR(BY4&lt;0,BY4=BX4,ISERROR(INDEX(세부시간표!$A$3:$L$1183,9*BY4-2,12))),"",INDEX(세부시간표!$A$3:$L$1183,9*BY4-2,12))</x:f>
        <x:v>양현수</x:v>
      </x:c>
      <x:c r="BZ30" s="77" t="str">
        <x:f>IF(OR(BZ4&lt;0,BZ4=BY4,ISERROR(INDEX(세부시간표!$A$3:$L$1183,9*BZ4-2,12))),"",INDEX(세부시간표!$A$3:$L$1183,9*BZ4-2,12))</x:f>
        <x:v>양현수</x:v>
      </x:c>
      <x:c r="CA30" s="77" t="str">
        <x:f>IF(OR(CA4&lt;0,CA4=BZ4,ISERROR(INDEX(세부시간표!$A$3:$L$1183,9*CA4-2,12))),"",INDEX(세부시간표!$A$3:$L$1183,9*CA4-2,12))</x:f>
        <x:v>양현수</x:v>
      </x:c>
      <x:c r="CB30" s="77" t="str">
        <x:f>IF(OR(CB4&lt;0,CB4=CA4,ISERROR(INDEX(세부시간표!$A$3:$L$1183,9*CB4-2,12))),"",INDEX(세부시간표!$A$3:$L$1183,9*CB4-2,12))</x:f>
        <x:v>양현수</x:v>
      </x:c>
      <x:c r="CC30" s="77" t="str">
        <x:f>IF(OR(CC4&lt;0,CC4=CB4,ISERROR(INDEX(세부시간표!$A$3:$L$1183,9*CC4-2,12))),"",INDEX(세부시간표!$A$3:$L$1183,9*CC4-2,12))</x:f>
        <x:v>양현수</x:v>
      </x:c>
      <x:c r="CD30" s="77" t="str">
        <x:f>IF(OR(CD4&lt;0,CD4=CC4,ISERROR(INDEX(세부시간표!$A$3:$L$1183,9*CD4-2,12))),"",INDEX(세부시간표!$A$3:$L$1183,9*CD4-2,12))</x:f>
        <x:v>양현수</x:v>
      </x:c>
      <x:c r="CE30" s="77" t="str">
        <x:f>IF(OR(CE4&lt;0,CE4=CD4,ISERROR(INDEX(세부시간표!$A$3:$L$1183,9*CE4-2,12))),"",INDEX(세부시간표!$A$3:$L$1183,9*CE4-2,12))</x:f>
        <x:v>양현수</x:v>
      </x:c>
      <x:c r="CF30" s="77" t="str">
        <x:f>IF(OR(CF4&lt;0,CF4=CE4,ISERROR(INDEX(세부시간표!$A$3:$L$1183,9*CF4-2,12))),"",INDEX(세부시간표!$A$3:$L$1183,9*CF4-2,12))</x:f>
        <x:v>양현수</x:v>
      </x:c>
      <x:c r="CG30" s="77" t="str">
        <x:f>IF(OR(CG4&lt;0,CG4=CF4,ISERROR(INDEX(세부시간표!$A$3:$L$1183,9*CG4-2,12))),"",INDEX(세부시간표!$A$3:$L$1183,9*CG4-2,12))</x:f>
        <x:v>양현수</x:v>
      </x:c>
      <x:c r="CH30" s="77" t="str">
        <x:f>IF(OR(CH4&lt;0,CH4=CG4,ISERROR(INDEX(세부시간표!$A$3:$L$1183,9*CH4-2,12))),"",INDEX(세부시간표!$A$3:$L$1183,9*CH4-2,12))</x:f>
        <x:v>양현수</x:v>
      </x:c>
      <x:c r="CI30" s="77" t="str">
        <x:f>IF(OR(CI4&lt;0,CI4=CH4,ISERROR(INDEX(세부시간표!$A$3:$L$1183,9*CI4-2,12))),"",INDEX(세부시간표!$A$3:$L$1183,9*CI4-2,12))</x:f>
        <x:v>양현수</x:v>
      </x:c>
      <x:c r="CJ30" s="77" t="str">
        <x:f>IF(OR(CJ4&lt;0,CJ4=CI4,ISERROR(INDEX(세부시간표!$A$3:$L$1183,9*CJ4-2,12))),"",INDEX(세부시간표!$A$3:$L$1183,9*CJ4-2,12))</x:f>
        <x:v>양현수</x:v>
      </x:c>
      <x:c r="CK30" s="77" t="str">
        <x:f>IF(OR(CK4&lt;0,CK4=CJ4,ISERROR(INDEX(세부시간표!$A$3:$L$1183,9*CK4-2,12))),"",INDEX(세부시간표!$A$3:$L$1183,9*CK4-2,12))</x:f>
        <x:v>양현수</x:v>
      </x:c>
      <x:c r="CL30" s="77" t="str">
        <x:f>IF(OR(CL4&lt;0,CL4=CK4,ISERROR(INDEX(세부시간표!$A$3:$L$1183,9*CL4-2,12))),"",INDEX(세부시간표!$A$3:$L$1183,9*CL4-2,12))</x:f>
        <x:v>양현수</x:v>
      </x:c>
      <x:c r="CM30" s="77" t="str">
        <x:f>IF(OR(CM4&lt;0,CM4=CL4,ISERROR(INDEX(세부시간표!$A$3:$L$1183,9*CM4-2,12))),"",INDEX(세부시간표!$A$3:$L$1183,9*CM4-2,12))</x:f>
        <x:v>양현수</x:v>
      </x:c>
      <x:c r="CN30" s="77" t="str">
        <x:f>IF(OR(CN4&lt;0,CN4=CM4,ISERROR(INDEX(세부시간표!$A$3:$L$1183,9*CN4-2,12))),"",INDEX(세부시간표!$A$3:$L$1183,9*CN4-2,12))</x:f>
        <x:v>양현수</x:v>
      </x:c>
      <x:c r="CO30" s="77" t="str">
        <x:f>IF(OR(CO4&lt;0,CO4=CN4,ISERROR(INDEX(세부시간표!$A$3:$L$1183,9*CO4-2,12))),"",INDEX(세부시간표!$A$3:$L$1183,9*CO4-2,12))</x:f>
        <x:v>양현수</x:v>
      </x:c>
      <x:c r="CP30" s="77" t="str">
        <x:f>IF(OR(CP4&lt;0,CP4=CO4,ISERROR(INDEX(세부시간표!$A$3:$L$1183,9*CP4-2,12))),"",INDEX(세부시간표!$A$3:$L$1183,9*CP4-2,12))</x:f>
        <x:v>양현수</x:v>
      </x:c>
      <x:c r="CQ30" s="77" t="str">
        <x:f>IF(OR(CQ4&lt;0,CQ4=CP4,ISERROR(INDEX(세부시간표!$A$3:$L$1183,9*CQ4-2,12))),"",INDEX(세부시간표!$A$3:$L$1183,9*CQ4-2,12))</x:f>
        <x:v>양현수</x:v>
      </x:c>
      <x:c r="CR30" s="77" t="str">
        <x:f>IF(OR(CR4&lt;0,CR4=CQ4,ISERROR(INDEX(세부시간표!$A$3:$L$1183,9*CR4-2,12))),"",INDEX(세부시간표!$A$3:$L$1183,9*CR4-2,12))</x:f>
        <x:v>양현수</x:v>
      </x:c>
      <x:c r="CS30" s="77" t="str">
        <x:f>IF(OR(CS4&lt;0,CS4=CR4,ISERROR(INDEX(세부시간표!$A$3:$L$1183,9*CS4-2,12))),"",INDEX(세부시간표!$A$3:$L$1183,9*CS4-2,12))</x:f>
        <x:v>양현수</x:v>
      </x:c>
      <x:c r="CT30" s="77" t="str">
        <x:f>IF(OR(CT4&lt;0,CT4=CS4,ISERROR(INDEX(세부시간표!$A$3:$L$1183,9*CT4-2,12))),"",INDEX(세부시간표!$A$3:$L$1183,9*CT4-2,12))</x:f>
        <x:v>양현수</x:v>
      </x:c>
      <x:c r="CU30" s="77" t="str">
        <x:f>IF(OR(CU4&lt;0,CU4=CT4,ISERROR(INDEX(세부시간표!$A$3:$L$1183,9*CU4-2,12))),"",INDEX(세부시간표!$A$3:$L$1183,9*CU4-2,12))</x:f>
        <x:v>양현수</x:v>
      </x:c>
      <x:c r="CV30" s="77" t="str">
        <x:f>IF(OR(CV4&lt;0,CV4=CU4,ISERROR(INDEX(세부시간표!$A$3:$L$1183,9*CV4-2,12))),"",INDEX(세부시간표!$A$3:$L$1183,9*CV4-2,12))</x:f>
        <x:v>양현수</x:v>
      </x:c>
      <x:c r="CW30" s="77" t="str">
        <x:f>IF(OR(CW4&lt;0,CW4=CV4,ISERROR(INDEX(세부시간표!$A$3:$L$1183,9*CW4-2,12))),"",INDEX(세부시간표!$A$3:$L$1183,9*CW4-2,12))</x:f>
        <x:v>양현수</x:v>
      </x:c>
      <x:c r="CX30" s="77" t="str">
        <x:f>IF(OR(CX4&lt;0,CX4=CW4,ISERROR(INDEX(세부시간표!$A$3:$L$1183,9*CX4-2,12))),"",INDEX(세부시간표!$A$3:$L$1183,9*CX4-2,12))</x:f>
        <x:v>양현수</x:v>
      </x:c>
      <x:c r="CY30" s="77" t="str">
        <x:f>IF(OR(CY4&lt;0,CY4=CX4,ISERROR(INDEX(세부시간표!$A$3:$L$1183,9*CY4-2,12))),"",INDEX(세부시간표!$A$3:$L$1183,9*CY4-2,12))</x:f>
        <x:v>양현수</x:v>
      </x:c>
      <x:c r="CZ30" s="77" t="str">
        <x:f>IF(OR(CZ4&lt;0,CZ4=CY4,ISERROR(INDEX(세부시간표!$A$3:$L$1183,9*CZ4-2,12))),"",INDEX(세부시간표!$A$3:$L$1183,9*CZ4-2,12))</x:f>
        <x:v>양현수</x:v>
      </x:c>
      <x:c r="DA30" s="77" t="str">
        <x:f>IF(OR(DA4&lt;0,DA4=CZ4,ISERROR(INDEX(세부시간표!$A$3:$L$1183,9*DA4-2,12))),"",INDEX(세부시간표!$A$3:$L$1183,9*DA4-2,12))</x:f>
        <x:v>양현수</x:v>
      </x:c>
      <x:c r="DB30" s="77" t="str">
        <x:f>IF(OR(DB4&lt;0,DB4=DA4,ISERROR(INDEX(세부시간표!$A$3:$L$1183,9*DB4-2,12))),"",INDEX(세부시간표!$A$3:$L$1183,9*DB4-2,12))</x:f>
        <x:v>양현수</x:v>
      </x:c>
      <x:c r="DC30" s="77" t="str">
        <x:f>IF(OR(DC4&lt;0,DC4=DB4,ISERROR(INDEX(세부시간표!$A$3:$L$1183,9*DC4-2,12))),"",INDEX(세부시간표!$A$3:$L$1183,9*DC4-2,12))</x:f>
        <x:v/>
      </x:c>
      <x:c r="DD30" s="77" t="str">
        <x:f>IF(OR(DD4&lt;0,DD4=DC4,ISERROR(INDEX(세부시간표!$A$3:$L$1183,9*DD4-2,12))),"",INDEX(세부시간표!$A$3:$L$1183,9*DD4-2,12))</x:f>
        <x:v/>
      </x:c>
      <x:c r="DE30" s="77" t="str">
        <x:f>IF(OR(DE4&lt;0,DE4=DD4,ISERROR(INDEX(세부시간표!$A$3:$L$1183,9*DE4-2,12))),"",INDEX(세부시간표!$A$3:$L$1183,9*DE4-2,12))</x:f>
        <x:v/>
      </x:c>
      <x:c r="DF30" s="77" t="str">
        <x:f>IF(OR(DF4&lt;0,DF4=DE4,ISERROR(INDEX(세부시간표!$A$3:$L$1183,9*DF4-2,12))),"",INDEX(세부시간표!$A$3:$L$1183,9*DF4-2,12))</x:f>
        <x:v>양현수</x:v>
      </x:c>
      <x:c r="DG30" s="77" t="str">
        <x:f>IF(OR(DG4&lt;0,DG4=DF4,ISERROR(INDEX(세부시간표!$A$3:$L$1183,9*DG4-2,12))),"",INDEX(세부시간표!$A$3:$L$1183,9*DG4-2,12))</x:f>
        <x:v>양현수</x:v>
      </x:c>
      <x:c r="DH30" s="77" t="str">
        <x:f>IF(OR(DH4&lt;0,DH4=DG4,ISERROR(INDEX(세부시간표!$A$3:$L$1183,9*DH4-2,12))),"",INDEX(세부시간표!$A$3:$L$1183,9*DH4-2,12))</x:f>
        <x:v>양현수</x:v>
      </x:c>
      <x:c r="DI30" s="77" t="str">
        <x:f>IF(OR(DI4&lt;0,DI4=DH4,ISERROR(INDEX(세부시간표!$A$3:$L$1183,9*DI4-2,12))),"",INDEX(세부시간표!$A$3:$L$1183,9*DI4-2,12))</x:f>
        <x:v>양현수</x:v>
      </x:c>
      <x:c r="DJ30" s="77" t="str">
        <x:f>IF(OR(DJ4&lt;0,DJ4=DI4,ISERROR(INDEX(세부시간표!$A$3:$L$1183,9*DJ4-2,12))),"",INDEX(세부시간표!$A$3:$L$1183,9*DJ4-2,12))</x:f>
        <x:v>양현수</x:v>
      </x:c>
      <x:c r="DK30" s="77" t="str">
        <x:f>IF(OR(DK4&lt;0,DK4=DJ4,ISERROR(INDEX(세부시간표!$A$3:$L$1183,9*DK4-2,12))),"",INDEX(세부시간표!$A$3:$L$1183,9*DK4-2,12))</x:f>
        <x:v>양현수</x:v>
      </x:c>
      <x:c r="DL30" s="77" t="str">
        <x:f>IF(OR(DL4&lt;0,DL4=DK4,ISERROR(INDEX(세부시간표!$A$3:$L$1183,9*DL4-2,12))),"",INDEX(세부시간표!$A$3:$L$1183,9*DL4-2,12))</x:f>
        <x:v>양현수</x:v>
      </x:c>
      <x:c r="DM30" s="77" t="str">
        <x:f>IF(OR(DM4&lt;0,DM4=DL4,ISERROR(INDEX(세부시간표!$A$3:$L$1183,9*DM4-2,12))),"",INDEX(세부시간표!$A$3:$L$1183,9*DM4-2,12))</x:f>
        <x:v/>
      </x:c>
      <x:c r="DN30" s="77" t="str">
        <x:f>IF(OR(DN4&lt;0,DN4=DM4,ISERROR(INDEX(세부시간표!$A$3:$L$1183,9*DN4-2,12))),"",INDEX(세부시간표!$A$3:$L$1183,9*DN4-2,12))</x:f>
        <x:v>양현수</x:v>
      </x:c>
      <x:c r="DO30" s="77" t="str">
        <x:f>IF(OR(DO4&lt;0,DO4=DN4,ISERROR(INDEX(세부시간표!$A$3:$L$1183,9*DO4-2,12))),"",INDEX(세부시간표!$A$3:$L$1183,9*DO4-2,12))</x:f>
        <x:v>양현수</x:v>
      </x:c>
      <x:c r="DP30" s="77" t="str">
        <x:f>IF(OR(DP4&lt;0,DP4=DO4,ISERROR(INDEX(세부시간표!$A$3:$L$1183,9*DP4-2,12))),"",INDEX(세부시간표!$A$3:$L$1183,9*DP4-2,12))</x:f>
        <x:v>양현수</x:v>
      </x:c>
      <x:c r="DQ30" s="77" t="str">
        <x:f>IF(OR(DQ4&lt;0,DQ4=DP4,ISERROR(INDEX(세부시간표!$A$3:$L$1183,9*DQ4-2,12))),"",INDEX(세부시간표!$A$3:$L$1183,9*DQ4-2,12))</x:f>
        <x:v>양현수</x:v>
      </x:c>
      <x:c r="DR30" s="77" t="str">
        <x:f>IF(OR(DR4&lt;0,DR4=DQ4,ISERROR(INDEX(세부시간표!$A$3:$L$1183,9*DR4-2,12))),"",INDEX(세부시간표!$A$3:$L$1183,9*DR4-2,12))</x:f>
        <x:v>양현수</x:v>
      </x:c>
      <x:c r="DS30" s="77" t="str">
        <x:f>IF(OR(DS4&lt;0,DS4=DR4,ISERROR(INDEX(세부시간표!$A$3:$L$1183,9*DS4-2,12))),"",INDEX(세부시간표!$A$3:$L$1183,9*DS4-2,12))</x:f>
        <x:v>양현수</x:v>
      </x:c>
      <x:c r="DT30" s="77" t="str">
        <x:f>IF(OR(DT4&lt;0,DT4=DS4,ISERROR(INDEX(세부시간표!$A$3:$L$1183,9*DT4-2,12))),"",INDEX(세부시간표!$A$3:$L$1183,9*DT4-2,12))</x:f>
        <x:v>양현수</x:v>
      </x:c>
      <x:c r="DU30" s="77" t="str">
        <x:f>IF(OR(DU4&lt;0,DU4=DT4,ISERROR(INDEX(세부시간표!$A$3:$L$1183,9*DU4-2,12))),"",INDEX(세부시간표!$A$3:$L$1183,9*DU4-2,12))</x:f>
        <x:v>양현수</x:v>
      </x:c>
      <x:c r="DV30" s="77" t="str">
        <x:f>IF(OR(DV4&lt;0,DV4=DU4,ISERROR(INDEX(세부시간표!$A$3:$L$1183,9*DV4-2,12))),"",INDEX(세부시간표!$A$3:$L$1183,9*DV4-2,12))</x:f>
        <x:v>양현수</x:v>
      </x:c>
      <x:c r="DW30" s="77" t="str">
        <x:f>IF(OR(DW4&lt;0,DW4=DV4,ISERROR(INDEX(세부시간표!$A$3:$L$1183,9*DW4-2,12))),"",INDEX(세부시간표!$A$3:$L$1183,9*DW4-2,12))</x:f>
        <x:v>양현수</x:v>
      </x:c>
      <x:c r="DX30" s="77" t="str">
        <x:f>IF(OR(DX4&lt;0,DX4=DW4,ISERROR(INDEX(세부시간표!$A$3:$L$1183,9*DX4-2,12))),"",INDEX(세부시간표!$A$3:$L$1183,9*DX4-2,12))</x:f>
        <x:v>양현수</x:v>
      </x:c>
      <x:c r="DY30" s="77" t="str">
        <x:f>IF(OR(DY4&lt;0,DY4=DX4,ISERROR(INDEX(세부시간표!$A$3:$L$1183,9*DY4-2,12))),"",INDEX(세부시간표!$A$3:$L$1183,9*DY4-2,12))</x:f>
        <x:v>양현수</x:v>
      </x:c>
      <x:c r="DZ30" s="77" t="str">
        <x:f>IF(OR(DZ4&lt;0,DZ4=DY4,ISERROR(INDEX(세부시간표!$A$3:$L$1183,9*DZ4-2,12))),"",INDEX(세부시간표!$A$3:$L$1183,9*DZ4-2,12))</x:f>
        <x:v>양현수</x:v>
      </x:c>
      <x:c r="EA30" s="77" t="str">
        <x:f>IF(OR(EA4&lt;0,EA4=DZ4,ISERROR(INDEX(세부시간표!$A$3:$L$1183,9*EA4-2,12))),"",INDEX(세부시간표!$A$3:$L$1183,9*EA4-2,12))</x:f>
        <x:v>양현수</x:v>
      </x:c>
      <x:c r="EB30" s="77" t="str">
        <x:f>IF(OR(EB4&lt;0,EB4=EA4,ISERROR(INDEX(세부시간표!$A$3:$L$1183,9*EB4-2,12))),"",INDEX(세부시간표!$A$3:$L$1183,9*EB4-2,12))</x:f>
        <x:v>양현수</x:v>
      </x:c>
      <x:c r="EC30" s="77" t="str">
        <x:f>IF(OR(EC4&lt;0,EC4=EB4,ISERROR(INDEX(세부시간표!$A$3:$L$1183,9*EC4-2,12))),"",INDEX(세부시간표!$A$3:$L$1183,9*EC4-2,12))</x:f>
        <x:v>양현수</x:v>
      </x:c>
      <x:c r="ED30" s="77" t="str">
        <x:f>IF(OR(ED4&lt;0,ED4=EC4,ISERROR(INDEX(세부시간표!$A$3:$L$1183,9*ED4-2,12))),"",INDEX(세부시간표!$A$3:$L$1183,9*ED4-2,12))</x:f>
        <x:v>양현수</x:v>
      </x:c>
      <x:c r="EE30" s="77" t="str">
        <x:f>IF(OR(EE4&lt;0,EE4=ED4,ISERROR(INDEX(세부시간표!$A$3:$L$1183,9*EE4-2,12))),"",INDEX(세부시간표!$A$3:$L$1183,9*EE4-2,12))</x:f>
        <x:v/>
      </x:c>
      <x:c r="EF30" s="77" t="str">
        <x:f>IF(OR(EF4&lt;0,EF4=EE4,ISERROR(INDEX(세부시간표!$A$3:$L$1183,9*EF4-2,12))),"",INDEX(세부시간표!$A$3:$L$1183,9*EF4-2,12))</x:f>
        <x:v/>
      </x:c>
      <x:c r="EG30" s="77" t="str">
        <x:f>IF(OR(EG4&lt;0,EG4=EF4,ISERROR(INDEX(세부시간표!$A$3:$L$1183,9*EG4-2,12))),"",INDEX(세부시간표!$A$3:$L$1183,9*EG4-2,12))</x:f>
        <x:v/>
      </x:c>
      <x:c r="EH30" s="77" t="str">
        <x:f>IF(OR(EH4&lt;0,EH4=EG4,ISERROR(INDEX(세부시간표!$A$3:$L$1183,9*EH4-2,12))),"",INDEX(세부시간표!$A$3:$L$1183,9*EH4-2,12))</x:f>
        <x:v/>
      </x:c>
      <x:c r="EI30" s="77" t="str">
        <x:f>IF(OR(EI4&lt;0,EI4=EH4,ISERROR(INDEX(세부시간표!$A$3:$L$1183,9*EI4-2,12))),"",INDEX(세부시간표!$A$3:$L$1183,9*EI4-2,12))</x:f>
        <x:v/>
      </x:c>
      <x:c r="EJ30" s="77" t="str">
        <x:f>IF(OR(EJ4&lt;0,EJ4=EI4,ISERROR(INDEX(세부시간표!$A$3:$L$1183,9*EJ4-2,12))),"",INDEX(세부시간표!$A$3:$L$1183,9*EJ4-2,12))</x:f>
        <x:v/>
      </x:c>
      <x:c r="EK30" s="77" t="str">
        <x:f>IF(OR(EK4&lt;0,EK4=EJ4,ISERROR(INDEX(세부시간표!$A$3:$L$1183,9*EK4-2,12))),"",INDEX(세부시간표!$A$3:$L$1183,9*EK4-2,12))</x:f>
        <x:v/>
      </x:c>
      <x:c r="EL30" s="57" t="str">
        <x:f>IF(OR(EL4&lt;0,EL4=EK4,ISERROR(INDEX(세부시간표!$A$3:$L$1183,9*EL4-2,12))),"",INDEX(세부시간표!$A$3:$L$1183,9*EL4-2,12))</x:f>
        <x:v/>
      </x:c>
      <x:c r="EM30" s="55" t="str">
        <x:f>IF(OR(EM4&lt;0,EM4=EL4,ISERROR(INDEX(세부시간표!$A$3:$L$1183,9*EM4-2,12))),"",INDEX(세부시간표!$A$3:$L$1183,9*EM4-2,12))</x:f>
        <x:v/>
      </x:c>
      <x:c r="EN30" s="55" t="str">
        <x:f>IF(OR(EN4&lt;0,EN4=EM4,ISERROR(INDEX(세부시간표!$A$3:$L$1183,9*EN4-2,12))),"",INDEX(세부시간표!$A$3:$L$1183,9*EN4-2,12))</x:f>
        <x:v/>
      </x:c>
      <x:c r="EO30" s="55" t="str">
        <x:f>IF(OR(EO4&lt;0,EO4=EN4,ISERROR(INDEX(세부시간표!$A$3:$L$1183,9*EO4-2,12))),"",INDEX(세부시간표!$A$3:$L$1183,9*EO4-2,12))</x:f>
        <x:v/>
      </x:c>
      <x:c r="EP30" s="56" t="str">
        <x:f>IF(OR(EP4&lt;0,EP4=EO4,ISERROR(INDEX(세부시간표!$A$3:$L$1183,9*EP4-2,12))),"",INDEX(세부시간표!$A$3:$L$1183,9*EP4-2,12))</x:f>
        <x:v/>
      </x:c>
    </x:row>
    <x:row r="31" spans="1:146" s="86" customFormat="1" ht="15" customHeight="1">
      <x:c r="A31" s="277" t="s">
        <x:v>47</x:v>
      </x:c>
      <x:c r="B31" s="82" t="str">
        <x:f>IF(OR(B4&lt;0,B4=A4,ISERROR(INDEX(세부시간표!$A$3:$L$1183,9*B4-1,10))),"",INDEX(세부시간표!$A$3:$L$1183,9*B4-1,10))</x:f>
        <x:v>웹 애플리케이션 개발</x:v>
      </x:c>
      <x:c r="C31" s="82" t="str">
        <x:f>IF(OR(C4&lt;0,C4=B4,ISERROR(INDEX(세부시간표!$A$3:$L$1183,9*C4-1,10))),"",INDEX(세부시간표!$A$3:$L$1183,9*C4-1,10))</x:f>
        <x:v>웹 애플리케이션 개발</x:v>
      </x:c>
      <x:c r="D31" s="82" t="str">
        <x:f>IF(OR(D4&lt;0,D4=C4,ISERROR(INDEX(세부시간표!$A$3:$L$1183,9*D4-1,10))),"",INDEX(세부시간표!$A$3:$L$1183,9*D4-1,10))</x:f>
        <x:v>웹 애플리케이션 개발</x:v>
      </x:c>
      <x:c r="E31" s="82" t="str">
        <x:f>IF(OR(E4&lt;0,E4=D4,ISERROR(INDEX(세부시간표!$A$3:$L$1183,9*E4-1,10))),"",INDEX(세부시간표!$A$3:$L$1183,9*E4-1,10))</x:f>
        <x:v>웹 애플리케이션 개발</x:v>
      </x:c>
      <x:c r="F31" s="82" t="str">
        <x:f>IF(OR(F4&lt;0,F4=E4,ISERROR(INDEX(세부시간표!$A$3:$L$1183,9*F4-1,10))),"",INDEX(세부시간표!$A$3:$L$1183,9*F4-1,10))</x:f>
        <x:v>웹 애플리케이션 개발</x:v>
      </x:c>
      <x:c r="G31" s="82" t="str">
        <x:f>IF(OR(G4&lt;0,G4=F4,ISERROR(INDEX(세부시간표!$A$3:$L$1183,9*G4-1,10))),"",INDEX(세부시간표!$A$3:$L$1183,9*G4-1,10))</x:f>
        <x:v>웹 애플리케이션 개발</x:v>
      </x:c>
      <x:c r="H31" s="82" t="str">
        <x:f>IF(OR(H4&lt;0,H4=G4,ISERROR(INDEX(세부시간표!$A$3:$L$1183,9*H4-1,10))),"",INDEX(세부시간표!$A$3:$L$1183,9*H4-1,10))</x:f>
        <x:v>웹 애플리케이션 개발</x:v>
      </x:c>
      <x:c r="I31" s="82" t="str">
        <x:f>IF(OR(I4&lt;0,I4=H4,ISERROR(INDEX(세부시간표!$A$3:$L$1183,9*I4-1,10))),"",INDEX(세부시간표!$A$3:$L$1183,9*I4-1,10))</x:f>
        <x:v>웹 애플리케이션 개발</x:v>
      </x:c>
      <x:c r="J31" s="82" t="str">
        <x:f>IF(OR(J4&lt;0,J4=I4,ISERROR(INDEX(세부시간표!$A$3:$L$1183,9*J4-1,10))),"",INDEX(세부시간표!$A$3:$L$1183,9*J4-1,10))</x:f>
        <x:v>웹 애플리케이션 개발</x:v>
      </x:c>
      <x:c r="K31" s="82" t="str">
        <x:f>IF(OR(K4&lt;0,K4=J4,ISERROR(INDEX(세부시간표!$A$3:$L$1183,9*K4-1,10))),"",INDEX(세부시간표!$A$3:$L$1183,9*K4-1,10))</x:f>
        <x:v/>
      </x:c>
      <x:c r="L31" s="82" t="str">
        <x:f>IF(OR(L4&lt;0,L4=K4,ISERROR(INDEX(세부시간표!$A$3:$L$1183,9*L4-1,10))),"",INDEX(세부시간표!$A$3:$L$1183,9*L4-1,10))</x:f>
        <x:v/>
      </x:c>
      <x:c r="M31" s="82" t="str">
        <x:f>IF(OR(M4&lt;0,M4=L4,ISERROR(INDEX(세부시간표!$A$3:$L$1183,9*M4-1,10))),"",INDEX(세부시간표!$A$3:$L$1183,9*M4-1,10))</x:f>
        <x:v/>
      </x:c>
      <x:c r="N31" s="82" t="str">
        <x:f>IF(OR(N4&lt;0,N4=M4,ISERROR(INDEX(세부시간표!$A$3:$L$1183,9*N4-1,10))),"",INDEX(세부시간표!$A$3:$L$1183,9*N4-1,10))</x:f>
        <x:v/>
      </x:c>
      <x:c r="O31" s="82" t="str">
        <x:f>IF(OR(O4&lt;0,O4=N4,ISERROR(INDEX(세부시간표!$A$3:$L$1183,9*O4-1,10))),"",INDEX(세부시간표!$A$3:$L$1183,9*O4-1,10))</x:f>
        <x:v/>
      </x:c>
      <x:c r="P31" s="82" t="str">
        <x:f>IF(OR(P4&lt;0,P4=O4,ISERROR(INDEX(세부시간표!$A$3:$L$1183,9*P4-1,10))),"",INDEX(세부시간표!$A$3:$L$1183,9*P4-1,10))</x:f>
        <x:v>웹 애플리케이션 개발</x:v>
      </x:c>
      <x:c r="Q31" s="82" t="str">
        <x:f>IF(OR(Q4&lt;0,Q4=P4,ISERROR(INDEX(세부시간표!$A$3:$L$1183,9*Q4-1,10))),"",INDEX(세부시간표!$A$3:$L$1183,9*Q4-1,10))</x:f>
        <x:v>웹&amp;콘텐츠 서비스 개발</x:v>
      </x:c>
      <x:c r="R31" s="82" t="str">
        <x:f>IF(OR(R4&lt;0,R4=Q4,ISERROR(INDEX(세부시간표!$A$3:$L$1183,9*R4-1,10))),"",INDEX(세부시간표!$A$3:$L$1183,9*R4-1,10))</x:f>
        <x:v>웹&amp;콘텐츠 서비스 개발</x:v>
      </x:c>
      <x:c r="S31" s="82" t="str">
        <x:f>IF(OR(S4&lt;0,S4=R4,ISERROR(INDEX(세부시간표!$A$3:$L$1183,9*S4-1,10))),"",INDEX(세부시간표!$A$3:$L$1183,9*S4-1,10))</x:f>
        <x:v>웹&amp;콘텐츠 서비스 개발</x:v>
      </x:c>
      <x:c r="T31" s="82" t="str">
        <x:f>IF(OR(T4&lt;0,T4=S4,ISERROR(INDEX(세부시간표!$A$3:$L$1183,9*T4-1,10))),"",INDEX(세부시간표!$A$3:$L$1183,9*T4-1,10))</x:f>
        <x:v>웹&amp;콘텐츠 서비스 개발</x:v>
      </x:c>
      <x:c r="U31" s="82" t="str">
        <x:f>IF(OR(U4&lt;0,U4=T4,ISERROR(INDEX(세부시간표!$A$3:$L$1183,9*U4-1,10))),"",INDEX(세부시간표!$A$3:$L$1183,9*U4-1,10))</x:f>
        <x:v>웹&amp;콘텐츠 서비스 개발</x:v>
      </x:c>
      <x:c r="V31" s="82" t="str">
        <x:f>IF(OR(V4&lt;0,V4=U4,ISERROR(INDEX(세부시간표!$A$3:$L$1183,9*V4-1,10))),"",INDEX(세부시간표!$A$3:$L$1183,9*V4-1,10))</x:f>
        <x:v>SQL 및 데이터 모델링</x:v>
      </x:c>
      <x:c r="W31" s="82" t="str">
        <x:f>IF(OR(W4&lt;0,W4=V4,ISERROR(INDEX(세부시간표!$A$3:$L$1183,9*W4-1,10))),"",INDEX(세부시간표!$A$3:$L$1183,9*W4-1,10))</x:f>
        <x:v>SQL 및 데이터 모델링</x:v>
      </x:c>
      <x:c r="X31" s="82" t="str">
        <x:f>IF(OR(X4&lt;0,X4=W4,ISERROR(INDEX(세부시간표!$A$3:$L$1183,9*X4-1,10))),"",INDEX(세부시간표!$A$3:$L$1183,9*X4-1,10))</x:f>
        <x:v>SQL 및 데이터 모델링</x:v>
      </x:c>
      <x:c r="Y31" s="82" t="str">
        <x:f>IF(OR(Y4&lt;0,Y4=X4,ISERROR(INDEX(세부시간표!$A$3:$L$1183,9*Y4-1,10))),"",INDEX(세부시간표!$A$3:$L$1183,9*Y4-1,10))</x:f>
        <x:v>SQL 및 데이터 모델링</x:v>
      </x:c>
      <x:c r="Z31" s="82" t="str">
        <x:f>IF(OR(Z4&lt;0,Z4=Y4,ISERROR(INDEX(세부시간표!$A$3:$L$1183,9*Z4-1,10))),"",INDEX(세부시간표!$A$3:$L$1183,9*Z4-1,10))</x:f>
        <x:v>SQL 및 데이터 모델링</x:v>
      </x:c>
      <x:c r="AA31" s="82" t="str">
        <x:f>IF(OR(AA4&lt;0,AA4=Z4,ISERROR(INDEX(세부시간표!$A$3:$L$1183,9*AA4-1,10))),"",INDEX(세부시간표!$A$3:$L$1183,9*AA4-1,10))</x:f>
        <x:v>SQL 및 데이터 모델링</x:v>
      </x:c>
      <x:c r="AB31" s="82" t="str">
        <x:f>IF(OR(AB4&lt;0,AB4=AA4,ISERROR(INDEX(세부시간표!$A$3:$L$1183,9*AB4-1,10))),"",INDEX(세부시간표!$A$3:$L$1183,9*AB4-1,10))</x:f>
        <x:v>SQL 및 데이터 모델링</x:v>
      </x:c>
      <x:c r="AC31" s="82" t="str">
        <x:f>IF(OR(AC4&lt;0,AC4=AB4,ISERROR(INDEX(세부시간표!$A$3:$L$1183,9*AC4-1,10))),"",INDEX(세부시간표!$A$3:$L$1183,9*AC4-1,10))</x:f>
        <x:v>SQL 및 데이터 모델링</x:v>
      </x:c>
      <x:c r="AD31" s="82" t="str">
        <x:f>IF(OR(AD4&lt;0,AD4=AC4,ISERROR(INDEX(세부시간표!$A$3:$L$1183,9*AD4-1,10))),"",INDEX(세부시간표!$A$3:$L$1183,9*AD4-1,10))</x:f>
        <x:v>SQL 및 데이터 모델링</x:v>
      </x:c>
      <x:c r="AE31" s="82" t="str">
        <x:f>IF(OR(AE4&lt;0,AE4=AD4,ISERROR(INDEX(세부시간표!$A$3:$L$1183,9*AE4-1,10))),"",INDEX(세부시간표!$A$3:$L$1183,9*AE4-1,10))</x:f>
        <x:v>AI개발 기초</x:v>
      </x:c>
      <x:c r="AF31" s="82" t="str">
        <x:f>IF(OR(AF4&lt;0,AF4=AE4,ISERROR(INDEX(세부시간표!$A$3:$L$1183,9*AF4-1,10))),"",INDEX(세부시간표!$A$3:$L$1183,9*AF4-1,10))</x:f>
        <x:v>AI개발 기초</x:v>
      </x:c>
      <x:c r="AG31" s="82" t="str">
        <x:f>IF(OR(AG4&lt;0,AG4=AF4,ISERROR(INDEX(세부시간표!$A$3:$L$1183,9*AG4-1,10))),"",INDEX(세부시간표!$A$3:$L$1183,9*AG4-1,10))</x:f>
        <x:v>AI개발 기초</x:v>
      </x:c>
      <x:c r="AH31" s="82" t="str">
        <x:f>IF(OR(AH4&lt;0,AH4=AG4,ISERROR(INDEX(세부시간표!$A$3:$L$1183,9*AH4-1,10))),"",INDEX(세부시간표!$A$3:$L$1183,9*AH4-1,10))</x:f>
        <x:v>AI개발 기초</x:v>
      </x:c>
      <x:c r="AI31" s="82" t="str">
        <x:f>IF(OR(AI4&lt;0,AI4=AH4,ISERROR(INDEX(세부시간표!$A$3:$L$1183,9*AI4-1,10))),"",INDEX(세부시간표!$A$3:$L$1183,9*AI4-1,10))</x:f>
        <x:v>AI개발 기초</x:v>
      </x:c>
      <x:c r="AJ31" s="82" t="str">
        <x:f>IF(OR(AJ4&lt;0,AJ4=AI4,ISERROR(INDEX(세부시간표!$A$3:$L$1183,9*AJ4-1,10))),"",INDEX(세부시간표!$A$3:$L$1183,9*AJ4-1,10))</x:f>
        <x:v>AI개발 기초</x:v>
      </x:c>
      <x:c r="AK31" s="82" t="str">
        <x:f>IF(OR(AK4&lt;0,AK4=AJ4,ISERROR(INDEX(세부시간표!$A$3:$L$1183,9*AK4-1,10))),"",INDEX(세부시간표!$A$3:$L$1183,9*AK4-1,10))</x:f>
        <x:v>AI개발 기초</x:v>
      </x:c>
      <x:c r="AL31" s="82" t="str">
        <x:f>IF(OR(AL4&lt;0,AL4=AK4,ISERROR(INDEX(세부시간표!$A$3:$L$1183,9*AL4-1,10))),"",INDEX(세부시간표!$A$3:$L$1183,9*AL4-1,10))</x:f>
        <x:v>AI개발 기초</x:v>
      </x:c>
      <x:c r="AM31" s="82" t="str">
        <x:f>IF(OR(AM4&lt;0,AM4=AL4,ISERROR(INDEX(세부시간표!$A$3:$L$1183,9*AM4-1,10))),"",INDEX(세부시간표!$A$3:$L$1183,9*AM4-1,10))</x:f>
        <x:v>AI개발 기초</x:v>
      </x:c>
      <x:c r="AN31" s="82" t="str">
        <x:f>IF(OR(AN4&lt;0,AN4=AM4,ISERROR(INDEX(세부시간표!$A$3:$L$1183,9*AN4-1,10))),"",INDEX(세부시간표!$A$3:$L$1183,9*AN4-1,10))</x:f>
        <x:v>AI개발 기초</x:v>
      </x:c>
      <x:c r="AO31" s="82" t="str">
        <x:f>IF(OR(AO4&lt;0,AO4=AN4,ISERROR(INDEX(세부시간표!$A$3:$L$1183,9*AO4-1,10))),"",INDEX(세부시간표!$A$3:$L$1183,9*AO4-1,10))</x:f>
        <x:v>AI개발 기초</x:v>
      </x:c>
      <x:c r="AP31" s="82" t="str">
        <x:f>IF(OR(AP4&lt;0,AP4=AO4,ISERROR(INDEX(세부시간표!$A$3:$L$1183,9*AP4-1,10))),"",INDEX(세부시간표!$A$3:$L$1183,9*AP4-1,10))</x:f>
        <x:v>AI개발 기초</x:v>
      </x:c>
      <x:c r="AQ31" s="82" t="str">
        <x:f>IF(OR(AQ4&lt;0,AQ4=AP4,ISERROR(INDEX(세부시간표!$A$3:$L$1183,9*AQ4-1,10))),"",INDEX(세부시간표!$A$3:$L$1183,9*AQ4-1,10))</x:f>
        <x:v>인공지능 프로그래밍</x:v>
      </x:c>
      <x:c r="AR31" s="82" t="str">
        <x:f>IF(OR(AR4&lt;0,AR4=AQ4,ISERROR(INDEX(세부시간표!$A$3:$L$1183,9*AR4-1,10))),"",INDEX(세부시간표!$A$3:$L$1183,9*AR4-1,10))</x:f>
        <x:v>인공지능 프로그래밍</x:v>
      </x:c>
      <x:c r="AS31" s="82" t="str">
        <x:f>IF(OR(AS4&lt;0,AS4=AR4,ISERROR(INDEX(세부시간표!$A$3:$L$1183,9*AS4-1,10))),"",INDEX(세부시간표!$A$3:$L$1183,9*AS4-1,10))</x:f>
        <x:v>인공지능 프로그래밍</x:v>
      </x:c>
      <x:c r="AT31" s="82" t="str">
        <x:f>IF(OR(AT4&lt;0,AT4=AS4,ISERROR(INDEX(세부시간표!$A$3:$L$1183,9*AT4-1,10))),"",INDEX(세부시간표!$A$3:$L$1183,9*AT4-1,10))</x:f>
        <x:v>인공지능 프로그래밍</x:v>
      </x:c>
      <x:c r="AU31" s="82" t="str">
        <x:f>IF(OR(AU4&lt;0,AU4=AT4,ISERROR(INDEX(세부시간표!$A$3:$L$1183,9*AU4-1,10))),"",INDEX(세부시간표!$A$3:$L$1183,9*AU4-1,10))</x:f>
        <x:v>인공지능 프로그래밍</x:v>
      </x:c>
      <x:c r="AV31" s="82" t="str">
        <x:f>IF(OR(AV4&lt;0,AV4=AU4,ISERROR(INDEX(세부시간표!$A$3:$L$1183,9*AV4-1,10))),"",INDEX(세부시간표!$A$3:$L$1183,9*AV4-1,10))</x:f>
        <x:v>인공지능 프로그래밍</x:v>
      </x:c>
      <x:c r="AW31" s="82" t="str">
        <x:f>IF(OR(AW4&lt;0,AW4=AV4,ISERROR(INDEX(세부시간표!$A$3:$L$1183,9*AW4-1,10))),"",INDEX(세부시간표!$A$3:$L$1183,9*AW4-1,10))</x:f>
        <x:v>인공지능 프로그래밍</x:v>
      </x:c>
      <x:c r="AX31" s="82" t="str">
        <x:f>IF(OR(AX4&lt;0,AX4=AW4,ISERROR(INDEX(세부시간표!$A$3:$L$1183,9*AX4-1,10))),"",INDEX(세부시간표!$A$3:$L$1183,9*AX4-1,10))</x:f>
        <x:v>인공지능 프로그래밍</x:v>
      </x:c>
      <x:c r="AY31" s="82" t="str">
        <x:f>IF(OR(AY4&lt;0,AY4=AX4,ISERROR(INDEX(세부시간표!$A$3:$L$1183,9*AY4-1,10))),"",INDEX(세부시간표!$A$3:$L$1183,9*AY4-1,10))</x:f>
        <x:v>인공지능 프로그래밍</x:v>
      </x:c>
      <x:c r="AZ31" s="82" t="str">
        <x:f>IF(OR(AZ4&lt;0,AZ4=AY4,ISERROR(INDEX(세부시간표!$A$3:$L$1183,9*AZ4-1,10))),"",INDEX(세부시간표!$A$3:$L$1183,9*AZ4-1,10))</x:f>
        <x:v>인공지능 프로그래밍</x:v>
      </x:c>
      <x:c r="BA31" s="82" t="str">
        <x:f>IF(OR(BA4&lt;0,BA4=AZ4,ISERROR(INDEX(세부시간표!$A$3:$L$1183,9*BA4-1,10))),"",INDEX(세부시간표!$A$3:$L$1183,9*BA4-1,10))</x:f>
        <x:v>인공지능 프로그래밍</x:v>
      </x:c>
      <x:c r="BB31" s="82" t="str">
        <x:f>IF(OR(BB4&lt;0,BB4=BA4,ISERROR(INDEX(세부시간표!$A$3:$L$1183,9*BB4-1,10))),"",INDEX(세부시간표!$A$3:$L$1183,9*BB4-1,10))</x:f>
        <x:v>인공지능 프로그래밍</x:v>
      </x:c>
      <x:c r="BC31" s="82" t="str">
        <x:f>IF(OR(BC4&lt;0,BC4=BB4,ISERROR(INDEX(세부시간표!$A$3:$L$1183,9*BC4-1,10))),"",INDEX(세부시간표!$A$3:$L$1183,9*BC4-1,10))</x:f>
        <x:v>인공지능 프로그래밍</x:v>
      </x:c>
      <x:c r="BD31" s="82" t="str">
        <x:f>IF(OR(BD4&lt;0,BD4=BC4,ISERROR(INDEX(세부시간표!$A$3:$L$1183,9*BD4-1,10))),"",INDEX(세부시간표!$A$3:$L$1183,9*BD4-1,10))</x:f>
        <x:v>인공지능 프로그래밍</x:v>
      </x:c>
      <x:c r="BE31" s="82" t="str">
        <x:f>IF(OR(BE4&lt;0,BE4=BD4,ISERROR(INDEX(세부시간표!$A$3:$L$1183,9*BE4-1,10))),"",INDEX(세부시간표!$A$3:$L$1183,9*BE4-1,10))</x:f>
        <x:v>인공지능 프로그래밍</x:v>
      </x:c>
      <x:c r="BF31" s="82" t="str">
        <x:f>IF(OR(BF4&lt;0,BF4=BE4,ISERROR(INDEX(세부시간표!$A$3:$L$1183,9*BF4-1,10))),"",INDEX(세부시간표!$A$3:$L$1183,9*BF4-1,10))</x:f>
        <x:v>인공지능 프로그래밍</x:v>
      </x:c>
      <x:c r="BG31" s="82" t="str">
        <x:f>IF(OR(BG4&lt;0,BG4=BF4,ISERROR(INDEX(세부시간표!$A$3:$L$1183,9*BG4-1,10))),"",INDEX(세부시간표!$A$3:$L$1183,9*BG4-1,10))</x:f>
        <x:v>Advanced 프로젝트</x:v>
      </x:c>
      <x:c r="BH31" s="82" t="str">
        <x:f>IF(OR(BH4&lt;0,BH4=BG4,ISERROR(INDEX(세부시간표!$A$3:$L$1183,9*BH4-1,10))),"",INDEX(세부시간표!$A$3:$L$1183,9*BH4-1,10))</x:f>
        <x:v>Advanced 프로젝트</x:v>
      </x:c>
      <x:c r="BI31" s="82" t="str">
        <x:f>IF(OR(BI4&lt;0,BI4=BH4,ISERROR(INDEX(세부시간표!$A$3:$L$1183,9*BI4-1,10))),"",INDEX(세부시간표!$A$3:$L$1183,9*BI4-1,10))</x:f>
        <x:v>Advanced 프로젝트</x:v>
      </x:c>
      <x:c r="BJ31" s="82" t="str">
        <x:f>IF(OR(BJ4&lt;0,BJ4=BI4,ISERROR(INDEX(세부시간표!$A$3:$L$1183,9*BJ4-1,10))),"",INDEX(세부시간표!$A$3:$L$1183,9*BJ4-1,10))</x:f>
        <x:v>Advanced 프로젝트</x:v>
      </x:c>
      <x:c r="BK31" s="82" t="str">
        <x:f>IF(OR(BK4&lt;0,BK4=BJ4,ISERROR(INDEX(세부시간표!$A$3:$L$1183,9*BK4-1,10))),"",INDEX(세부시간표!$A$3:$L$1183,9*BK4-1,10))</x:f>
        <x:v>Advanced 프로젝트</x:v>
      </x:c>
      <x:c r="BL31" s="82" t="str">
        <x:f>IF(OR(BL4&lt;0,BL4=BK4,ISERROR(INDEX(세부시간표!$A$3:$L$1183,9*BL4-1,10))),"",INDEX(세부시간표!$A$3:$L$1183,9*BL4-1,10))</x:f>
        <x:v>Advanced 프로젝트</x:v>
      </x:c>
      <x:c r="BM31" s="82" t="str">
        <x:f>IF(OR(BM4&lt;0,BM4=BL4,ISERROR(INDEX(세부시간표!$A$3:$L$1183,9*BM4-1,10))),"",INDEX(세부시간표!$A$3:$L$1183,9*BM4-1,10))</x:f>
        <x:v>Advanced 프로젝트</x:v>
      </x:c>
      <x:c r="BN31" s="82" t="str">
        <x:f>IF(OR(BN4&lt;0,BN4=BM4,ISERROR(INDEX(세부시간표!$A$3:$L$1183,9*BN4-1,10))),"",INDEX(세부시간표!$A$3:$L$1183,9*BN4-1,10))</x:f>
        <x:v>Advanced 프로젝트</x:v>
      </x:c>
      <x:c r="BO31" s="82" t="str">
        <x:f>IF(OR(BO4&lt;0,BO4=BN4,ISERROR(INDEX(세부시간표!$A$3:$L$1183,9*BO4-1,10))),"",INDEX(세부시간표!$A$3:$L$1183,9*BO4-1,10))</x:f>
        <x:v>Advanced 프로젝트</x:v>
      </x:c>
      <x:c r="BP31" s="82" t="str">
        <x:f>IF(OR(BP4&lt;0,BP4=BO4,ISERROR(INDEX(세부시간표!$A$3:$L$1183,9*BP4-1,10))),"",INDEX(세부시간표!$A$3:$L$1183,9*BP4-1,10))</x:f>
        <x:v>Advanced 프로젝트</x:v>
      </x:c>
      <x:c r="BQ31" s="82" t="str">
        <x:f>IF(OR(BQ4&lt;0,BQ4=BP4,ISERROR(INDEX(세부시간표!$A$3:$L$1183,9*BQ4-1,10))),"",INDEX(세부시간표!$A$3:$L$1183,9*BQ4-1,10))</x:f>
        <x:v>Advanced 프로젝트</x:v>
      </x:c>
      <x:c r="BR31" s="82" t="str">
        <x:f>IF(OR(BR4&lt;0,BR4=BQ4,ISERROR(INDEX(세부시간표!$A$3:$L$1183,9*BR4-1,10))),"",INDEX(세부시간표!$A$3:$L$1183,9*BR4-1,10))</x:f>
        <x:v/>
      </x:c>
      <x:c r="BS31" s="82" t="str">
        <x:f>IF(OR(BS4&lt;0,BS4=BR4,ISERROR(INDEX(세부시간표!$A$3:$L$1183,9*BS4-1,10))),"",INDEX(세부시간표!$A$3:$L$1183,9*BS4-1,10))</x:f>
        <x:v>Advanced 프로젝트</x:v>
      </x:c>
      <x:c r="BT31" s="82" t="str">
        <x:f>IF(OR(BT4&lt;0,BT4=BS4,ISERROR(INDEX(세부시간표!$A$3:$L$1183,9*BT4-1,10))),"",INDEX(세부시간표!$A$3:$L$1183,9*BT4-1,10))</x:f>
        <x:v>Advanced 프로젝트</x:v>
      </x:c>
      <x:c r="BU31" s="82" t="str">
        <x:f>IF(OR(BU4&lt;0,BU4=BT4,ISERROR(INDEX(세부시간표!$A$3:$L$1183,9*BU4-1,10))),"",INDEX(세부시간표!$A$3:$L$1183,9*BU4-1,10))</x:f>
        <x:v>빅데이터 분석 및 시각화</x:v>
      </x:c>
      <x:c r="BV31" s="82" t="str">
        <x:f>IF(OR(BV4&lt;0,BV4=BU4,ISERROR(INDEX(세부시간표!$A$3:$L$1183,9*BV4-1,10))),"",INDEX(세부시간표!$A$3:$L$1183,9*BV4-1,10))</x:f>
        <x:v>빅데이터 분석 및 시각화</x:v>
      </x:c>
      <x:c r="BW31" s="82" t="str">
        <x:f>IF(OR(BW4&lt;0,BW4=BV4,ISERROR(INDEX(세부시간표!$A$3:$L$1183,9*BW4-1,10))),"",INDEX(세부시간표!$A$3:$L$1183,9*BW4-1,10))</x:f>
        <x:v/>
      </x:c>
      <x:c r="BX31" s="82" t="str">
        <x:f>IF(OR(BX4&lt;0,BX4=BW4,ISERROR(INDEX(세부시간표!$A$3:$L$1183,9*BX4-1,10))),"",INDEX(세부시간표!$A$3:$L$1183,9*BX4-1,10))</x:f>
        <x:v>빅데이터 분석 및 시각화</x:v>
      </x:c>
      <x:c r="BY31" s="82" t="str">
        <x:f>IF(OR(BY4&lt;0,BY4=BX4,ISERROR(INDEX(세부시간표!$A$3:$L$1183,9*BY4-1,10))),"",INDEX(세부시간표!$A$3:$L$1183,9*BY4-1,10))</x:f>
        <x:v>빅데이터 분석 및 시각화</x:v>
      </x:c>
      <x:c r="BZ31" s="82" t="str">
        <x:f>IF(OR(BZ4&lt;0,BZ4=BY4,ISERROR(INDEX(세부시간표!$A$3:$L$1183,9*BZ4-1,10))),"",INDEX(세부시간표!$A$3:$L$1183,9*BZ4-1,10))</x:f>
        <x:v>빅데이터 분석 및 시각화</x:v>
      </x:c>
      <x:c r="CA31" s="82" t="str">
        <x:f>IF(OR(CA4&lt;0,CA4=BZ4,ISERROR(INDEX(세부시간표!$A$3:$L$1183,9*CA4-1,10))),"",INDEX(세부시간표!$A$3:$L$1183,9*CA4-1,10))</x:f>
        <x:v>빅데이터 시스템 구축</x:v>
      </x:c>
      <x:c r="CB31" s="82" t="str">
        <x:f>IF(OR(CB4&lt;0,CB4=CA4,ISERROR(INDEX(세부시간표!$A$3:$L$1183,9*CB4-1,10))),"",INDEX(세부시간표!$A$3:$L$1183,9*CB4-1,10))</x:f>
        <x:v>빅데이터 시스템 구축</x:v>
      </x:c>
      <x:c r="CC31" s="82" t="str">
        <x:f>IF(OR(CC4&lt;0,CC4=CB4,ISERROR(INDEX(세부시간표!$A$3:$L$1183,9*CC4-1,10))),"",INDEX(세부시간표!$A$3:$L$1183,9*CC4-1,10))</x:f>
        <x:v>빅데이터 시스템 구축</x:v>
      </x:c>
      <x:c r="CD31" s="82" t="str">
        <x:f>IF(OR(CD4&lt;0,CD4=CC4,ISERROR(INDEX(세부시간표!$A$3:$L$1183,9*CD4-1,10))),"",INDEX(세부시간표!$A$3:$L$1183,9*CD4-1,10))</x:f>
        <x:v>빅데이터 시스템 구축</x:v>
      </x:c>
      <x:c r="CE31" s="82" t="str">
        <x:f>IF(OR(CE4&lt;0,CE4=CD4,ISERROR(INDEX(세부시간표!$A$3:$L$1183,9*CE4-1,10))),"",INDEX(세부시간표!$A$3:$L$1183,9*CE4-1,10))</x:f>
        <x:v>빅데이터 시스템 구축</x:v>
      </x:c>
      <x:c r="CF31" s="82" t="str">
        <x:f>IF(OR(CF4&lt;0,CF4=CE4,ISERROR(INDEX(세부시간표!$A$3:$L$1183,9*CF4-1,10))),"",INDEX(세부시간표!$A$3:$L$1183,9*CF4-1,10))</x:f>
        <x:v>빅데이터 시스템 구축</x:v>
      </x:c>
      <x:c r="CG31" s="82" t="str">
        <x:f>IF(OR(CG4&lt;0,CG4=CF4,ISERROR(INDEX(세부시간표!$A$3:$L$1183,9*CG4-1,10))),"",INDEX(세부시간표!$A$3:$L$1183,9*CG4-1,10))</x:f>
        <x:v>빅데이터 시스템 구축</x:v>
      </x:c>
      <x:c r="CH31" s="82" t="str">
        <x:f>IF(OR(CH4&lt;0,CH4=CG4,ISERROR(INDEX(세부시간표!$A$3:$L$1183,9*CH4-1,10))),"",INDEX(세부시간표!$A$3:$L$1183,9*CH4-1,10))</x:f>
        <x:v>빅데이터 시스템 구축</x:v>
      </x:c>
      <x:c r="CI31" s="82" t="str">
        <x:f>IF(OR(CI4&lt;0,CI4=CH4,ISERROR(INDEX(세부시간표!$A$3:$L$1183,9*CI4-1,10))),"",INDEX(세부시간표!$A$3:$L$1183,9*CI4-1,10))</x:f>
        <x:v>빅데이터 시스템 구축</x:v>
      </x:c>
      <x:c r="CJ31" s="82" t="str">
        <x:f>IF(OR(CJ4&lt;0,CJ4=CI4,ISERROR(INDEX(세부시간표!$A$3:$L$1183,9*CJ4-1,10))),"",INDEX(세부시간표!$A$3:$L$1183,9*CJ4-1,10))</x:f>
        <x:v>빅데이터 시스템 구축</x:v>
      </x:c>
      <x:c r="CK31" s="82" t="str">
        <x:f>IF(OR(CK4&lt;0,CK4=CJ4,ISERROR(INDEX(세부시간표!$A$3:$L$1183,9*CK4-1,10))),"",INDEX(세부시간표!$A$3:$L$1183,9*CK4-1,10))</x:f>
        <x:v>빅데이터 플랫폼 개발</x:v>
      </x:c>
      <x:c r="CL31" s="82" t="str">
        <x:f>IF(OR(CL4&lt;0,CL4=CK4,ISERROR(INDEX(세부시간표!$A$3:$L$1183,9*CL4-1,10))),"",INDEX(세부시간표!$A$3:$L$1183,9*CL4-1,10))</x:f>
        <x:v>빅데이터 플랫폼 개발</x:v>
      </x:c>
      <x:c r="CM31" s="82" t="str">
        <x:f>IF(OR(CM4&lt;0,CM4=CL4,ISERROR(INDEX(세부시간표!$A$3:$L$1183,9*CM4-1,10))),"",INDEX(세부시간표!$A$3:$L$1183,9*CM4-1,10))</x:f>
        <x:v>빅데이터 플랫폼 개발</x:v>
      </x:c>
      <x:c r="CN31" s="82" t="str">
        <x:f>IF(OR(CN4&lt;0,CN4=CM4,ISERROR(INDEX(세부시간표!$A$3:$L$1183,9*CN4-1,10))),"",INDEX(세부시간표!$A$3:$L$1183,9*CN4-1,10))</x:f>
        <x:v>빅데이터 플랫폼 개발</x:v>
      </x:c>
      <x:c r="CO31" s="82" t="str">
        <x:f>IF(OR(CO4&lt;0,CO4=CN4,ISERROR(INDEX(세부시간표!$A$3:$L$1183,9*CO4-1,10))),"",INDEX(세부시간표!$A$3:$L$1183,9*CO4-1,10))</x:f>
        <x:v>빅데이터 플랫폼 개발</x:v>
      </x:c>
      <x:c r="CP31" s="82" t="str">
        <x:f>IF(OR(CP4&lt;0,CP4=CO4,ISERROR(INDEX(세부시간표!$A$3:$L$1183,9*CP4-1,10))),"",INDEX(세부시간표!$A$3:$L$1183,9*CP4-1,10))</x:f>
        <x:v>빅데이터 플랫폼 개발</x:v>
      </x:c>
      <x:c r="CQ31" s="82" t="str">
        <x:f>IF(OR(CQ4&lt;0,CQ4=CP4,ISERROR(INDEX(세부시간표!$A$3:$L$1183,9*CQ4-1,10))),"",INDEX(세부시간표!$A$3:$L$1183,9*CQ4-1,10))</x:f>
        <x:v>빅데이터 플랫폼 개발</x:v>
      </x:c>
      <x:c r="CR31" s="82" t="str">
        <x:f>IF(OR(CR4&lt;0,CR4=CQ4,ISERROR(INDEX(세부시간표!$A$3:$L$1183,9*CR4-1,10))),"",INDEX(세부시간표!$A$3:$L$1183,9*CR4-1,10))</x:f>
        <x:v>빅데이터 플랫폼 개발</x:v>
      </x:c>
      <x:c r="CS31" s="82" t="str">
        <x:f>IF(OR(CS4&lt;0,CS4=CR4,ISERROR(INDEX(세부시간표!$A$3:$L$1183,9*CS4-1,10))),"",INDEX(세부시간표!$A$3:$L$1183,9*CS4-1,10))</x:f>
        <x:v>Final 프로젝트</x:v>
      </x:c>
      <x:c r="CT31" s="82" t="str">
        <x:f>IF(OR(CT4&lt;0,CT4=CS4,ISERROR(INDEX(세부시간표!$A$3:$L$1183,9*CT4-1,10))),"",INDEX(세부시간표!$A$3:$L$1183,9*CT4-1,10))</x:f>
        <x:v>Final 프로젝트</x:v>
      </x:c>
      <x:c r="CU31" s="82" t="str">
        <x:f>IF(OR(CU4&lt;0,CU4=CT4,ISERROR(INDEX(세부시간표!$A$3:$L$1183,9*CU4-1,10))),"",INDEX(세부시간표!$A$3:$L$1183,9*CU4-1,10))</x:f>
        <x:v>Final 프로젝트</x:v>
      </x:c>
      <x:c r="CV31" s="82" t="str">
        <x:f>IF(OR(CV4&lt;0,CV4=CU4,ISERROR(INDEX(세부시간표!$A$3:$L$1183,9*CV4-1,10))),"",INDEX(세부시간표!$A$3:$L$1183,9*CV4-1,10))</x:f>
        <x:v>Final 프로젝트</x:v>
      </x:c>
      <x:c r="CW31" s="82" t="str">
        <x:f>IF(OR(CW4&lt;0,CW4=CV4,ISERROR(INDEX(세부시간표!$A$3:$L$1183,9*CW4-1,10))),"",INDEX(세부시간표!$A$3:$L$1183,9*CW4-1,10))</x:f>
        <x:v>Final 프로젝트</x:v>
      </x:c>
      <x:c r="CX31" s="82" t="str">
        <x:f>IF(OR(CX4&lt;0,CX4=CW4,ISERROR(INDEX(세부시간표!$A$3:$L$1183,9*CX4-1,10))),"",INDEX(세부시간표!$A$3:$L$1183,9*CX4-1,10))</x:f>
        <x:v>Final 프로젝트</x:v>
      </x:c>
      <x:c r="CY31" s="82" t="str">
        <x:f>IF(OR(CY4&lt;0,CY4=CX4,ISERROR(INDEX(세부시간표!$A$3:$L$1183,9*CY4-1,10))),"",INDEX(세부시간표!$A$3:$L$1183,9*CY4-1,10))</x:f>
        <x:v>Final 프로젝트</x:v>
      </x:c>
      <x:c r="CZ31" s="82" t="str">
        <x:f>IF(OR(CZ4&lt;0,CZ4=CY4,ISERROR(INDEX(세부시간표!$A$3:$L$1183,9*CZ4-1,10))),"",INDEX(세부시간표!$A$3:$L$1183,9*CZ4-1,10))</x:f>
        <x:v>Final 프로젝트</x:v>
      </x:c>
      <x:c r="DA31" s="82" t="str">
        <x:f>IF(OR(DA4&lt;0,DA4=CZ4,ISERROR(INDEX(세부시간표!$A$3:$L$1183,9*DA4-1,10))),"",INDEX(세부시간표!$A$3:$L$1183,9*DA4-1,10))</x:f>
        <x:v>Final 프로젝트</x:v>
      </x:c>
      <x:c r="DB31" s="82" t="str">
        <x:f>IF(OR(DB4&lt;0,DB4=DA4,ISERROR(INDEX(세부시간표!$A$3:$L$1183,9*DB4-1,10))),"",INDEX(세부시간표!$A$3:$L$1183,9*DB4-1,10))</x:f>
        <x:v>Final 프로젝트</x:v>
      </x:c>
      <x:c r="DC31" s="82" t="str">
        <x:f>IF(OR(DC4&lt;0,DC4=DB4,ISERROR(INDEX(세부시간표!$A$3:$L$1183,9*DC4-1,10))),"",INDEX(세부시간표!$A$3:$L$1183,9*DC4-1,10))</x:f>
        <x:v/>
      </x:c>
      <x:c r="DD31" s="82" t="str">
        <x:f>IF(OR(DD4&lt;0,DD4=DC4,ISERROR(INDEX(세부시간표!$A$3:$L$1183,9*DD4-1,10))),"",INDEX(세부시간표!$A$3:$L$1183,9*DD4-1,10))</x:f>
        <x:v/>
      </x:c>
      <x:c r="DE31" s="82" t="str">
        <x:f>IF(OR(DE4&lt;0,DE4=DD4,ISERROR(INDEX(세부시간표!$A$3:$L$1183,9*DE4-1,10))),"",INDEX(세부시간표!$A$3:$L$1183,9*DE4-1,10))</x:f>
        <x:v/>
      </x:c>
      <x:c r="DF31" s="82" t="str">
        <x:f>IF(OR(DF4&lt;0,DF4=DE4,ISERROR(INDEX(세부시간표!$A$3:$L$1183,9*DF4-1,10))),"",INDEX(세부시간표!$A$3:$L$1183,9*DF4-1,10))</x:f>
        <x:v>Final 프로젝트</x:v>
      </x:c>
      <x:c r="DG31" s="82" t="str">
        <x:f>IF(OR(DG4&lt;0,DG4=DF4,ISERROR(INDEX(세부시간표!$A$3:$L$1183,9*DG4-1,10))),"",INDEX(세부시간표!$A$3:$L$1183,9*DG4-1,10))</x:f>
        <x:v>Final 프로젝트</x:v>
      </x:c>
      <x:c r="DH31" s="82" t="str">
        <x:f>IF(OR(DH4&lt;0,DH4=DG4,ISERROR(INDEX(세부시간표!$A$3:$L$1183,9*DH4-1,10))),"",INDEX(세부시간표!$A$3:$L$1183,9*DH4-1,10))</x:f>
        <x:v>Final 프로젝트</x:v>
      </x:c>
      <x:c r="DI31" s="82" t="str">
        <x:f>IF(OR(DI4&lt;0,DI4=DH4,ISERROR(INDEX(세부시간표!$A$3:$L$1183,9*DI4-1,10))),"",INDEX(세부시간표!$A$3:$L$1183,9*DI4-1,10))</x:f>
        <x:v>Final 프로젝트</x:v>
      </x:c>
      <x:c r="DJ31" s="82" t="str">
        <x:f>IF(OR(DJ4&lt;0,DJ4=DI4,ISERROR(INDEX(세부시간표!$A$3:$L$1183,9*DJ4-1,10))),"",INDEX(세부시간표!$A$3:$L$1183,9*DJ4-1,10))</x:f>
        <x:v>Final 프로젝트</x:v>
      </x:c>
      <x:c r="DK31" s="82" t="str">
        <x:f>IF(OR(DK4&lt;0,DK4=DJ4,ISERROR(INDEX(세부시간표!$A$3:$L$1183,9*DK4-1,10))),"",INDEX(세부시간표!$A$3:$L$1183,9*DK4-1,10))</x:f>
        <x:v>Final 프로젝트</x:v>
      </x:c>
      <x:c r="DL31" s="82" t="str">
        <x:f>IF(OR(DL4&lt;0,DL4=DK4,ISERROR(INDEX(세부시간표!$A$3:$L$1183,9*DL4-1,10))),"",INDEX(세부시간표!$A$3:$L$1183,9*DL4-1,10))</x:f>
        <x:v>Final 프로젝트</x:v>
      </x:c>
      <x:c r="DM31" s="82" t="str">
        <x:f>IF(OR(DM4&lt;0,DM4=DL4,ISERROR(INDEX(세부시간표!$A$3:$L$1183,9*DM4-1,10))),"",INDEX(세부시간표!$A$3:$L$1183,9*DM4-1,10))</x:f>
        <x:v/>
      </x:c>
      <x:c r="DN31" s="82" t="str">
        <x:f>IF(OR(DN4&lt;0,DN4=DM4,ISERROR(INDEX(세부시간표!$A$3:$L$1183,9*DN4-1,10))),"",INDEX(세부시간표!$A$3:$L$1183,9*DN4-1,10))</x:f>
        <x:v>Final 프로젝트</x:v>
      </x:c>
      <x:c r="DO31" s="82" t="str">
        <x:f>IF(OR(DO4&lt;0,DO4=DN4,ISERROR(INDEX(세부시간표!$A$3:$L$1183,9*DO4-1,10))),"",INDEX(세부시간표!$A$3:$L$1183,9*DO4-1,10))</x:f>
        <x:v>Final 프로젝트</x:v>
      </x:c>
      <x:c r="DP31" s="82" t="str">
        <x:f>IF(OR(DP4&lt;0,DP4=DO4,ISERROR(INDEX(세부시간표!$A$3:$L$1183,9*DP4-1,10))),"",INDEX(세부시간표!$A$3:$L$1183,9*DP4-1,10))</x:f>
        <x:v>Final 프로젝트</x:v>
      </x:c>
      <x:c r="DQ31" s="82" t="str">
        <x:f>IF(OR(DQ4&lt;0,DQ4=DP4,ISERROR(INDEX(세부시간표!$A$3:$L$1183,9*DQ4-1,10))),"",INDEX(세부시간표!$A$3:$L$1183,9*DQ4-1,10))</x:f>
        <x:v>Final 프로젝트</x:v>
      </x:c>
      <x:c r="DR31" s="82" t="str">
        <x:f>IF(OR(DR4&lt;0,DR4=DQ4,ISERROR(INDEX(세부시간표!$A$3:$L$1183,9*DR4-1,10))),"",INDEX(세부시간표!$A$3:$L$1183,9*DR4-1,10))</x:f>
        <x:v>Final 프로젝트</x:v>
      </x:c>
      <x:c r="DS31" s="82" t="str">
        <x:f>IF(OR(DS4&lt;0,DS4=DR4,ISERROR(INDEX(세부시간표!$A$3:$L$1183,9*DS4-1,10))),"",INDEX(세부시간표!$A$3:$L$1183,9*DS4-1,10))</x:f>
        <x:v>Final 프로젝트</x:v>
      </x:c>
      <x:c r="DT31" s="82" t="str">
        <x:f>IF(OR(DT4&lt;0,DT4=DS4,ISERROR(INDEX(세부시간표!$A$3:$L$1183,9*DT4-1,10))),"",INDEX(세부시간표!$A$3:$L$1183,9*DT4-1,10))</x:f>
        <x:v>Final 프로젝트</x:v>
      </x:c>
      <x:c r="DU31" s="82" t="str">
        <x:f>IF(OR(DU4&lt;0,DU4=DT4,ISERROR(INDEX(세부시간표!$A$3:$L$1183,9*DU4-1,10))),"",INDEX(세부시간표!$A$3:$L$1183,9*DU4-1,10))</x:f>
        <x:v>Final 프로젝트</x:v>
      </x:c>
      <x:c r="DV31" s="82" t="str">
        <x:f>IF(OR(DV4&lt;0,DV4=DU4,ISERROR(INDEX(세부시간표!$A$3:$L$1183,9*DV4-1,10))),"",INDEX(세부시간표!$A$3:$L$1183,9*DV4-1,10))</x:f>
        <x:v>Final 프로젝트</x:v>
      </x:c>
      <x:c r="DW31" s="82" t="str">
        <x:f>IF(OR(DW4&lt;0,DW4=DV4,ISERROR(INDEX(세부시간표!$A$3:$L$1183,9*DW4-1,10))),"",INDEX(세부시간표!$A$3:$L$1183,9*DW4-1,10))</x:f>
        <x:v>Final 프로젝트</x:v>
      </x:c>
      <x:c r="DX31" s="82" t="str">
        <x:f>IF(OR(DX4&lt;0,DX4=DW4,ISERROR(INDEX(세부시간표!$A$3:$L$1183,9*DX4-1,10))),"",INDEX(세부시간표!$A$3:$L$1183,9*DX4-1,10))</x:f>
        <x:v>Final 프로젝트</x:v>
      </x:c>
      <x:c r="DY31" s="82" t="str">
        <x:f>IF(OR(DY4&lt;0,DY4=DX4,ISERROR(INDEX(세부시간표!$A$3:$L$1183,9*DY4-1,10))),"",INDEX(세부시간표!$A$3:$L$1183,9*DY4-1,10))</x:f>
        <x:v>Final 프로젝트</x:v>
      </x:c>
      <x:c r="DZ31" s="82" t="str">
        <x:f>IF(OR(DZ4&lt;0,DZ4=DY4,ISERROR(INDEX(세부시간표!$A$3:$L$1183,9*DZ4-1,10))),"",INDEX(세부시간표!$A$3:$L$1183,9*DZ4-1,10))</x:f>
        <x:v>Final 프로젝트</x:v>
      </x:c>
      <x:c r="EA31" s="82" t="str">
        <x:f>IF(OR(EA4&lt;0,EA4=DZ4,ISERROR(INDEX(세부시간표!$A$3:$L$1183,9*EA4-1,10))),"",INDEX(세부시간표!$A$3:$L$1183,9*EA4-1,10))</x:f>
        <x:v>Final 프로젝트</x:v>
      </x:c>
      <x:c r="EB31" s="82" t="str">
        <x:f>IF(OR(EB4&lt;0,EB4=EA4,ISERROR(INDEX(세부시간표!$A$3:$L$1183,9*EB4-1,10))),"",INDEX(세부시간표!$A$3:$L$1183,9*EB4-1,10))</x:f>
        <x:v>Final 프로젝트</x:v>
      </x:c>
      <x:c r="EC31" s="82" t="str">
        <x:f>IF(OR(EC4&lt;0,EC4=EB4,ISERROR(INDEX(세부시간표!$A$3:$L$1183,9*EC4-1,10))),"",INDEX(세부시간표!$A$3:$L$1183,9*EC4-1,10))</x:f>
        <x:v>취업특강 및 모의면접</x:v>
      </x:c>
      <x:c r="ED31" s="82" t="str">
        <x:f>IF(OR(ED4&lt;0,ED4=EC4,ISERROR(INDEX(세부시간표!$A$3:$L$1183,9*ED4-1,10))),"",INDEX(세부시간표!$A$3:$L$1183,9*ED4-1,10))</x:f>
        <x:v>산업체특강 , 프로젝트 발표(시연), 수료식</x:v>
      </x:c>
      <x:c r="EE31" s="82" t="str">
        <x:f>IF(OR(EE4&lt;0,EE4=ED4,ISERROR(INDEX(세부시간표!$A$3:$L$1183,9*EE4-1,10))),"",INDEX(세부시간표!$A$3:$L$1183,9*EE4-1,10))</x:f>
        <x:v/>
      </x:c>
      <x:c r="EF31" s="82" t="str">
        <x:f>IF(OR(EF4&lt;0,EF4=EE4,ISERROR(INDEX(세부시간표!$A$3:$L$1183,9*EF4-1,10))),"",INDEX(세부시간표!$A$3:$L$1183,9*EF4-1,10))</x:f>
        <x:v/>
      </x:c>
      <x:c r="EG31" s="82" t="str">
        <x:f>IF(OR(EG4&lt;0,EG4=EF4,ISERROR(INDEX(세부시간표!$A$3:$L$1183,9*EG4-1,10))),"",INDEX(세부시간표!$A$3:$L$1183,9*EG4-1,10))</x:f>
        <x:v/>
      </x:c>
      <x:c r="EH31" s="82" t="str">
        <x:f>IF(OR(EH4&lt;0,EH4=EG4,ISERROR(INDEX(세부시간표!$A$3:$L$1183,9*EH4-1,10))),"",INDEX(세부시간표!$A$3:$L$1183,9*EH4-1,10))</x:f>
        <x:v/>
      </x:c>
      <x:c r="EI31" s="82" t="str">
        <x:f>IF(OR(EI4&lt;0,EI4=EH4,ISERROR(INDEX(세부시간표!$A$3:$L$1183,9*EI4-1,10))),"",INDEX(세부시간표!$A$3:$L$1183,9*EI4-1,10))</x:f>
        <x:v/>
      </x:c>
      <x:c r="EJ31" s="82" t="str">
        <x:f>IF(OR(EJ4&lt;0,EJ4=EI4,ISERROR(INDEX(세부시간표!$A$3:$L$1183,9*EJ4-1,10))),"",INDEX(세부시간표!$A$3:$L$1183,9*EJ4-1,10))</x:f>
        <x:v/>
      </x:c>
      <x:c r="EK31" s="82" t="str">
        <x:f>IF(OR(EK4&lt;0,EK4=EJ4,ISERROR(INDEX(세부시간표!$A$3:$L$1183,9*EK4-1,10))),"",INDEX(세부시간표!$A$3:$L$1183,9*EK4-1,10))</x:f>
        <x:v/>
      </x:c>
      <x:c r="EL31" s="85" t="str">
        <x:f>IF(OR(EL4&lt;0,EL4=EK4,ISERROR(INDEX(세부시간표!$A$3:$L$1183,9*EL4-1,10))),"",INDEX(세부시간표!$A$3:$L$1183,9*EL4-1,10))</x:f>
        <x:v/>
      </x:c>
      <x:c r="EM31" s="83" t="str">
        <x:f>IF(OR(EM4&lt;0,EM4=EL4,ISERROR(INDEX(세부시간표!$A$3:$L$1183,9*EM4-1,10))),"",INDEX(세부시간표!$A$3:$L$1183,9*EM4-1,10))</x:f>
        <x:v/>
      </x:c>
      <x:c r="EN31" s="83" t="str">
        <x:f>IF(OR(EN4&lt;0,EN4=EM4,ISERROR(INDEX(세부시간표!$A$3:$L$1183,9*EN4-1,10))),"",INDEX(세부시간표!$A$3:$L$1183,9*EN4-1,10))</x:f>
        <x:v/>
      </x:c>
      <x:c r="EO31" s="83" t="str">
        <x:f>IF(OR(EO4&lt;0,EO4=EN4,ISERROR(INDEX(세부시간표!$A$3:$L$1183,9*EO4-1,10))),"",INDEX(세부시간표!$A$3:$L$1183,9*EO4-1,10))</x:f>
        <x:v/>
      </x:c>
      <x:c r="EP31" s="84" t="str">
        <x:f>IF(OR(EP4&lt;0,EP4=EO4,ISERROR(INDEX(세부시간표!$A$3:$L$1183,9*EP4-1,10))),"",INDEX(세부시간표!$A$3:$L$1183,9*EP4-1,10))</x:f>
        <x:v/>
      </x:c>
    </x:row>
    <x:row r="32" spans="1:146" s="88" customFormat="1" ht="30" customHeight="1">
      <x:c r="A32" s="278"/>
      <x:c r="B32" s="64" t="str">
        <x:f>B31</x:f>
        <x:v>웹 애플리케이션 개발</x:v>
      </x:c>
      <x:c r="C32" s="64" t="str">
        <x:f t="shared" ref="C32:BN32" si="34">C31</x:f>
        <x:v>웹 애플리케이션 개발</x:v>
      </x:c>
      <x:c r="D32" s="64" t="str">
        <x:f t="shared" si="34"/>
        <x:v>웹 애플리케이션 개발</x:v>
      </x:c>
      <x:c r="E32" s="64" t="str">
        <x:f t="shared" si="34"/>
        <x:v>웹 애플리케이션 개발</x:v>
      </x:c>
      <x:c r="F32" s="64" t="str">
        <x:f t="shared" si="34"/>
        <x:v>웹 애플리케이션 개발</x:v>
      </x:c>
      <x:c r="G32" s="64" t="str">
        <x:f t="shared" si="34"/>
        <x:v>웹 애플리케이션 개발</x:v>
      </x:c>
      <x:c r="H32" s="64" t="str">
        <x:f t="shared" si="34"/>
        <x:v>웹 애플리케이션 개발</x:v>
      </x:c>
      <x:c r="I32" s="64" t="str">
        <x:f t="shared" si="34"/>
        <x:v>웹 애플리케이션 개발</x:v>
      </x:c>
      <x:c r="J32" s="64" t="str">
        <x:f t="shared" si="34"/>
        <x:v>웹 애플리케이션 개발</x:v>
      </x:c>
      <x:c r="K32" s="64" t="str">
        <x:f t="shared" si="34"/>
        <x:v/>
      </x:c>
      <x:c r="L32" s="64" t="str">
        <x:f t="shared" si="34"/>
        <x:v/>
      </x:c>
      <x:c r="M32" s="64" t="str">
        <x:f t="shared" si="34"/>
        <x:v/>
      </x:c>
      <x:c r="N32" s="64" t="str">
        <x:f t="shared" si="34"/>
        <x:v/>
      </x:c>
      <x:c r="O32" s="64" t="str">
        <x:f t="shared" si="34"/>
        <x:v/>
      </x:c>
      <x:c r="P32" s="64" t="str">
        <x:f t="shared" si="34"/>
        <x:v>웹 애플리케이션 개발</x:v>
      </x:c>
      <x:c r="Q32" s="64" t="str">
        <x:f t="shared" si="34"/>
        <x:v>웹&amp;콘텐츠 서비스 개발</x:v>
      </x:c>
      <x:c r="R32" s="64" t="str">
        <x:f t="shared" si="34"/>
        <x:v>웹&amp;콘텐츠 서비스 개발</x:v>
      </x:c>
      <x:c r="S32" s="64" t="str">
        <x:f t="shared" si="34"/>
        <x:v>웹&amp;콘텐츠 서비스 개발</x:v>
      </x:c>
      <x:c r="T32" s="64" t="str">
        <x:f t="shared" si="34"/>
        <x:v>웹&amp;콘텐츠 서비스 개발</x:v>
      </x:c>
      <x:c r="U32" s="64" t="str">
        <x:f t="shared" si="34"/>
        <x:v>웹&amp;콘텐츠 서비스 개발</x:v>
      </x:c>
      <x:c r="V32" s="64" t="str">
        <x:f t="shared" si="34"/>
        <x:v>SQL 및 데이터 모델링</x:v>
      </x:c>
      <x:c r="W32" s="64" t="str">
        <x:f t="shared" si="34"/>
        <x:v>SQL 및 데이터 모델링</x:v>
      </x:c>
      <x:c r="X32" s="64" t="str">
        <x:f t="shared" si="34"/>
        <x:v>SQL 및 데이터 모델링</x:v>
      </x:c>
      <x:c r="Y32" s="64" t="str">
        <x:f t="shared" si="34"/>
        <x:v>SQL 및 데이터 모델링</x:v>
      </x:c>
      <x:c r="Z32" s="64" t="str">
        <x:f t="shared" si="34"/>
        <x:v>SQL 및 데이터 모델링</x:v>
      </x:c>
      <x:c r="AA32" s="64" t="str">
        <x:f t="shared" si="34"/>
        <x:v>SQL 및 데이터 모델링</x:v>
      </x:c>
      <x:c r="AB32" s="64" t="str">
        <x:f t="shared" si="34"/>
        <x:v>SQL 및 데이터 모델링</x:v>
      </x:c>
      <x:c r="AC32" s="64" t="str">
        <x:f t="shared" si="34"/>
        <x:v>SQL 및 데이터 모델링</x:v>
      </x:c>
      <x:c r="AD32" s="64" t="str">
        <x:f t="shared" si="34"/>
        <x:v>SQL 및 데이터 모델링</x:v>
      </x:c>
      <x:c r="AE32" s="64" t="str">
        <x:f t="shared" si="34"/>
        <x:v>AI개발 기초</x:v>
      </x:c>
      <x:c r="AF32" s="64" t="str">
        <x:f t="shared" si="34"/>
        <x:v>AI개발 기초</x:v>
      </x:c>
      <x:c r="AG32" s="64" t="str">
        <x:f t="shared" si="34"/>
        <x:v>AI개발 기초</x:v>
      </x:c>
      <x:c r="AH32" s="64" t="str">
        <x:f t="shared" si="34"/>
        <x:v>AI개발 기초</x:v>
      </x:c>
      <x:c r="AI32" s="64" t="str">
        <x:f t="shared" si="34"/>
        <x:v>AI개발 기초</x:v>
      </x:c>
      <x:c r="AJ32" s="64" t="str">
        <x:f t="shared" si="34"/>
        <x:v>AI개발 기초</x:v>
      </x:c>
      <x:c r="AK32" s="64" t="str">
        <x:f t="shared" si="34"/>
        <x:v>AI개발 기초</x:v>
      </x:c>
      <x:c r="AL32" s="64" t="str">
        <x:f t="shared" si="34"/>
        <x:v>AI개발 기초</x:v>
      </x:c>
      <x:c r="AM32" s="64" t="str">
        <x:f t="shared" si="34"/>
        <x:v>AI개발 기초</x:v>
      </x:c>
      <x:c r="AN32" s="64" t="str">
        <x:f t="shared" si="34"/>
        <x:v>AI개발 기초</x:v>
      </x:c>
      <x:c r="AO32" s="64" t="str">
        <x:f t="shared" si="34"/>
        <x:v>AI개발 기초</x:v>
      </x:c>
      <x:c r="AP32" s="64" t="str">
        <x:f t="shared" si="34"/>
        <x:v>AI개발 기초</x:v>
      </x:c>
      <x:c r="AQ32" s="64" t="str">
        <x:f t="shared" si="34"/>
        <x:v>인공지능 프로그래밍</x:v>
      </x:c>
      <x:c r="AR32" s="64" t="str">
        <x:f t="shared" si="34"/>
        <x:v>인공지능 프로그래밍</x:v>
      </x:c>
      <x:c r="AS32" s="64" t="str">
        <x:f t="shared" si="34"/>
        <x:v>인공지능 프로그래밍</x:v>
      </x:c>
      <x:c r="AT32" s="64" t="str">
        <x:f t="shared" si="34"/>
        <x:v>인공지능 프로그래밍</x:v>
      </x:c>
      <x:c r="AU32" s="64" t="str">
        <x:f t="shared" si="34"/>
        <x:v>인공지능 프로그래밍</x:v>
      </x:c>
      <x:c r="AV32" s="64" t="str">
        <x:f t="shared" si="34"/>
        <x:v>인공지능 프로그래밍</x:v>
      </x:c>
      <x:c r="AW32" s="64" t="str">
        <x:f t="shared" si="34"/>
        <x:v>인공지능 프로그래밍</x:v>
      </x:c>
      <x:c r="AX32" s="64" t="str">
        <x:f t="shared" si="34"/>
        <x:v>인공지능 프로그래밍</x:v>
      </x:c>
      <x:c r="AY32" s="64" t="str">
        <x:f t="shared" si="34"/>
        <x:v>인공지능 프로그래밍</x:v>
      </x:c>
      <x:c r="AZ32" s="64" t="str">
        <x:f t="shared" si="34"/>
        <x:v>인공지능 프로그래밍</x:v>
      </x:c>
      <x:c r="BA32" s="64" t="str">
        <x:f t="shared" si="34"/>
        <x:v>인공지능 프로그래밍</x:v>
      </x:c>
      <x:c r="BB32" s="64" t="str">
        <x:f t="shared" si="34"/>
        <x:v>인공지능 프로그래밍</x:v>
      </x:c>
      <x:c r="BC32" s="64" t="str">
        <x:f t="shared" si="34"/>
        <x:v>인공지능 프로그래밍</x:v>
      </x:c>
      <x:c r="BD32" s="64" t="str">
        <x:f t="shared" si="34"/>
        <x:v>인공지능 프로그래밍</x:v>
      </x:c>
      <x:c r="BE32" s="64" t="str">
        <x:f t="shared" si="34"/>
        <x:v>인공지능 프로그래밍</x:v>
      </x:c>
      <x:c r="BF32" s="64" t="str">
        <x:f t="shared" si="34"/>
        <x:v>인공지능 프로그래밍</x:v>
      </x:c>
      <x:c r="BG32" s="64" t="str">
        <x:f t="shared" si="34"/>
        <x:v>Advanced 프로젝트</x:v>
      </x:c>
      <x:c r="BH32" s="64" t="str">
        <x:f t="shared" si="34"/>
        <x:v>Advanced 프로젝트</x:v>
      </x:c>
      <x:c r="BI32" s="64" t="str">
        <x:f t="shared" si="34"/>
        <x:v>Advanced 프로젝트</x:v>
      </x:c>
      <x:c r="BJ32" s="64" t="str">
        <x:f t="shared" si="34"/>
        <x:v>Advanced 프로젝트</x:v>
      </x:c>
      <x:c r="BK32" s="64" t="str">
        <x:f t="shared" si="34"/>
        <x:v>Advanced 프로젝트</x:v>
      </x:c>
      <x:c r="BL32" s="64" t="str">
        <x:f t="shared" si="34"/>
        <x:v>Advanced 프로젝트</x:v>
      </x:c>
      <x:c r="BM32" s="64" t="str">
        <x:f t="shared" si="34"/>
        <x:v>Advanced 프로젝트</x:v>
      </x:c>
      <x:c r="BN32" s="64" t="str">
        <x:f t="shared" si="34"/>
        <x:v>Advanced 프로젝트</x:v>
      </x:c>
      <x:c r="BO32" s="64" t="str">
        <x:f t="shared" ref="BO32:DZ32" si="35">BO31</x:f>
        <x:v>Advanced 프로젝트</x:v>
      </x:c>
      <x:c r="BP32" s="64" t="str">
        <x:f t="shared" si="35"/>
        <x:v>Advanced 프로젝트</x:v>
      </x:c>
      <x:c r="BQ32" s="64" t="str">
        <x:f t="shared" si="35"/>
        <x:v>Advanced 프로젝트</x:v>
      </x:c>
      <x:c r="BR32" s="64" t="str">
        <x:f t="shared" si="35"/>
        <x:v/>
      </x:c>
      <x:c r="BS32" s="64" t="str">
        <x:f t="shared" si="35"/>
        <x:v>Advanced 프로젝트</x:v>
      </x:c>
      <x:c r="BT32" s="64" t="str">
        <x:f t="shared" si="35"/>
        <x:v>Advanced 프로젝트</x:v>
      </x:c>
      <x:c r="BU32" s="64" t="str">
        <x:f t="shared" si="35"/>
        <x:v>빅데이터 분석 및 시각화</x:v>
      </x:c>
      <x:c r="BV32" s="64" t="str">
        <x:f t="shared" si="35"/>
        <x:v>빅데이터 분석 및 시각화</x:v>
      </x:c>
      <x:c r="BW32" s="64" t="str">
        <x:f t="shared" si="35"/>
        <x:v/>
      </x:c>
      <x:c r="BX32" s="64" t="str">
        <x:f t="shared" si="35"/>
        <x:v>빅데이터 분석 및 시각화</x:v>
      </x:c>
      <x:c r="BY32" s="64" t="str">
        <x:f t="shared" si="35"/>
        <x:v>빅데이터 분석 및 시각화</x:v>
      </x:c>
      <x:c r="BZ32" s="64" t="str">
        <x:f t="shared" si="35"/>
        <x:v>빅데이터 분석 및 시각화</x:v>
      </x:c>
      <x:c r="CA32" s="64" t="str">
        <x:f t="shared" si="35"/>
        <x:v>빅데이터 시스템 구축</x:v>
      </x:c>
      <x:c r="CB32" s="64" t="str">
        <x:f t="shared" si="35"/>
        <x:v>빅데이터 시스템 구축</x:v>
      </x:c>
      <x:c r="CC32" s="64" t="str">
        <x:f t="shared" si="35"/>
        <x:v>빅데이터 시스템 구축</x:v>
      </x:c>
      <x:c r="CD32" s="64" t="str">
        <x:f t="shared" si="35"/>
        <x:v>빅데이터 시스템 구축</x:v>
      </x:c>
      <x:c r="CE32" s="64" t="str">
        <x:f t="shared" si="35"/>
        <x:v>빅데이터 시스템 구축</x:v>
      </x:c>
      <x:c r="CF32" s="64" t="str">
        <x:f t="shared" si="35"/>
        <x:v>빅데이터 시스템 구축</x:v>
      </x:c>
      <x:c r="CG32" s="64" t="str">
        <x:f t="shared" si="35"/>
        <x:v>빅데이터 시스템 구축</x:v>
      </x:c>
      <x:c r="CH32" s="64" t="str">
        <x:f t="shared" si="35"/>
        <x:v>빅데이터 시스템 구축</x:v>
      </x:c>
      <x:c r="CI32" s="64" t="str">
        <x:f t="shared" si="35"/>
        <x:v>빅데이터 시스템 구축</x:v>
      </x:c>
      <x:c r="CJ32" s="64" t="str">
        <x:f t="shared" si="35"/>
        <x:v>빅데이터 시스템 구축</x:v>
      </x:c>
      <x:c r="CK32" s="64" t="str">
        <x:f t="shared" si="35"/>
        <x:v>빅데이터 플랫폼 개발</x:v>
      </x:c>
      <x:c r="CL32" s="64" t="str">
        <x:f t="shared" si="35"/>
        <x:v>빅데이터 플랫폼 개발</x:v>
      </x:c>
      <x:c r="CM32" s="64" t="str">
        <x:f t="shared" si="35"/>
        <x:v>빅데이터 플랫폼 개발</x:v>
      </x:c>
      <x:c r="CN32" s="64" t="str">
        <x:f t="shared" si="35"/>
        <x:v>빅데이터 플랫폼 개발</x:v>
      </x:c>
      <x:c r="CO32" s="64" t="str">
        <x:f t="shared" si="35"/>
        <x:v>빅데이터 플랫폼 개발</x:v>
      </x:c>
      <x:c r="CP32" s="64" t="str">
        <x:f t="shared" si="35"/>
        <x:v>빅데이터 플랫폼 개발</x:v>
      </x:c>
      <x:c r="CQ32" s="64" t="str">
        <x:f t="shared" si="35"/>
        <x:v>빅데이터 플랫폼 개발</x:v>
      </x:c>
      <x:c r="CR32" s="64" t="str">
        <x:f t="shared" si="35"/>
        <x:v>빅데이터 플랫폼 개발</x:v>
      </x:c>
      <x:c r="CS32" s="64" t="str">
        <x:f t="shared" si="35"/>
        <x:v>Final 프로젝트</x:v>
      </x:c>
      <x:c r="CT32" s="64" t="str">
        <x:f t="shared" si="35"/>
        <x:v>Final 프로젝트</x:v>
      </x:c>
      <x:c r="CU32" s="64" t="str">
        <x:f t="shared" si="35"/>
        <x:v>Final 프로젝트</x:v>
      </x:c>
      <x:c r="CV32" s="64" t="str">
        <x:f t="shared" si="35"/>
        <x:v>Final 프로젝트</x:v>
      </x:c>
      <x:c r="CW32" s="64" t="str">
        <x:f t="shared" si="35"/>
        <x:v>Final 프로젝트</x:v>
      </x:c>
      <x:c r="CX32" s="64" t="str">
        <x:f t="shared" si="35"/>
        <x:v>Final 프로젝트</x:v>
      </x:c>
      <x:c r="CY32" s="64" t="str">
        <x:f t="shared" si="35"/>
        <x:v>Final 프로젝트</x:v>
      </x:c>
      <x:c r="CZ32" s="64" t="str">
        <x:f t="shared" si="35"/>
        <x:v>Final 프로젝트</x:v>
      </x:c>
      <x:c r="DA32" s="64" t="str">
        <x:f t="shared" si="35"/>
        <x:v>Final 프로젝트</x:v>
      </x:c>
      <x:c r="DB32" s="64" t="str">
        <x:f t="shared" si="35"/>
        <x:v>Final 프로젝트</x:v>
      </x:c>
      <x:c r="DC32" s="64" t="str">
        <x:f t="shared" si="35"/>
        <x:v/>
      </x:c>
      <x:c r="DD32" s="64" t="str">
        <x:f t="shared" si="35"/>
        <x:v/>
      </x:c>
      <x:c r="DE32" s="64" t="str">
        <x:f t="shared" si="35"/>
        <x:v/>
      </x:c>
      <x:c r="DF32" s="64" t="str">
        <x:f t="shared" si="35"/>
        <x:v>Final 프로젝트</x:v>
      </x:c>
      <x:c r="DG32" s="64" t="str">
        <x:f t="shared" si="35"/>
        <x:v>Final 프로젝트</x:v>
      </x:c>
      <x:c r="DH32" s="64" t="str">
        <x:f t="shared" si="35"/>
        <x:v>Final 프로젝트</x:v>
      </x:c>
      <x:c r="DI32" s="64" t="str">
        <x:f t="shared" si="35"/>
        <x:v>Final 프로젝트</x:v>
      </x:c>
      <x:c r="DJ32" s="64" t="str">
        <x:f t="shared" si="35"/>
        <x:v>Final 프로젝트</x:v>
      </x:c>
      <x:c r="DK32" s="64" t="str">
        <x:f t="shared" si="35"/>
        <x:v>Final 프로젝트</x:v>
      </x:c>
      <x:c r="DL32" s="64" t="str">
        <x:f t="shared" si="35"/>
        <x:v>Final 프로젝트</x:v>
      </x:c>
      <x:c r="DM32" s="64" t="str">
        <x:f t="shared" si="35"/>
        <x:v/>
      </x:c>
      <x:c r="DN32" s="64" t="str">
        <x:f t="shared" si="35"/>
        <x:v>Final 프로젝트</x:v>
      </x:c>
      <x:c r="DO32" s="64" t="str">
        <x:f t="shared" si="35"/>
        <x:v>Final 프로젝트</x:v>
      </x:c>
      <x:c r="DP32" s="64" t="str">
        <x:f t="shared" si="35"/>
        <x:v>Final 프로젝트</x:v>
      </x:c>
      <x:c r="DQ32" s="64" t="str">
        <x:f t="shared" si="35"/>
        <x:v>Final 프로젝트</x:v>
      </x:c>
      <x:c r="DR32" s="64" t="str">
        <x:f t="shared" si="35"/>
        <x:v>Final 프로젝트</x:v>
      </x:c>
      <x:c r="DS32" s="64" t="str">
        <x:f t="shared" si="35"/>
        <x:v>Final 프로젝트</x:v>
      </x:c>
      <x:c r="DT32" s="64" t="str">
        <x:f t="shared" si="35"/>
        <x:v>Final 프로젝트</x:v>
      </x:c>
      <x:c r="DU32" s="64" t="str">
        <x:f t="shared" si="35"/>
        <x:v>Final 프로젝트</x:v>
      </x:c>
      <x:c r="DV32" s="64" t="str">
        <x:f t="shared" si="35"/>
        <x:v>Final 프로젝트</x:v>
      </x:c>
      <x:c r="DW32" s="64" t="str">
        <x:f t="shared" si="35"/>
        <x:v>Final 프로젝트</x:v>
      </x:c>
      <x:c r="DX32" s="64" t="str">
        <x:f t="shared" si="35"/>
        <x:v>Final 프로젝트</x:v>
      </x:c>
      <x:c r="DY32" s="64" t="str">
        <x:f t="shared" si="35"/>
        <x:v>Final 프로젝트</x:v>
      </x:c>
      <x:c r="DZ32" s="64" t="str">
        <x:f t="shared" si="35"/>
        <x:v>Final 프로젝트</x:v>
      </x:c>
      <x:c r="EA32" s="64" t="str">
        <x:f t="shared" ref="EA32:EK32" si="36">EA31</x:f>
        <x:v>Final 프로젝트</x:v>
      </x:c>
      <x:c r="EB32" s="64" t="str">
        <x:f t="shared" si="36"/>
        <x:v>Final 프로젝트</x:v>
      </x:c>
      <x:c r="EC32" s="64" t="str">
        <x:f t="shared" si="36"/>
        <x:v>취업특강 및 모의면접</x:v>
      </x:c>
      <x:c r="ED32" s="64" t="str">
        <x:f t="shared" si="36"/>
        <x:v>산업체특강 , 프로젝트 발표(시연), 수료식</x:v>
      </x:c>
      <x:c r="EE32" s="64" t="str">
        <x:f t="shared" si="36"/>
        <x:v/>
      </x:c>
      <x:c r="EF32" s="64" t="str">
        <x:f t="shared" si="36"/>
        <x:v/>
      </x:c>
      <x:c r="EG32" s="64" t="str">
        <x:f t="shared" si="36"/>
        <x:v/>
      </x:c>
      <x:c r="EH32" s="64" t="str">
        <x:f t="shared" si="36"/>
        <x:v/>
      </x:c>
      <x:c r="EI32" s="64" t="str">
        <x:f t="shared" si="36"/>
        <x:v/>
      </x:c>
      <x:c r="EJ32" s="64" t="str">
        <x:f t="shared" si="36"/>
        <x:v/>
      </x:c>
      <x:c r="EK32" s="64" t="str">
        <x:f t="shared" si="36"/>
        <x:v/>
      </x:c>
      <x:c r="EL32" s="60" t="str">
        <x:f>EL31</x:f>
        <x:v/>
      </x:c>
      <x:c r="EM32" s="58" t="str">
        <x:f>EM31</x:f>
        <x:v/>
      </x:c>
      <x:c r="EN32" s="58" t="str">
        <x:f>EN31</x:f>
        <x:v/>
      </x:c>
      <x:c r="EO32" s="58" t="str">
        <x:f>EO31</x:f>
        <x:v/>
      </x:c>
      <x:c r="EP32" s="59" t="str">
        <x:f>EP31</x:f>
        <x:v/>
      </x:c>
    </x:row>
    <x:row r="33" spans="1:146" s="47" customFormat="1" ht="15" customHeight="1">
      <x:c r="A33" s="278"/>
      <x:c r="B33" s="65" t="str">
        <x:f>IF(OR(B4&lt;0,B4=A4,ISERROR(INDEX(세부시간표!$A$3:$L$1183,9*B4-1,11))),"",LEFT(INDEX(세부시간표!$A$3:$L$1183,9*B4-1,11),4))</x:f>
        <x:v>1교육실</x:v>
      </x:c>
      <x:c r="C33" s="65" t="str">
        <x:f>IF(OR(C4&lt;0,C4=B4,ISERROR(INDEX(세부시간표!$A$3:$L$1183,9*C4-1,11))),"",LEFT(INDEX(세부시간표!$A$3:$L$1183,9*C4-1,11),4))</x:f>
        <x:v>1교육실</x:v>
      </x:c>
      <x:c r="D33" s="65" t="str">
        <x:f>IF(OR(D4&lt;0,D4=C4,ISERROR(INDEX(세부시간표!$A$3:$L$1183,9*D4-1,11))),"",LEFT(INDEX(세부시간표!$A$3:$L$1183,9*D4-1,11),4))</x:f>
        <x:v>1교육실</x:v>
      </x:c>
      <x:c r="E33" s="65" t="str">
        <x:f>IF(OR(E4&lt;0,E4=D4,ISERROR(INDEX(세부시간표!$A$3:$L$1183,9*E4-1,11))),"",LEFT(INDEX(세부시간표!$A$3:$L$1183,9*E4-1,11),4))</x:f>
        <x:v>1교육실</x:v>
      </x:c>
      <x:c r="F33" s="65" t="str">
        <x:f>IF(OR(F4&lt;0,F4=E4,ISERROR(INDEX(세부시간표!$A$3:$L$1183,9*F4-1,11))),"",LEFT(INDEX(세부시간표!$A$3:$L$1183,9*F4-1,11),4))</x:f>
        <x:v>1교육실</x:v>
      </x:c>
      <x:c r="G33" s="65" t="str">
        <x:f>IF(OR(G4&lt;0,G4=F4,ISERROR(INDEX(세부시간표!$A$3:$L$1183,9*G4-1,11))),"",LEFT(INDEX(세부시간표!$A$3:$L$1183,9*G4-1,11),4))</x:f>
        <x:v>1교육실</x:v>
      </x:c>
      <x:c r="H33" s="65" t="str">
        <x:f>IF(OR(H4&lt;0,H4=G4,ISERROR(INDEX(세부시간표!$A$3:$L$1183,9*H4-1,11))),"",LEFT(INDEX(세부시간표!$A$3:$L$1183,9*H4-1,11),4))</x:f>
        <x:v>1교육실</x:v>
      </x:c>
      <x:c r="I33" s="65" t="str">
        <x:f>IF(OR(I4&lt;0,I4=H4,ISERROR(INDEX(세부시간표!$A$3:$L$1183,9*I4-1,11))),"",LEFT(INDEX(세부시간표!$A$3:$L$1183,9*I4-1,11),4))</x:f>
        <x:v>1교육실</x:v>
      </x:c>
      <x:c r="J33" s="65" t="str">
        <x:f>IF(OR(J4&lt;0,J4=I4,ISERROR(INDEX(세부시간표!$A$3:$L$1183,9*J4-1,11))),"",LEFT(INDEX(세부시간표!$A$3:$L$1183,9*J4-1,11),4))</x:f>
        <x:v>1교육실</x:v>
      </x:c>
      <x:c r="K33" s="65" t="str">
        <x:f>IF(OR(K4&lt;0,K4=J4,ISERROR(INDEX(세부시간표!$A$3:$L$1183,9*K4-1,11))),"",LEFT(INDEX(세부시간표!$A$3:$L$1183,9*K4-1,11),4))</x:f>
        <x:v/>
      </x:c>
      <x:c r="L33" s="65" t="str">
        <x:f>IF(OR(L4&lt;0,L4=K4,ISERROR(INDEX(세부시간표!$A$3:$L$1183,9*L4-1,11))),"",LEFT(INDEX(세부시간표!$A$3:$L$1183,9*L4-1,11),4))</x:f>
        <x:v/>
      </x:c>
      <x:c r="M33" s="65" t="str">
        <x:f>IF(OR(M4&lt;0,M4=L4,ISERROR(INDEX(세부시간표!$A$3:$L$1183,9*M4-1,11))),"",LEFT(INDEX(세부시간표!$A$3:$L$1183,9*M4-1,11),4))</x:f>
        <x:v/>
      </x:c>
      <x:c r="N33" s="65" t="str">
        <x:f>IF(OR(N4&lt;0,N4=M4,ISERROR(INDEX(세부시간표!$A$3:$L$1183,9*N4-1,11))),"",LEFT(INDEX(세부시간표!$A$3:$L$1183,9*N4-1,11),4))</x:f>
        <x:v/>
      </x:c>
      <x:c r="O33" s="65" t="str">
        <x:f>IF(OR(O4&lt;0,O4=N4,ISERROR(INDEX(세부시간표!$A$3:$L$1183,9*O4-1,11))),"",LEFT(INDEX(세부시간표!$A$3:$L$1183,9*O4-1,11),4))</x:f>
        <x:v/>
      </x:c>
      <x:c r="P33" s="65" t="str">
        <x:f>IF(OR(P4&lt;0,P4=O4,ISERROR(INDEX(세부시간표!$A$3:$L$1183,9*P4-1,11))),"",LEFT(INDEX(세부시간표!$A$3:$L$1183,9*P4-1,11),4))</x:f>
        <x:v>1교육실</x:v>
      </x:c>
      <x:c r="Q33" s="65" t="str">
        <x:f>IF(OR(Q4&lt;0,Q4=P4,ISERROR(INDEX(세부시간표!$A$3:$L$1183,9*Q4-1,11))),"",LEFT(INDEX(세부시간표!$A$3:$L$1183,9*Q4-1,11),4))</x:f>
        <x:v>1교육실</x:v>
      </x:c>
      <x:c r="R33" s="65" t="str">
        <x:f>IF(OR(R4&lt;0,R4=Q4,ISERROR(INDEX(세부시간표!$A$3:$L$1183,9*R4-1,11))),"",LEFT(INDEX(세부시간표!$A$3:$L$1183,9*R4-1,11),4))</x:f>
        <x:v>1교육실</x:v>
      </x:c>
      <x:c r="S33" s="65" t="str">
        <x:f>IF(OR(S4&lt;0,S4=R4,ISERROR(INDEX(세부시간표!$A$3:$L$1183,9*S4-1,11))),"",LEFT(INDEX(세부시간표!$A$3:$L$1183,9*S4-1,11),4))</x:f>
        <x:v>1교육실</x:v>
      </x:c>
      <x:c r="T33" s="65" t="str">
        <x:f>IF(OR(T4&lt;0,T4=S4,ISERROR(INDEX(세부시간표!$A$3:$L$1183,9*T4-1,11))),"",LEFT(INDEX(세부시간표!$A$3:$L$1183,9*T4-1,11),4))</x:f>
        <x:v>1교육실</x:v>
      </x:c>
      <x:c r="U33" s="65" t="str">
        <x:f>IF(OR(U4&lt;0,U4=T4,ISERROR(INDEX(세부시간표!$A$3:$L$1183,9*U4-1,11))),"",LEFT(INDEX(세부시간표!$A$3:$L$1183,9*U4-1,11),4))</x:f>
        <x:v>1교육실</x:v>
      </x:c>
      <x:c r="V33" s="65" t="str">
        <x:f>IF(OR(V4&lt;0,V4=U4,ISERROR(INDEX(세부시간표!$A$3:$L$1183,9*V4-1,11))),"",LEFT(INDEX(세부시간표!$A$3:$L$1183,9*V4-1,11),4))</x:f>
        <x:v>1교육실</x:v>
      </x:c>
      <x:c r="W33" s="65" t="str">
        <x:f>IF(OR(W4&lt;0,W4=V4,ISERROR(INDEX(세부시간표!$A$3:$L$1183,9*W4-1,11))),"",LEFT(INDEX(세부시간표!$A$3:$L$1183,9*W4-1,11),4))</x:f>
        <x:v>1교육실</x:v>
      </x:c>
      <x:c r="X33" s="65" t="str">
        <x:f>IF(OR(X4&lt;0,X4=W4,ISERROR(INDEX(세부시간표!$A$3:$L$1183,9*X4-1,11))),"",LEFT(INDEX(세부시간표!$A$3:$L$1183,9*X4-1,11),4))</x:f>
        <x:v>1교육실</x:v>
      </x:c>
      <x:c r="Y33" s="65" t="str">
        <x:f>IF(OR(Y4&lt;0,Y4=X4,ISERROR(INDEX(세부시간표!$A$3:$L$1183,9*Y4-1,11))),"",LEFT(INDEX(세부시간표!$A$3:$L$1183,9*Y4-1,11),4))</x:f>
        <x:v>1교육실</x:v>
      </x:c>
      <x:c r="Z33" s="65" t="str">
        <x:f>IF(OR(Z4&lt;0,Z4=Y4,ISERROR(INDEX(세부시간표!$A$3:$L$1183,9*Z4-1,11))),"",LEFT(INDEX(세부시간표!$A$3:$L$1183,9*Z4-1,11),4))</x:f>
        <x:v>1교육실</x:v>
      </x:c>
      <x:c r="AA33" s="65" t="str">
        <x:f>IF(OR(AA4&lt;0,AA4=Z4,ISERROR(INDEX(세부시간표!$A$3:$L$1183,9*AA4-1,11))),"",LEFT(INDEX(세부시간표!$A$3:$L$1183,9*AA4-1,11),4))</x:f>
        <x:v>1교육실</x:v>
      </x:c>
      <x:c r="AB33" s="65" t="str">
        <x:f>IF(OR(AB4&lt;0,AB4=AA4,ISERROR(INDEX(세부시간표!$A$3:$L$1183,9*AB4-1,11))),"",LEFT(INDEX(세부시간표!$A$3:$L$1183,9*AB4-1,11),4))</x:f>
        <x:v>1교육실</x:v>
      </x:c>
      <x:c r="AC33" s="65" t="str">
        <x:f>IF(OR(AC4&lt;0,AC4=AB4,ISERROR(INDEX(세부시간표!$A$3:$L$1183,9*AC4-1,11))),"",LEFT(INDEX(세부시간표!$A$3:$L$1183,9*AC4-1,11),4))</x:f>
        <x:v>1교육실</x:v>
      </x:c>
      <x:c r="AD33" s="65" t="str">
        <x:f>IF(OR(AD4&lt;0,AD4=AC4,ISERROR(INDEX(세부시간표!$A$3:$L$1183,9*AD4-1,11))),"",LEFT(INDEX(세부시간표!$A$3:$L$1183,9*AD4-1,11),4))</x:f>
        <x:v>1교육실</x:v>
      </x:c>
      <x:c r="AE33" s="65" t="str">
        <x:f>IF(OR(AE4&lt;0,AE4=AD4,ISERROR(INDEX(세부시간표!$A$3:$L$1183,9*AE4-1,11))),"",LEFT(INDEX(세부시간표!$A$3:$L$1183,9*AE4-1,11),4))</x:f>
        <x:v>1교육실</x:v>
      </x:c>
      <x:c r="AF33" s="65" t="str">
        <x:f>IF(OR(AF4&lt;0,AF4=AE4,ISERROR(INDEX(세부시간표!$A$3:$L$1183,9*AF4-1,11))),"",LEFT(INDEX(세부시간표!$A$3:$L$1183,9*AF4-1,11),4))</x:f>
        <x:v>1교육실</x:v>
      </x:c>
      <x:c r="AG33" s="65" t="str">
        <x:f>IF(OR(AG4&lt;0,AG4=AF4,ISERROR(INDEX(세부시간표!$A$3:$L$1183,9*AG4-1,11))),"",LEFT(INDEX(세부시간표!$A$3:$L$1183,9*AG4-1,11),4))</x:f>
        <x:v>1교육실</x:v>
      </x:c>
      <x:c r="AH33" s="65" t="str">
        <x:f>IF(OR(AH4&lt;0,AH4=AG4,ISERROR(INDEX(세부시간표!$A$3:$L$1183,9*AH4-1,11))),"",LEFT(INDEX(세부시간표!$A$3:$L$1183,9*AH4-1,11),4))</x:f>
        <x:v>1교육실</x:v>
      </x:c>
      <x:c r="AI33" s="65" t="str">
        <x:f>IF(OR(AI4&lt;0,AI4=AH4,ISERROR(INDEX(세부시간표!$A$3:$L$1183,9*AI4-1,11))),"",LEFT(INDEX(세부시간표!$A$3:$L$1183,9*AI4-1,11),4))</x:f>
        <x:v>1교육실</x:v>
      </x:c>
      <x:c r="AJ33" s="65" t="str">
        <x:f>IF(OR(AJ4&lt;0,AJ4=AI4,ISERROR(INDEX(세부시간표!$A$3:$L$1183,9*AJ4-1,11))),"",LEFT(INDEX(세부시간표!$A$3:$L$1183,9*AJ4-1,11),4))</x:f>
        <x:v>1교육실</x:v>
      </x:c>
      <x:c r="AK33" s="65" t="str">
        <x:f>IF(OR(AK4&lt;0,AK4=AJ4,ISERROR(INDEX(세부시간표!$A$3:$L$1183,9*AK4-1,11))),"",LEFT(INDEX(세부시간표!$A$3:$L$1183,9*AK4-1,11),4))</x:f>
        <x:v>1교육실</x:v>
      </x:c>
      <x:c r="AL33" s="65" t="str">
        <x:f>IF(OR(AL4&lt;0,AL4=AK4,ISERROR(INDEX(세부시간표!$A$3:$L$1183,9*AL4-1,11))),"",LEFT(INDEX(세부시간표!$A$3:$L$1183,9*AL4-1,11),4))</x:f>
        <x:v>1교육실</x:v>
      </x:c>
      <x:c r="AM33" s="65" t="str">
        <x:f>IF(OR(AM4&lt;0,AM4=AL4,ISERROR(INDEX(세부시간표!$A$3:$L$1183,9*AM4-1,11))),"",LEFT(INDEX(세부시간표!$A$3:$L$1183,9*AM4-1,11),4))</x:f>
        <x:v>1교육실</x:v>
      </x:c>
      <x:c r="AN33" s="65" t="str">
        <x:f>IF(OR(AN4&lt;0,AN4=AM4,ISERROR(INDEX(세부시간표!$A$3:$L$1183,9*AN4-1,11))),"",LEFT(INDEX(세부시간표!$A$3:$L$1183,9*AN4-1,11),4))</x:f>
        <x:v>1교육실</x:v>
      </x:c>
      <x:c r="AO33" s="65" t="str">
        <x:f>IF(OR(AO4&lt;0,AO4=AN4,ISERROR(INDEX(세부시간표!$A$3:$L$1183,9*AO4-1,11))),"",LEFT(INDEX(세부시간표!$A$3:$L$1183,9*AO4-1,11),4))</x:f>
        <x:v>1교육실</x:v>
      </x:c>
      <x:c r="AP33" s="65" t="str">
        <x:f>IF(OR(AP4&lt;0,AP4=AO4,ISERROR(INDEX(세부시간표!$A$3:$L$1183,9*AP4-1,11))),"",LEFT(INDEX(세부시간표!$A$3:$L$1183,9*AP4-1,11),4))</x:f>
        <x:v>1교육실</x:v>
      </x:c>
      <x:c r="AQ33" s="65" t="str">
        <x:f>IF(OR(AQ4&lt;0,AQ4=AP4,ISERROR(INDEX(세부시간표!$A$3:$L$1183,9*AQ4-1,11))),"",LEFT(INDEX(세부시간표!$A$3:$L$1183,9*AQ4-1,11),4))</x:f>
        <x:v>1교육실</x:v>
      </x:c>
      <x:c r="AR33" s="65" t="str">
        <x:f>IF(OR(AR4&lt;0,AR4=AQ4,ISERROR(INDEX(세부시간표!$A$3:$L$1183,9*AR4-1,11))),"",LEFT(INDEX(세부시간표!$A$3:$L$1183,9*AR4-1,11),4))</x:f>
        <x:v>1교육실</x:v>
      </x:c>
      <x:c r="AS33" s="65" t="str">
        <x:f>IF(OR(AS4&lt;0,AS4=AR4,ISERROR(INDEX(세부시간표!$A$3:$L$1183,9*AS4-1,11))),"",LEFT(INDEX(세부시간표!$A$3:$L$1183,9*AS4-1,11),4))</x:f>
        <x:v>1교육실</x:v>
      </x:c>
      <x:c r="AT33" s="65" t="str">
        <x:f>IF(OR(AT4&lt;0,AT4=AS4,ISERROR(INDEX(세부시간표!$A$3:$L$1183,9*AT4-1,11))),"",LEFT(INDEX(세부시간표!$A$3:$L$1183,9*AT4-1,11),4))</x:f>
        <x:v>1교육실</x:v>
      </x:c>
      <x:c r="AU33" s="65" t="str">
        <x:f>IF(OR(AU4&lt;0,AU4=AT4,ISERROR(INDEX(세부시간표!$A$3:$L$1183,9*AU4-1,11))),"",LEFT(INDEX(세부시간표!$A$3:$L$1183,9*AU4-1,11),4))</x:f>
        <x:v>1교육실</x:v>
      </x:c>
      <x:c r="AV33" s="65" t="str">
        <x:f>IF(OR(AV4&lt;0,AV4=AU4,ISERROR(INDEX(세부시간표!$A$3:$L$1183,9*AV4-1,11))),"",LEFT(INDEX(세부시간표!$A$3:$L$1183,9*AV4-1,11),4))</x:f>
        <x:v>1교육실</x:v>
      </x:c>
      <x:c r="AW33" s="65" t="str">
        <x:f>IF(OR(AW4&lt;0,AW4=AV4,ISERROR(INDEX(세부시간표!$A$3:$L$1183,9*AW4-1,11))),"",LEFT(INDEX(세부시간표!$A$3:$L$1183,9*AW4-1,11),4))</x:f>
        <x:v>1교육실</x:v>
      </x:c>
      <x:c r="AX33" s="65" t="str">
        <x:f>IF(OR(AX4&lt;0,AX4=AW4,ISERROR(INDEX(세부시간표!$A$3:$L$1183,9*AX4-1,11))),"",LEFT(INDEX(세부시간표!$A$3:$L$1183,9*AX4-1,11),4))</x:f>
        <x:v>1교육실</x:v>
      </x:c>
      <x:c r="AY33" s="65" t="str">
        <x:f>IF(OR(AY4&lt;0,AY4=AX4,ISERROR(INDEX(세부시간표!$A$3:$L$1183,9*AY4-1,11))),"",LEFT(INDEX(세부시간표!$A$3:$L$1183,9*AY4-1,11),4))</x:f>
        <x:v>1교육실</x:v>
      </x:c>
      <x:c r="AZ33" s="65" t="str">
        <x:f>IF(OR(AZ4&lt;0,AZ4=AY4,ISERROR(INDEX(세부시간표!$A$3:$L$1183,9*AZ4-1,11))),"",LEFT(INDEX(세부시간표!$A$3:$L$1183,9*AZ4-1,11),4))</x:f>
        <x:v>1교육실</x:v>
      </x:c>
      <x:c r="BA33" s="65" t="str">
        <x:f>IF(OR(BA4&lt;0,BA4=AZ4,ISERROR(INDEX(세부시간표!$A$3:$L$1183,9*BA4-1,11))),"",LEFT(INDEX(세부시간표!$A$3:$L$1183,9*BA4-1,11),4))</x:f>
        <x:v>1교육실</x:v>
      </x:c>
      <x:c r="BB33" s="65" t="str">
        <x:f>IF(OR(BB4&lt;0,BB4=BA4,ISERROR(INDEX(세부시간표!$A$3:$L$1183,9*BB4-1,11))),"",LEFT(INDEX(세부시간표!$A$3:$L$1183,9*BB4-1,11),4))</x:f>
        <x:v>1교육실</x:v>
      </x:c>
      <x:c r="BC33" s="65" t="str">
        <x:f>IF(OR(BC4&lt;0,BC4=BB4,ISERROR(INDEX(세부시간표!$A$3:$L$1183,9*BC4-1,11))),"",LEFT(INDEX(세부시간표!$A$3:$L$1183,9*BC4-1,11),4))</x:f>
        <x:v>1교육실</x:v>
      </x:c>
      <x:c r="BD33" s="65" t="str">
        <x:f>IF(OR(BD4&lt;0,BD4=BC4,ISERROR(INDEX(세부시간표!$A$3:$L$1183,9*BD4-1,11))),"",LEFT(INDEX(세부시간표!$A$3:$L$1183,9*BD4-1,11),4))</x:f>
        <x:v>1교육실</x:v>
      </x:c>
      <x:c r="BE33" s="65" t="str">
        <x:f>IF(OR(BE4&lt;0,BE4=BD4,ISERROR(INDEX(세부시간표!$A$3:$L$1183,9*BE4-1,11))),"",LEFT(INDEX(세부시간표!$A$3:$L$1183,9*BE4-1,11),4))</x:f>
        <x:v>1교육실</x:v>
      </x:c>
      <x:c r="BF33" s="65" t="str">
        <x:f>IF(OR(BF4&lt;0,BF4=BE4,ISERROR(INDEX(세부시간표!$A$3:$L$1183,9*BF4-1,11))),"",LEFT(INDEX(세부시간표!$A$3:$L$1183,9*BF4-1,11),4))</x:f>
        <x:v>1교육실</x:v>
      </x:c>
      <x:c r="BG33" s="65" t="str">
        <x:f>IF(OR(BG4&lt;0,BG4=BF4,ISERROR(INDEX(세부시간표!$A$3:$L$1183,9*BG4-1,11))),"",LEFT(INDEX(세부시간표!$A$3:$L$1183,9*BG4-1,11),4))</x:f>
        <x:v>1교육실</x:v>
      </x:c>
      <x:c r="BH33" s="65" t="str">
        <x:f>IF(OR(BH4&lt;0,BH4=BG4,ISERROR(INDEX(세부시간표!$A$3:$L$1183,9*BH4-1,11))),"",LEFT(INDEX(세부시간표!$A$3:$L$1183,9*BH4-1,11),4))</x:f>
        <x:v>1교육실</x:v>
      </x:c>
      <x:c r="BI33" s="65" t="str">
        <x:f>IF(OR(BI4&lt;0,BI4=BH4,ISERROR(INDEX(세부시간표!$A$3:$L$1183,9*BI4-1,11))),"",LEFT(INDEX(세부시간표!$A$3:$L$1183,9*BI4-1,11),4))</x:f>
        <x:v>1교육실</x:v>
      </x:c>
      <x:c r="BJ33" s="65" t="str">
        <x:f>IF(OR(BJ4&lt;0,BJ4=BI4,ISERROR(INDEX(세부시간표!$A$3:$L$1183,9*BJ4-1,11))),"",LEFT(INDEX(세부시간표!$A$3:$L$1183,9*BJ4-1,11),4))</x:f>
        <x:v>1교육실</x:v>
      </x:c>
      <x:c r="BK33" s="65" t="str">
        <x:f>IF(OR(BK4&lt;0,BK4=BJ4,ISERROR(INDEX(세부시간표!$A$3:$L$1183,9*BK4-1,11))),"",LEFT(INDEX(세부시간표!$A$3:$L$1183,9*BK4-1,11),4))</x:f>
        <x:v>1교육실</x:v>
      </x:c>
      <x:c r="BL33" s="65" t="str">
        <x:f>IF(OR(BL4&lt;0,BL4=BK4,ISERROR(INDEX(세부시간표!$A$3:$L$1183,9*BL4-1,11))),"",LEFT(INDEX(세부시간표!$A$3:$L$1183,9*BL4-1,11),4))</x:f>
        <x:v>1교육실</x:v>
      </x:c>
      <x:c r="BM33" s="65" t="str">
        <x:f>IF(OR(BM4&lt;0,BM4=BL4,ISERROR(INDEX(세부시간표!$A$3:$L$1183,9*BM4-1,11))),"",LEFT(INDEX(세부시간표!$A$3:$L$1183,9*BM4-1,11),4))</x:f>
        <x:v>1교육실</x:v>
      </x:c>
      <x:c r="BN33" s="65" t="str">
        <x:f>IF(OR(BN4&lt;0,BN4=BM4,ISERROR(INDEX(세부시간표!$A$3:$L$1183,9*BN4-1,11))),"",LEFT(INDEX(세부시간표!$A$3:$L$1183,9*BN4-1,11),4))</x:f>
        <x:v>1교육실</x:v>
      </x:c>
      <x:c r="BO33" s="65" t="str">
        <x:f>IF(OR(BO4&lt;0,BO4=BN4,ISERROR(INDEX(세부시간표!$A$3:$L$1183,9*BO4-1,11))),"",LEFT(INDEX(세부시간표!$A$3:$L$1183,9*BO4-1,11),4))</x:f>
        <x:v>1교육실</x:v>
      </x:c>
      <x:c r="BP33" s="65" t="str">
        <x:f>IF(OR(BP4&lt;0,BP4=BO4,ISERROR(INDEX(세부시간표!$A$3:$L$1183,9*BP4-1,11))),"",LEFT(INDEX(세부시간표!$A$3:$L$1183,9*BP4-1,11),4))</x:f>
        <x:v>1교육실</x:v>
      </x:c>
      <x:c r="BQ33" s="65" t="str">
        <x:f>IF(OR(BQ4&lt;0,BQ4=BP4,ISERROR(INDEX(세부시간표!$A$3:$L$1183,9*BQ4-1,11))),"",LEFT(INDEX(세부시간표!$A$3:$L$1183,9*BQ4-1,11),4))</x:f>
        <x:v>1교육실</x:v>
      </x:c>
      <x:c r="BR33" s="65" t="str">
        <x:f>IF(OR(BR4&lt;0,BR4=BQ4,ISERROR(INDEX(세부시간표!$A$3:$L$1183,9*BR4-1,11))),"",LEFT(INDEX(세부시간표!$A$3:$L$1183,9*BR4-1,11),4))</x:f>
        <x:v/>
      </x:c>
      <x:c r="BS33" s="65" t="str">
        <x:f>IF(OR(BS4&lt;0,BS4=BR4,ISERROR(INDEX(세부시간표!$A$3:$L$1183,9*BS4-1,11))),"",LEFT(INDEX(세부시간표!$A$3:$L$1183,9*BS4-1,11),4))</x:f>
        <x:v>1교육실</x:v>
      </x:c>
      <x:c r="BT33" s="65" t="str">
        <x:f>IF(OR(BT4&lt;0,BT4=BS4,ISERROR(INDEX(세부시간표!$A$3:$L$1183,9*BT4-1,11))),"",LEFT(INDEX(세부시간표!$A$3:$L$1183,9*BT4-1,11),4))</x:f>
        <x:v>1교육실</x:v>
      </x:c>
      <x:c r="BU33" s="65" t="str">
        <x:f>IF(OR(BU4&lt;0,BU4=BT4,ISERROR(INDEX(세부시간표!$A$3:$L$1183,9*BU4-1,11))),"",LEFT(INDEX(세부시간표!$A$3:$L$1183,9*BU4-1,11),4))</x:f>
        <x:v>1교육실</x:v>
      </x:c>
      <x:c r="BV33" s="65" t="str">
        <x:f>IF(OR(BV4&lt;0,BV4=BU4,ISERROR(INDEX(세부시간표!$A$3:$L$1183,9*BV4-1,11))),"",LEFT(INDEX(세부시간표!$A$3:$L$1183,9*BV4-1,11),4))</x:f>
        <x:v>1교육실</x:v>
      </x:c>
      <x:c r="BW33" s="65" t="str">
        <x:f>IF(OR(BW4&lt;0,BW4=BV4,ISERROR(INDEX(세부시간표!$A$3:$L$1183,9*BW4-1,11))),"",LEFT(INDEX(세부시간표!$A$3:$L$1183,9*BW4-1,11),4))</x:f>
        <x:v/>
      </x:c>
      <x:c r="BX33" s="65" t="str">
        <x:f>IF(OR(BX4&lt;0,BX4=BW4,ISERROR(INDEX(세부시간표!$A$3:$L$1183,9*BX4-1,11))),"",LEFT(INDEX(세부시간표!$A$3:$L$1183,9*BX4-1,11),4))</x:f>
        <x:v>1교육실</x:v>
      </x:c>
      <x:c r="BY33" s="65" t="str">
        <x:f>IF(OR(BY4&lt;0,BY4=BX4,ISERROR(INDEX(세부시간표!$A$3:$L$1183,9*BY4-1,11))),"",LEFT(INDEX(세부시간표!$A$3:$L$1183,9*BY4-1,11),4))</x:f>
        <x:v>1교육실</x:v>
      </x:c>
      <x:c r="BZ33" s="65" t="str">
        <x:f>IF(OR(BZ4&lt;0,BZ4=BY4,ISERROR(INDEX(세부시간표!$A$3:$L$1183,9*BZ4-1,11))),"",LEFT(INDEX(세부시간표!$A$3:$L$1183,9*BZ4-1,11),4))</x:f>
        <x:v>1교육실</x:v>
      </x:c>
      <x:c r="CA33" s="65" t="str">
        <x:f>IF(OR(CA4&lt;0,CA4=BZ4,ISERROR(INDEX(세부시간표!$A$3:$L$1183,9*CA4-1,11))),"",LEFT(INDEX(세부시간표!$A$3:$L$1183,9*CA4-1,11),4))</x:f>
        <x:v>1교육실</x:v>
      </x:c>
      <x:c r="CB33" s="65" t="str">
        <x:f>IF(OR(CB4&lt;0,CB4=CA4,ISERROR(INDEX(세부시간표!$A$3:$L$1183,9*CB4-1,11))),"",LEFT(INDEX(세부시간표!$A$3:$L$1183,9*CB4-1,11),4))</x:f>
        <x:v>1교육실</x:v>
      </x:c>
      <x:c r="CC33" s="65" t="str">
        <x:f>IF(OR(CC4&lt;0,CC4=CB4,ISERROR(INDEX(세부시간표!$A$3:$L$1183,9*CC4-1,11))),"",LEFT(INDEX(세부시간표!$A$3:$L$1183,9*CC4-1,11),4))</x:f>
        <x:v>1교육실</x:v>
      </x:c>
      <x:c r="CD33" s="65" t="str">
        <x:f>IF(OR(CD4&lt;0,CD4=CC4,ISERROR(INDEX(세부시간표!$A$3:$L$1183,9*CD4-1,11))),"",LEFT(INDEX(세부시간표!$A$3:$L$1183,9*CD4-1,11),4))</x:f>
        <x:v>1교육실</x:v>
      </x:c>
      <x:c r="CE33" s="65" t="str">
        <x:f>IF(OR(CE4&lt;0,CE4=CD4,ISERROR(INDEX(세부시간표!$A$3:$L$1183,9*CE4-1,11))),"",LEFT(INDEX(세부시간표!$A$3:$L$1183,9*CE4-1,11),4))</x:f>
        <x:v>1교육실</x:v>
      </x:c>
      <x:c r="CF33" s="65" t="str">
        <x:f>IF(OR(CF4&lt;0,CF4=CE4,ISERROR(INDEX(세부시간표!$A$3:$L$1183,9*CF4-1,11))),"",LEFT(INDEX(세부시간표!$A$3:$L$1183,9*CF4-1,11),4))</x:f>
        <x:v>1교육실</x:v>
      </x:c>
      <x:c r="CG33" s="65" t="str">
        <x:f>IF(OR(CG4&lt;0,CG4=CF4,ISERROR(INDEX(세부시간표!$A$3:$L$1183,9*CG4-1,11))),"",LEFT(INDEX(세부시간표!$A$3:$L$1183,9*CG4-1,11),4))</x:f>
        <x:v>1교육실</x:v>
      </x:c>
      <x:c r="CH33" s="65" t="str">
        <x:f>IF(OR(CH4&lt;0,CH4=CG4,ISERROR(INDEX(세부시간표!$A$3:$L$1183,9*CH4-1,11))),"",LEFT(INDEX(세부시간표!$A$3:$L$1183,9*CH4-1,11),4))</x:f>
        <x:v>1교육실</x:v>
      </x:c>
      <x:c r="CI33" s="65" t="str">
        <x:f>IF(OR(CI4&lt;0,CI4=CH4,ISERROR(INDEX(세부시간표!$A$3:$L$1183,9*CI4-1,11))),"",LEFT(INDEX(세부시간표!$A$3:$L$1183,9*CI4-1,11),4))</x:f>
        <x:v>1교육실</x:v>
      </x:c>
      <x:c r="CJ33" s="65" t="str">
        <x:f>IF(OR(CJ4&lt;0,CJ4=CI4,ISERROR(INDEX(세부시간표!$A$3:$L$1183,9*CJ4-1,11))),"",LEFT(INDEX(세부시간표!$A$3:$L$1183,9*CJ4-1,11),4))</x:f>
        <x:v>1교육실</x:v>
      </x:c>
      <x:c r="CK33" s="65" t="str">
        <x:f>IF(OR(CK4&lt;0,CK4=CJ4,ISERROR(INDEX(세부시간표!$A$3:$L$1183,9*CK4-1,11))),"",LEFT(INDEX(세부시간표!$A$3:$L$1183,9*CK4-1,11),4))</x:f>
        <x:v>1교육실</x:v>
      </x:c>
      <x:c r="CL33" s="65" t="str">
        <x:f>IF(OR(CL4&lt;0,CL4=CK4,ISERROR(INDEX(세부시간표!$A$3:$L$1183,9*CL4-1,11))),"",LEFT(INDEX(세부시간표!$A$3:$L$1183,9*CL4-1,11),4))</x:f>
        <x:v>1교육실</x:v>
      </x:c>
      <x:c r="CM33" s="65" t="str">
        <x:f>IF(OR(CM4&lt;0,CM4=CL4,ISERROR(INDEX(세부시간표!$A$3:$L$1183,9*CM4-1,11))),"",LEFT(INDEX(세부시간표!$A$3:$L$1183,9*CM4-1,11),4))</x:f>
        <x:v>1교육실</x:v>
      </x:c>
      <x:c r="CN33" s="65" t="str">
        <x:f>IF(OR(CN4&lt;0,CN4=CM4,ISERROR(INDEX(세부시간표!$A$3:$L$1183,9*CN4-1,11))),"",LEFT(INDEX(세부시간표!$A$3:$L$1183,9*CN4-1,11),4))</x:f>
        <x:v>1교육실</x:v>
      </x:c>
      <x:c r="CO33" s="65" t="str">
        <x:f>IF(OR(CO4&lt;0,CO4=CN4,ISERROR(INDEX(세부시간표!$A$3:$L$1183,9*CO4-1,11))),"",LEFT(INDEX(세부시간표!$A$3:$L$1183,9*CO4-1,11),4))</x:f>
        <x:v>1교육실</x:v>
      </x:c>
      <x:c r="CP33" s="65" t="str">
        <x:f>IF(OR(CP4&lt;0,CP4=CO4,ISERROR(INDEX(세부시간표!$A$3:$L$1183,9*CP4-1,11))),"",LEFT(INDEX(세부시간표!$A$3:$L$1183,9*CP4-1,11),4))</x:f>
        <x:v>1교육실</x:v>
      </x:c>
      <x:c r="CQ33" s="65" t="str">
        <x:f>IF(OR(CQ4&lt;0,CQ4=CP4,ISERROR(INDEX(세부시간표!$A$3:$L$1183,9*CQ4-1,11))),"",LEFT(INDEX(세부시간표!$A$3:$L$1183,9*CQ4-1,11),4))</x:f>
        <x:v>1교육실</x:v>
      </x:c>
      <x:c r="CR33" s="65" t="str">
        <x:f>IF(OR(CR4&lt;0,CR4=CQ4,ISERROR(INDEX(세부시간표!$A$3:$L$1183,9*CR4-1,11))),"",LEFT(INDEX(세부시간표!$A$3:$L$1183,9*CR4-1,11),4))</x:f>
        <x:v>1교육실</x:v>
      </x:c>
      <x:c r="CS33" s="65" t="str">
        <x:f>IF(OR(CS4&lt;0,CS4=CR4,ISERROR(INDEX(세부시간표!$A$3:$L$1183,9*CS4-1,11))),"",LEFT(INDEX(세부시간표!$A$3:$L$1183,9*CS4-1,11),4))</x:f>
        <x:v>1교육실</x:v>
      </x:c>
      <x:c r="CT33" s="65" t="str">
        <x:f>IF(OR(CT4&lt;0,CT4=CS4,ISERROR(INDEX(세부시간표!$A$3:$L$1183,9*CT4-1,11))),"",LEFT(INDEX(세부시간표!$A$3:$L$1183,9*CT4-1,11),4))</x:f>
        <x:v>1교육실</x:v>
      </x:c>
      <x:c r="CU33" s="65" t="str">
        <x:f>IF(OR(CU4&lt;0,CU4=CT4,ISERROR(INDEX(세부시간표!$A$3:$L$1183,9*CU4-1,11))),"",LEFT(INDEX(세부시간표!$A$3:$L$1183,9*CU4-1,11),4))</x:f>
        <x:v>1교육실</x:v>
      </x:c>
      <x:c r="CV33" s="65" t="str">
        <x:f>IF(OR(CV4&lt;0,CV4=CU4,ISERROR(INDEX(세부시간표!$A$3:$L$1183,9*CV4-1,11))),"",LEFT(INDEX(세부시간표!$A$3:$L$1183,9*CV4-1,11),4))</x:f>
        <x:v>1교육실</x:v>
      </x:c>
      <x:c r="CW33" s="65" t="str">
        <x:f>IF(OR(CW4&lt;0,CW4=CV4,ISERROR(INDEX(세부시간표!$A$3:$L$1183,9*CW4-1,11))),"",LEFT(INDEX(세부시간표!$A$3:$L$1183,9*CW4-1,11),4))</x:f>
        <x:v>1교육실</x:v>
      </x:c>
      <x:c r="CX33" s="65" t="str">
        <x:f>IF(OR(CX4&lt;0,CX4=CW4,ISERROR(INDEX(세부시간표!$A$3:$L$1183,9*CX4-1,11))),"",LEFT(INDEX(세부시간표!$A$3:$L$1183,9*CX4-1,11),4))</x:f>
        <x:v>1교육실</x:v>
      </x:c>
      <x:c r="CY33" s="65" t="str">
        <x:f>IF(OR(CY4&lt;0,CY4=CX4,ISERROR(INDEX(세부시간표!$A$3:$L$1183,9*CY4-1,11))),"",LEFT(INDEX(세부시간표!$A$3:$L$1183,9*CY4-1,11),4))</x:f>
        <x:v>1교육실</x:v>
      </x:c>
      <x:c r="CZ33" s="65" t="str">
        <x:f>IF(OR(CZ4&lt;0,CZ4=CY4,ISERROR(INDEX(세부시간표!$A$3:$L$1183,9*CZ4-1,11))),"",LEFT(INDEX(세부시간표!$A$3:$L$1183,9*CZ4-1,11),4))</x:f>
        <x:v>1교육실</x:v>
      </x:c>
      <x:c r="DA33" s="65" t="str">
        <x:f>IF(OR(DA4&lt;0,DA4=CZ4,ISERROR(INDEX(세부시간표!$A$3:$L$1183,9*DA4-1,11))),"",LEFT(INDEX(세부시간표!$A$3:$L$1183,9*DA4-1,11),4))</x:f>
        <x:v>1교육실</x:v>
      </x:c>
      <x:c r="DB33" s="65" t="str">
        <x:f>IF(OR(DB4&lt;0,DB4=DA4,ISERROR(INDEX(세부시간표!$A$3:$L$1183,9*DB4-1,11))),"",LEFT(INDEX(세부시간표!$A$3:$L$1183,9*DB4-1,11),4))</x:f>
        <x:v>1교육실</x:v>
      </x:c>
      <x:c r="DC33" s="65" t="str">
        <x:f>IF(OR(DC4&lt;0,DC4=DB4,ISERROR(INDEX(세부시간표!$A$3:$L$1183,9*DC4-1,11))),"",LEFT(INDEX(세부시간표!$A$3:$L$1183,9*DC4-1,11),4))</x:f>
        <x:v/>
      </x:c>
      <x:c r="DD33" s="65" t="str">
        <x:f>IF(OR(DD4&lt;0,DD4=DC4,ISERROR(INDEX(세부시간표!$A$3:$L$1183,9*DD4-1,11))),"",LEFT(INDEX(세부시간표!$A$3:$L$1183,9*DD4-1,11),4))</x:f>
        <x:v/>
      </x:c>
      <x:c r="DE33" s="65" t="str">
        <x:f>IF(OR(DE4&lt;0,DE4=DD4,ISERROR(INDEX(세부시간표!$A$3:$L$1183,9*DE4-1,11))),"",LEFT(INDEX(세부시간표!$A$3:$L$1183,9*DE4-1,11),4))</x:f>
        <x:v/>
      </x:c>
      <x:c r="DF33" s="65" t="str">
        <x:f>IF(OR(DF4&lt;0,DF4=DE4,ISERROR(INDEX(세부시간표!$A$3:$L$1183,9*DF4-1,11))),"",LEFT(INDEX(세부시간표!$A$3:$L$1183,9*DF4-1,11),4))</x:f>
        <x:v>1교육실</x:v>
      </x:c>
      <x:c r="DG33" s="65" t="str">
        <x:f>IF(OR(DG4&lt;0,DG4=DF4,ISERROR(INDEX(세부시간표!$A$3:$L$1183,9*DG4-1,11))),"",LEFT(INDEX(세부시간표!$A$3:$L$1183,9*DG4-1,11),4))</x:f>
        <x:v>1교육실</x:v>
      </x:c>
      <x:c r="DH33" s="65" t="str">
        <x:f>IF(OR(DH4&lt;0,DH4=DG4,ISERROR(INDEX(세부시간표!$A$3:$L$1183,9*DH4-1,11))),"",LEFT(INDEX(세부시간표!$A$3:$L$1183,9*DH4-1,11),4))</x:f>
        <x:v>1교육실</x:v>
      </x:c>
      <x:c r="DI33" s="65" t="str">
        <x:f>IF(OR(DI4&lt;0,DI4=DH4,ISERROR(INDEX(세부시간표!$A$3:$L$1183,9*DI4-1,11))),"",LEFT(INDEX(세부시간표!$A$3:$L$1183,9*DI4-1,11),4))</x:f>
        <x:v>1교육실</x:v>
      </x:c>
      <x:c r="DJ33" s="65" t="str">
        <x:f>IF(OR(DJ4&lt;0,DJ4=DI4,ISERROR(INDEX(세부시간표!$A$3:$L$1183,9*DJ4-1,11))),"",LEFT(INDEX(세부시간표!$A$3:$L$1183,9*DJ4-1,11),4))</x:f>
        <x:v>1교육실</x:v>
      </x:c>
      <x:c r="DK33" s="65" t="str">
        <x:f>IF(OR(DK4&lt;0,DK4=DJ4,ISERROR(INDEX(세부시간표!$A$3:$L$1183,9*DK4-1,11))),"",LEFT(INDEX(세부시간표!$A$3:$L$1183,9*DK4-1,11),4))</x:f>
        <x:v>1교육실</x:v>
      </x:c>
      <x:c r="DL33" s="65" t="str">
        <x:f>IF(OR(DL4&lt;0,DL4=DK4,ISERROR(INDEX(세부시간표!$A$3:$L$1183,9*DL4-1,11))),"",LEFT(INDEX(세부시간표!$A$3:$L$1183,9*DL4-1,11),4))</x:f>
        <x:v>1교육실</x:v>
      </x:c>
      <x:c r="DM33" s="65" t="str">
        <x:f>IF(OR(DM4&lt;0,DM4=DL4,ISERROR(INDEX(세부시간표!$A$3:$L$1183,9*DM4-1,11))),"",LEFT(INDEX(세부시간표!$A$3:$L$1183,9*DM4-1,11),4))</x:f>
        <x:v/>
      </x:c>
      <x:c r="DN33" s="65" t="str">
        <x:f>IF(OR(DN4&lt;0,DN4=DM4,ISERROR(INDEX(세부시간표!$A$3:$L$1183,9*DN4-1,11))),"",LEFT(INDEX(세부시간표!$A$3:$L$1183,9*DN4-1,11),4))</x:f>
        <x:v>1교육실</x:v>
      </x:c>
      <x:c r="DO33" s="65" t="str">
        <x:f>IF(OR(DO4&lt;0,DO4=DN4,ISERROR(INDEX(세부시간표!$A$3:$L$1183,9*DO4-1,11))),"",LEFT(INDEX(세부시간표!$A$3:$L$1183,9*DO4-1,11),4))</x:f>
        <x:v>1교육실</x:v>
      </x:c>
      <x:c r="DP33" s="65" t="str">
        <x:f>IF(OR(DP4&lt;0,DP4=DO4,ISERROR(INDEX(세부시간표!$A$3:$L$1183,9*DP4-1,11))),"",LEFT(INDEX(세부시간표!$A$3:$L$1183,9*DP4-1,11),4))</x:f>
        <x:v>1교육실</x:v>
      </x:c>
      <x:c r="DQ33" s="65" t="str">
        <x:f>IF(OR(DQ4&lt;0,DQ4=DP4,ISERROR(INDEX(세부시간표!$A$3:$L$1183,9*DQ4-1,11))),"",LEFT(INDEX(세부시간표!$A$3:$L$1183,9*DQ4-1,11),4))</x:f>
        <x:v>1교육실</x:v>
      </x:c>
      <x:c r="DR33" s="65" t="str">
        <x:f>IF(OR(DR4&lt;0,DR4=DQ4,ISERROR(INDEX(세부시간표!$A$3:$L$1183,9*DR4-1,11))),"",LEFT(INDEX(세부시간표!$A$3:$L$1183,9*DR4-1,11),4))</x:f>
        <x:v>1교육실</x:v>
      </x:c>
      <x:c r="DS33" s="65" t="str">
        <x:f>IF(OR(DS4&lt;0,DS4=DR4,ISERROR(INDEX(세부시간표!$A$3:$L$1183,9*DS4-1,11))),"",LEFT(INDEX(세부시간표!$A$3:$L$1183,9*DS4-1,11),4))</x:f>
        <x:v>1교육실</x:v>
      </x:c>
      <x:c r="DT33" s="65" t="str">
        <x:f>IF(OR(DT4&lt;0,DT4=DS4,ISERROR(INDEX(세부시간표!$A$3:$L$1183,9*DT4-1,11))),"",LEFT(INDEX(세부시간표!$A$3:$L$1183,9*DT4-1,11),4))</x:f>
        <x:v>1교육실</x:v>
      </x:c>
      <x:c r="DU33" s="65" t="str">
        <x:f>IF(OR(DU4&lt;0,DU4=DT4,ISERROR(INDEX(세부시간표!$A$3:$L$1183,9*DU4-1,11))),"",LEFT(INDEX(세부시간표!$A$3:$L$1183,9*DU4-1,11),4))</x:f>
        <x:v>1교육실</x:v>
      </x:c>
      <x:c r="DV33" s="65" t="str">
        <x:f>IF(OR(DV4&lt;0,DV4=DU4,ISERROR(INDEX(세부시간표!$A$3:$L$1183,9*DV4-1,11))),"",LEFT(INDEX(세부시간표!$A$3:$L$1183,9*DV4-1,11),4))</x:f>
        <x:v>1교육실</x:v>
      </x:c>
      <x:c r="DW33" s="65" t="str">
        <x:f>IF(OR(DW4&lt;0,DW4=DV4,ISERROR(INDEX(세부시간표!$A$3:$L$1183,9*DW4-1,11))),"",LEFT(INDEX(세부시간표!$A$3:$L$1183,9*DW4-1,11),4))</x:f>
        <x:v>1교육실</x:v>
      </x:c>
      <x:c r="DX33" s="65" t="str">
        <x:f>IF(OR(DX4&lt;0,DX4=DW4,ISERROR(INDEX(세부시간표!$A$3:$L$1183,9*DX4-1,11))),"",LEFT(INDEX(세부시간표!$A$3:$L$1183,9*DX4-1,11),4))</x:f>
        <x:v>1교육실</x:v>
      </x:c>
      <x:c r="DY33" s="65" t="str">
        <x:f>IF(OR(DY4&lt;0,DY4=DX4,ISERROR(INDEX(세부시간표!$A$3:$L$1183,9*DY4-1,11))),"",LEFT(INDEX(세부시간표!$A$3:$L$1183,9*DY4-1,11),4))</x:f>
        <x:v>1교육실</x:v>
      </x:c>
      <x:c r="DZ33" s="65" t="str">
        <x:f>IF(OR(DZ4&lt;0,DZ4=DY4,ISERROR(INDEX(세부시간표!$A$3:$L$1183,9*DZ4-1,11))),"",LEFT(INDEX(세부시간표!$A$3:$L$1183,9*DZ4-1,11),4))</x:f>
        <x:v>1교육실</x:v>
      </x:c>
      <x:c r="EA33" s="65" t="str">
        <x:f>IF(OR(EA4&lt;0,EA4=DZ4,ISERROR(INDEX(세부시간표!$A$3:$L$1183,9*EA4-1,11))),"",LEFT(INDEX(세부시간표!$A$3:$L$1183,9*EA4-1,11),4))</x:f>
        <x:v>1교육실</x:v>
      </x:c>
      <x:c r="EB33" s="65" t="str">
        <x:f>IF(OR(EB4&lt;0,EB4=EA4,ISERROR(INDEX(세부시간표!$A$3:$L$1183,9*EB4-1,11))),"",LEFT(INDEX(세부시간표!$A$3:$L$1183,9*EB4-1,11),4))</x:f>
        <x:v>1교육실</x:v>
      </x:c>
      <x:c r="EC33" s="65" t="str">
        <x:f>IF(OR(EC4&lt;0,EC4=EB4,ISERROR(INDEX(세부시간표!$A$3:$L$1183,9*EC4-1,11))),"",LEFT(INDEX(세부시간표!$A$3:$L$1183,9*EC4-1,11),4))</x:f>
        <x:v>1교육실</x:v>
      </x:c>
      <x:c r="ED33" s="65" t="str">
        <x:f>IF(OR(ED4&lt;0,ED4=EC4,ISERROR(INDEX(세부시간표!$A$3:$L$1183,9*ED4-1,11))),"",LEFT(INDEX(세부시간표!$A$3:$L$1183,9*ED4-1,11),4))</x:f>
        <x:v>1교육실</x:v>
      </x:c>
      <x:c r="EE33" s="65" t="str">
        <x:f>IF(OR(EE4&lt;0,EE4=ED4,ISERROR(INDEX(세부시간표!$A$3:$L$1183,9*EE4-1,11))),"",LEFT(INDEX(세부시간표!$A$3:$L$1183,9*EE4-1,11),4))</x:f>
        <x:v/>
      </x:c>
      <x:c r="EF33" s="65" t="str">
        <x:f>IF(OR(EF4&lt;0,EF4=EE4,ISERROR(INDEX(세부시간표!$A$3:$L$1183,9*EF4-1,11))),"",LEFT(INDEX(세부시간표!$A$3:$L$1183,9*EF4-1,11),4))</x:f>
        <x:v/>
      </x:c>
      <x:c r="EG33" s="65" t="str">
        <x:f>IF(OR(EG4&lt;0,EG4=EF4,ISERROR(INDEX(세부시간표!$A$3:$L$1183,9*EG4-1,11))),"",LEFT(INDEX(세부시간표!$A$3:$L$1183,9*EG4-1,11),4))</x:f>
        <x:v/>
      </x:c>
      <x:c r="EH33" s="65" t="str">
        <x:f>IF(OR(EH4&lt;0,EH4=EG4,ISERROR(INDEX(세부시간표!$A$3:$L$1183,9*EH4-1,11))),"",LEFT(INDEX(세부시간표!$A$3:$L$1183,9*EH4-1,11),4))</x:f>
        <x:v/>
      </x:c>
      <x:c r="EI33" s="65" t="str">
        <x:f>IF(OR(EI4&lt;0,EI4=EH4,ISERROR(INDEX(세부시간표!$A$3:$L$1183,9*EI4-1,11))),"",LEFT(INDEX(세부시간표!$A$3:$L$1183,9*EI4-1,11),4))</x:f>
        <x:v/>
      </x:c>
      <x:c r="EJ33" s="65" t="str">
        <x:f>IF(OR(EJ4&lt;0,EJ4=EI4,ISERROR(INDEX(세부시간표!$A$3:$L$1183,9*EJ4-1,11))),"",LEFT(INDEX(세부시간표!$A$3:$L$1183,9*EJ4-1,11),4))</x:f>
        <x:v/>
      </x:c>
      <x:c r="EK33" s="65" t="str">
        <x:f>IF(OR(EK4&lt;0,EK4=EJ4,ISERROR(INDEX(세부시간표!$A$3:$L$1183,9*EK4-1,11))),"",LEFT(INDEX(세부시간표!$A$3:$L$1183,9*EK4-1,11),4))</x:f>
        <x:v/>
      </x:c>
      <x:c r="EL33" s="49" t="str">
        <x:f>IF(OR(EL4&lt;0,EL4=EK4,ISERROR(INDEX(세부시간표!$A$3:$L$1183,9*EL4-1,11))),"",INDEX(세부시간표!$A$3:$L$1183,9*EL4-1,11))</x:f>
        <x:v/>
      </x:c>
      <x:c r="EM33" s="48" t="str">
        <x:f>IF(OR(EM4&lt;0,EM4=EL4,ISERROR(INDEX(세부시간표!$A$3:$L$1183,9*EM4-1,11))),"",INDEX(세부시간표!$A$3:$L$1183,9*EM4-1,11))</x:f>
        <x:v/>
      </x:c>
      <x:c r="EN33" s="48" t="str">
        <x:f>IF(OR(EN4&lt;0,EN4=EM4,ISERROR(INDEX(세부시간표!$A$3:$L$1183,9*EN4-1,11))),"",INDEX(세부시간표!$A$3:$L$1183,9*EN4-1,11))</x:f>
        <x:v/>
      </x:c>
      <x:c r="EO33" s="48" t="str">
        <x:f>IF(OR(EO4&lt;0,EO4=EN4,ISERROR(INDEX(세부시간표!$A$3:$L$1183,9*EO4-1,11))),"",INDEX(세부시간표!$A$3:$L$1183,9*EO4-1,11))</x:f>
        <x:v/>
      </x:c>
      <x:c r="EP33" s="50" t="str">
        <x:f>IF(OR(EP4&lt;0,EP4=EO4,ISERROR(INDEX(세부시간표!$A$3:$L$1183,9*EP4-1,11))),"",INDEX(세부시간표!$A$3:$L$1183,9*EP4-1,11))</x:f>
        <x:v/>
      </x:c>
    </x:row>
    <x:row r="34" spans="1:146" s="47" customFormat="1" ht="15" customHeight="1">
      <x:c r="A34" s="279"/>
      <x:c r="B34" s="66" t="str">
        <x:f>IF(OR(B4&lt;0,B4=A4,ISERROR(INDEX(세부시간표!$A$3:$L$1183,9*B4-1,12))),"",INDEX(세부시간표!$A$3:$L$1183,9*B4-1,12))</x:f>
        <x:v>양현수</x:v>
      </x:c>
      <x:c r="C34" s="66" t="str">
        <x:f>IF(OR(C4&lt;0,C4=B4,ISERROR(INDEX(세부시간표!$A$3:$L$1183,9*C4-1,12))),"",INDEX(세부시간표!$A$3:$L$1183,9*C4-1,12))</x:f>
        <x:v>양현수</x:v>
      </x:c>
      <x:c r="D34" s="66" t="str">
        <x:f>IF(OR(D4&lt;0,D4=C4,ISERROR(INDEX(세부시간표!$A$3:$L$1183,9*D4-1,12))),"",INDEX(세부시간표!$A$3:$L$1183,9*D4-1,12))</x:f>
        <x:v>양현수</x:v>
      </x:c>
      <x:c r="E34" s="66" t="str">
        <x:f>IF(OR(E4&lt;0,E4=D4,ISERROR(INDEX(세부시간표!$A$3:$L$1183,9*E4-1,12))),"",INDEX(세부시간표!$A$3:$L$1183,9*E4-1,12))</x:f>
        <x:v>양현수</x:v>
      </x:c>
      <x:c r="F34" s="66" t="str">
        <x:f>IF(OR(F4&lt;0,F4=E4,ISERROR(INDEX(세부시간표!$A$3:$L$1183,9*F4-1,12))),"",INDEX(세부시간표!$A$3:$L$1183,9*F4-1,12))</x:f>
        <x:v>양현수</x:v>
      </x:c>
      <x:c r="G34" s="66" t="str">
        <x:f>IF(OR(G4&lt;0,G4=F4,ISERROR(INDEX(세부시간표!$A$3:$L$1183,9*G4-1,12))),"",INDEX(세부시간표!$A$3:$L$1183,9*G4-1,12))</x:f>
        <x:v>양현수</x:v>
      </x:c>
      <x:c r="H34" s="66" t="str">
        <x:f>IF(OR(H4&lt;0,H4=G4,ISERROR(INDEX(세부시간표!$A$3:$L$1183,9*H4-1,12))),"",INDEX(세부시간표!$A$3:$L$1183,9*H4-1,12))</x:f>
        <x:v>양현수</x:v>
      </x:c>
      <x:c r="I34" s="66" t="str">
        <x:f>IF(OR(I4&lt;0,I4=H4,ISERROR(INDEX(세부시간표!$A$3:$L$1183,9*I4-1,12))),"",INDEX(세부시간표!$A$3:$L$1183,9*I4-1,12))</x:f>
        <x:v>양현수</x:v>
      </x:c>
      <x:c r="J34" s="66" t="str">
        <x:f>IF(OR(J4&lt;0,J4=I4,ISERROR(INDEX(세부시간표!$A$3:$L$1183,9*J4-1,12))),"",INDEX(세부시간표!$A$3:$L$1183,9*J4-1,12))</x:f>
        <x:v>양현수</x:v>
      </x:c>
      <x:c r="K34" s="66" t="str">
        <x:f>IF(OR(K4&lt;0,K4=J4,ISERROR(INDEX(세부시간표!$A$3:$L$1183,9*K4-1,12))),"",INDEX(세부시간표!$A$3:$L$1183,9*K4-1,12))</x:f>
        <x:v/>
      </x:c>
      <x:c r="L34" s="66" t="str">
        <x:f>IF(OR(L4&lt;0,L4=K4,ISERROR(INDEX(세부시간표!$A$3:$L$1183,9*L4-1,12))),"",INDEX(세부시간표!$A$3:$L$1183,9*L4-1,12))</x:f>
        <x:v/>
      </x:c>
      <x:c r="M34" s="66" t="str">
        <x:f>IF(OR(M4&lt;0,M4=L4,ISERROR(INDEX(세부시간표!$A$3:$L$1183,9*M4-1,12))),"",INDEX(세부시간표!$A$3:$L$1183,9*M4-1,12))</x:f>
        <x:v/>
      </x:c>
      <x:c r="N34" s="66" t="str">
        <x:f>IF(OR(N4&lt;0,N4=M4,ISERROR(INDEX(세부시간표!$A$3:$L$1183,9*N4-1,12))),"",INDEX(세부시간표!$A$3:$L$1183,9*N4-1,12))</x:f>
        <x:v/>
      </x:c>
      <x:c r="O34" s="66" t="str">
        <x:f>IF(OR(O4&lt;0,O4=N4,ISERROR(INDEX(세부시간표!$A$3:$L$1183,9*O4-1,12))),"",INDEX(세부시간표!$A$3:$L$1183,9*O4-1,12))</x:f>
        <x:v/>
      </x:c>
      <x:c r="P34" s="66" t="str">
        <x:f>IF(OR(P4&lt;0,P4=O4,ISERROR(INDEX(세부시간표!$A$3:$L$1183,9*P4-1,12))),"",INDEX(세부시간표!$A$3:$L$1183,9*P4-1,12))</x:f>
        <x:v>양현수</x:v>
      </x:c>
      <x:c r="Q34" s="66" t="str">
        <x:f>IF(OR(Q4&lt;0,Q4=P4,ISERROR(INDEX(세부시간표!$A$3:$L$1183,9*Q4-1,12))),"",INDEX(세부시간표!$A$3:$L$1183,9*Q4-1,12))</x:f>
        <x:v>양현수</x:v>
      </x:c>
      <x:c r="R34" s="66" t="str">
        <x:f>IF(OR(R4&lt;0,R4=Q4,ISERROR(INDEX(세부시간표!$A$3:$L$1183,9*R4-1,12))),"",INDEX(세부시간표!$A$3:$L$1183,9*R4-1,12))</x:f>
        <x:v>양현수</x:v>
      </x:c>
      <x:c r="S34" s="66" t="str">
        <x:f>IF(OR(S4&lt;0,S4=R4,ISERROR(INDEX(세부시간표!$A$3:$L$1183,9*S4-1,12))),"",INDEX(세부시간표!$A$3:$L$1183,9*S4-1,12))</x:f>
        <x:v>양현수</x:v>
      </x:c>
      <x:c r="T34" s="66" t="str">
        <x:f>IF(OR(T4&lt;0,T4=S4,ISERROR(INDEX(세부시간표!$A$3:$L$1183,9*T4-1,12))),"",INDEX(세부시간표!$A$3:$L$1183,9*T4-1,12))</x:f>
        <x:v>양현수</x:v>
      </x:c>
      <x:c r="U34" s="66" t="str">
        <x:f>IF(OR(U4&lt;0,U4=T4,ISERROR(INDEX(세부시간표!$A$3:$L$1183,9*U4-1,12))),"",INDEX(세부시간표!$A$3:$L$1183,9*U4-1,12))</x:f>
        <x:v>양현수</x:v>
      </x:c>
      <x:c r="V34" s="66" t="str">
        <x:f>IF(OR(V4&lt;0,V4=U4,ISERROR(INDEX(세부시간표!$A$3:$L$1183,9*V4-1,12))),"",INDEX(세부시간표!$A$3:$L$1183,9*V4-1,12))</x:f>
        <x:v>양현수</x:v>
      </x:c>
      <x:c r="W34" s="66" t="str">
        <x:f>IF(OR(W4&lt;0,W4=V4,ISERROR(INDEX(세부시간표!$A$3:$L$1183,9*W4-1,12))),"",INDEX(세부시간표!$A$3:$L$1183,9*W4-1,12))</x:f>
        <x:v>양현수</x:v>
      </x:c>
      <x:c r="X34" s="66" t="str">
        <x:f>IF(OR(X4&lt;0,X4=W4,ISERROR(INDEX(세부시간표!$A$3:$L$1183,9*X4-1,12))),"",INDEX(세부시간표!$A$3:$L$1183,9*X4-1,12))</x:f>
        <x:v>양현수</x:v>
      </x:c>
      <x:c r="Y34" s="66" t="str">
        <x:f>IF(OR(Y4&lt;0,Y4=X4,ISERROR(INDEX(세부시간표!$A$3:$L$1183,9*Y4-1,12))),"",INDEX(세부시간표!$A$3:$L$1183,9*Y4-1,12))</x:f>
        <x:v>양현수</x:v>
      </x:c>
      <x:c r="Z34" s="66" t="str">
        <x:f>IF(OR(Z4&lt;0,Z4=Y4,ISERROR(INDEX(세부시간표!$A$3:$L$1183,9*Z4-1,12))),"",INDEX(세부시간표!$A$3:$L$1183,9*Z4-1,12))</x:f>
        <x:v>양현수</x:v>
      </x:c>
      <x:c r="AA34" s="66" t="str">
        <x:f>IF(OR(AA4&lt;0,AA4=Z4,ISERROR(INDEX(세부시간표!$A$3:$L$1183,9*AA4-1,12))),"",INDEX(세부시간표!$A$3:$L$1183,9*AA4-1,12))</x:f>
        <x:v>양현수</x:v>
      </x:c>
      <x:c r="AB34" s="66" t="str">
        <x:f>IF(OR(AB4&lt;0,AB4=AA4,ISERROR(INDEX(세부시간표!$A$3:$L$1183,9*AB4-1,12))),"",INDEX(세부시간표!$A$3:$L$1183,9*AB4-1,12))</x:f>
        <x:v>양현수</x:v>
      </x:c>
      <x:c r="AC34" s="66" t="str">
        <x:f>IF(OR(AC4&lt;0,AC4=AB4,ISERROR(INDEX(세부시간표!$A$3:$L$1183,9*AC4-1,12))),"",INDEX(세부시간표!$A$3:$L$1183,9*AC4-1,12))</x:f>
        <x:v>양현수</x:v>
      </x:c>
      <x:c r="AD34" s="66" t="str">
        <x:f>IF(OR(AD4&lt;0,AD4=AC4,ISERROR(INDEX(세부시간표!$A$3:$L$1183,9*AD4-1,12))),"",INDEX(세부시간표!$A$3:$L$1183,9*AD4-1,12))</x:f>
        <x:v>양현수</x:v>
      </x:c>
      <x:c r="AE34" s="66" t="str">
        <x:f>IF(OR(AE4&lt;0,AE4=AD4,ISERROR(INDEX(세부시간표!$A$3:$L$1183,9*AE4-1,12))),"",INDEX(세부시간표!$A$3:$L$1183,9*AE4-1,12))</x:f>
        <x:v>양현수</x:v>
      </x:c>
      <x:c r="AF34" s="66" t="str">
        <x:f>IF(OR(AF4&lt;0,AF4=AE4,ISERROR(INDEX(세부시간표!$A$3:$L$1183,9*AF4-1,12))),"",INDEX(세부시간표!$A$3:$L$1183,9*AF4-1,12))</x:f>
        <x:v>양현수</x:v>
      </x:c>
      <x:c r="AG34" s="66" t="str">
        <x:f>IF(OR(AG4&lt;0,AG4=AF4,ISERROR(INDEX(세부시간표!$A$3:$L$1183,9*AG4-1,12))),"",INDEX(세부시간표!$A$3:$L$1183,9*AG4-1,12))</x:f>
        <x:v>양현수</x:v>
      </x:c>
      <x:c r="AH34" s="66" t="str">
        <x:f>IF(OR(AH4&lt;0,AH4=AG4,ISERROR(INDEX(세부시간표!$A$3:$L$1183,9*AH4-1,12))),"",INDEX(세부시간표!$A$3:$L$1183,9*AH4-1,12))</x:f>
        <x:v>양현수</x:v>
      </x:c>
      <x:c r="AI34" s="66" t="str">
        <x:f>IF(OR(AI4&lt;0,AI4=AH4,ISERROR(INDEX(세부시간표!$A$3:$L$1183,9*AI4-1,12))),"",INDEX(세부시간표!$A$3:$L$1183,9*AI4-1,12))</x:f>
        <x:v>양현수</x:v>
      </x:c>
      <x:c r="AJ34" s="66" t="str">
        <x:f>IF(OR(AJ4&lt;0,AJ4=AI4,ISERROR(INDEX(세부시간표!$A$3:$L$1183,9*AJ4-1,12))),"",INDEX(세부시간표!$A$3:$L$1183,9*AJ4-1,12))</x:f>
        <x:v>양현수</x:v>
      </x:c>
      <x:c r="AK34" s="66" t="str">
        <x:f>IF(OR(AK4&lt;0,AK4=AJ4,ISERROR(INDEX(세부시간표!$A$3:$L$1183,9*AK4-1,12))),"",INDEX(세부시간표!$A$3:$L$1183,9*AK4-1,12))</x:f>
        <x:v>양현수</x:v>
      </x:c>
      <x:c r="AL34" s="66" t="str">
        <x:f>IF(OR(AL4&lt;0,AL4=AK4,ISERROR(INDEX(세부시간표!$A$3:$L$1183,9*AL4-1,12))),"",INDEX(세부시간표!$A$3:$L$1183,9*AL4-1,12))</x:f>
        <x:v>양현수</x:v>
      </x:c>
      <x:c r="AM34" s="66" t="str">
        <x:f>IF(OR(AM4&lt;0,AM4=AL4,ISERROR(INDEX(세부시간표!$A$3:$L$1183,9*AM4-1,12))),"",INDEX(세부시간표!$A$3:$L$1183,9*AM4-1,12))</x:f>
        <x:v>양현수</x:v>
      </x:c>
      <x:c r="AN34" s="66" t="str">
        <x:f>IF(OR(AN4&lt;0,AN4=AM4,ISERROR(INDEX(세부시간표!$A$3:$L$1183,9*AN4-1,12))),"",INDEX(세부시간표!$A$3:$L$1183,9*AN4-1,12))</x:f>
        <x:v>양현수</x:v>
      </x:c>
      <x:c r="AO34" s="66" t="str">
        <x:f>IF(OR(AO4&lt;0,AO4=AN4,ISERROR(INDEX(세부시간표!$A$3:$L$1183,9*AO4-1,12))),"",INDEX(세부시간표!$A$3:$L$1183,9*AO4-1,12))</x:f>
        <x:v>양현수</x:v>
      </x:c>
      <x:c r="AP34" s="66" t="str">
        <x:f>IF(OR(AP4&lt;0,AP4=AO4,ISERROR(INDEX(세부시간표!$A$3:$L$1183,9*AP4-1,12))),"",INDEX(세부시간표!$A$3:$L$1183,9*AP4-1,12))</x:f>
        <x:v>양현수</x:v>
      </x:c>
      <x:c r="AQ34" s="66" t="str">
        <x:f>IF(OR(AQ4&lt;0,AQ4=AP4,ISERROR(INDEX(세부시간표!$A$3:$L$1183,9*AQ4-1,12))),"",INDEX(세부시간표!$A$3:$L$1183,9*AQ4-1,12))</x:f>
        <x:v>양현수</x:v>
      </x:c>
      <x:c r="AR34" s="66" t="str">
        <x:f>IF(OR(AR4&lt;0,AR4=AQ4,ISERROR(INDEX(세부시간표!$A$3:$L$1183,9*AR4-1,12))),"",INDEX(세부시간표!$A$3:$L$1183,9*AR4-1,12))</x:f>
        <x:v>양현수</x:v>
      </x:c>
      <x:c r="AS34" s="66" t="str">
        <x:f>IF(OR(AS4&lt;0,AS4=AR4,ISERROR(INDEX(세부시간표!$A$3:$L$1183,9*AS4-1,12))),"",INDEX(세부시간표!$A$3:$L$1183,9*AS4-1,12))</x:f>
        <x:v>양현수</x:v>
      </x:c>
      <x:c r="AT34" s="66" t="str">
        <x:f>IF(OR(AT4&lt;0,AT4=AS4,ISERROR(INDEX(세부시간표!$A$3:$L$1183,9*AT4-1,12))),"",INDEX(세부시간표!$A$3:$L$1183,9*AT4-1,12))</x:f>
        <x:v>양현수</x:v>
      </x:c>
      <x:c r="AU34" s="66" t="str">
        <x:f>IF(OR(AU4&lt;0,AU4=AT4,ISERROR(INDEX(세부시간표!$A$3:$L$1183,9*AU4-1,12))),"",INDEX(세부시간표!$A$3:$L$1183,9*AU4-1,12))</x:f>
        <x:v>양현수</x:v>
      </x:c>
      <x:c r="AV34" s="66" t="str">
        <x:f>IF(OR(AV4&lt;0,AV4=AU4,ISERROR(INDEX(세부시간표!$A$3:$L$1183,9*AV4-1,12))),"",INDEX(세부시간표!$A$3:$L$1183,9*AV4-1,12))</x:f>
        <x:v>양현수</x:v>
      </x:c>
      <x:c r="AW34" s="66" t="str">
        <x:f>IF(OR(AW4&lt;0,AW4=AV4,ISERROR(INDEX(세부시간표!$A$3:$L$1183,9*AW4-1,12))),"",INDEX(세부시간표!$A$3:$L$1183,9*AW4-1,12))</x:f>
        <x:v>양현수</x:v>
      </x:c>
      <x:c r="AX34" s="66" t="str">
        <x:f>IF(OR(AX4&lt;0,AX4=AW4,ISERROR(INDEX(세부시간표!$A$3:$L$1183,9*AX4-1,12))),"",INDEX(세부시간표!$A$3:$L$1183,9*AX4-1,12))</x:f>
        <x:v>양현수</x:v>
      </x:c>
      <x:c r="AY34" s="66" t="str">
        <x:f>IF(OR(AY4&lt;0,AY4=AX4,ISERROR(INDEX(세부시간표!$A$3:$L$1183,9*AY4-1,12))),"",INDEX(세부시간표!$A$3:$L$1183,9*AY4-1,12))</x:f>
        <x:v>양현수</x:v>
      </x:c>
      <x:c r="AZ34" s="66" t="str">
        <x:f>IF(OR(AZ4&lt;0,AZ4=AY4,ISERROR(INDEX(세부시간표!$A$3:$L$1183,9*AZ4-1,12))),"",INDEX(세부시간표!$A$3:$L$1183,9*AZ4-1,12))</x:f>
        <x:v>양현수</x:v>
      </x:c>
      <x:c r="BA34" s="66" t="str">
        <x:f>IF(OR(BA4&lt;0,BA4=AZ4,ISERROR(INDEX(세부시간표!$A$3:$L$1183,9*BA4-1,12))),"",INDEX(세부시간표!$A$3:$L$1183,9*BA4-1,12))</x:f>
        <x:v>양현수</x:v>
      </x:c>
      <x:c r="BB34" s="66" t="str">
        <x:f>IF(OR(BB4&lt;0,BB4=BA4,ISERROR(INDEX(세부시간표!$A$3:$L$1183,9*BB4-1,12))),"",INDEX(세부시간표!$A$3:$L$1183,9*BB4-1,12))</x:f>
        <x:v>양현수</x:v>
      </x:c>
      <x:c r="BC34" s="66" t="str">
        <x:f>IF(OR(BC4&lt;0,BC4=BB4,ISERROR(INDEX(세부시간표!$A$3:$L$1183,9*BC4-1,12))),"",INDEX(세부시간표!$A$3:$L$1183,9*BC4-1,12))</x:f>
        <x:v>양현수</x:v>
      </x:c>
      <x:c r="BD34" s="66" t="str">
        <x:f>IF(OR(BD4&lt;0,BD4=BC4,ISERROR(INDEX(세부시간표!$A$3:$L$1183,9*BD4-1,12))),"",INDEX(세부시간표!$A$3:$L$1183,9*BD4-1,12))</x:f>
        <x:v>양현수</x:v>
      </x:c>
      <x:c r="BE34" s="66" t="str">
        <x:f>IF(OR(BE4&lt;0,BE4=BD4,ISERROR(INDEX(세부시간표!$A$3:$L$1183,9*BE4-1,12))),"",INDEX(세부시간표!$A$3:$L$1183,9*BE4-1,12))</x:f>
        <x:v>양현수</x:v>
      </x:c>
      <x:c r="BF34" s="66" t="str">
        <x:f>IF(OR(BF4&lt;0,BF4=BE4,ISERROR(INDEX(세부시간표!$A$3:$L$1183,9*BF4-1,12))),"",INDEX(세부시간표!$A$3:$L$1183,9*BF4-1,12))</x:f>
        <x:v>양현수</x:v>
      </x:c>
      <x:c r="BG34" s="66" t="str">
        <x:f>IF(OR(BG4&lt;0,BG4=BF4,ISERROR(INDEX(세부시간표!$A$3:$L$1183,9*BG4-1,12))),"",INDEX(세부시간표!$A$3:$L$1183,9*BG4-1,12))</x:f>
        <x:v>양현수</x:v>
      </x:c>
      <x:c r="BH34" s="66" t="str">
        <x:f>IF(OR(BH4&lt;0,BH4=BG4,ISERROR(INDEX(세부시간표!$A$3:$L$1183,9*BH4-1,12))),"",INDEX(세부시간표!$A$3:$L$1183,9*BH4-1,12))</x:f>
        <x:v>양현수</x:v>
      </x:c>
      <x:c r="BI34" s="66" t="str">
        <x:f>IF(OR(BI4&lt;0,BI4=BH4,ISERROR(INDEX(세부시간표!$A$3:$L$1183,9*BI4-1,12))),"",INDEX(세부시간표!$A$3:$L$1183,9*BI4-1,12))</x:f>
        <x:v>양현수</x:v>
      </x:c>
      <x:c r="BJ34" s="66" t="str">
        <x:f>IF(OR(BJ4&lt;0,BJ4=BI4,ISERROR(INDEX(세부시간표!$A$3:$L$1183,9*BJ4-1,12))),"",INDEX(세부시간표!$A$3:$L$1183,9*BJ4-1,12))</x:f>
        <x:v>양현수</x:v>
      </x:c>
      <x:c r="BK34" s="66" t="str">
        <x:f>IF(OR(BK4&lt;0,BK4=BJ4,ISERROR(INDEX(세부시간표!$A$3:$L$1183,9*BK4-1,12))),"",INDEX(세부시간표!$A$3:$L$1183,9*BK4-1,12))</x:f>
        <x:v>양현수</x:v>
      </x:c>
      <x:c r="BL34" s="66" t="str">
        <x:f>IF(OR(BL4&lt;0,BL4=BK4,ISERROR(INDEX(세부시간표!$A$3:$L$1183,9*BL4-1,12))),"",INDEX(세부시간표!$A$3:$L$1183,9*BL4-1,12))</x:f>
        <x:v>양현수</x:v>
      </x:c>
      <x:c r="BM34" s="66" t="str">
        <x:f>IF(OR(BM4&lt;0,BM4=BL4,ISERROR(INDEX(세부시간표!$A$3:$L$1183,9*BM4-1,12))),"",INDEX(세부시간표!$A$3:$L$1183,9*BM4-1,12))</x:f>
        <x:v>양현수</x:v>
      </x:c>
      <x:c r="BN34" s="66" t="str">
        <x:f>IF(OR(BN4&lt;0,BN4=BM4,ISERROR(INDEX(세부시간표!$A$3:$L$1183,9*BN4-1,12))),"",INDEX(세부시간표!$A$3:$L$1183,9*BN4-1,12))</x:f>
        <x:v>양현수</x:v>
      </x:c>
      <x:c r="BO34" s="66" t="str">
        <x:f>IF(OR(BO4&lt;0,BO4=BN4,ISERROR(INDEX(세부시간표!$A$3:$L$1183,9*BO4-1,12))),"",INDEX(세부시간표!$A$3:$L$1183,9*BO4-1,12))</x:f>
        <x:v>양현수</x:v>
      </x:c>
      <x:c r="BP34" s="66" t="str">
        <x:f>IF(OR(BP4&lt;0,BP4=BO4,ISERROR(INDEX(세부시간표!$A$3:$L$1183,9*BP4-1,12))),"",INDEX(세부시간표!$A$3:$L$1183,9*BP4-1,12))</x:f>
        <x:v>양현수</x:v>
      </x:c>
      <x:c r="BQ34" s="66" t="str">
        <x:f>IF(OR(BQ4&lt;0,BQ4=BP4,ISERROR(INDEX(세부시간표!$A$3:$L$1183,9*BQ4-1,12))),"",INDEX(세부시간표!$A$3:$L$1183,9*BQ4-1,12))</x:f>
        <x:v>양현수</x:v>
      </x:c>
      <x:c r="BR34" s="66" t="str">
        <x:f>IF(OR(BR4&lt;0,BR4=BQ4,ISERROR(INDEX(세부시간표!$A$3:$L$1183,9*BR4-1,12))),"",INDEX(세부시간표!$A$3:$L$1183,9*BR4-1,12))</x:f>
        <x:v/>
      </x:c>
      <x:c r="BS34" s="66" t="str">
        <x:f>IF(OR(BS4&lt;0,BS4=BR4,ISERROR(INDEX(세부시간표!$A$3:$L$1183,9*BS4-1,12))),"",INDEX(세부시간표!$A$3:$L$1183,9*BS4-1,12))</x:f>
        <x:v>양현수</x:v>
      </x:c>
      <x:c r="BT34" s="66" t="str">
        <x:f>IF(OR(BT4&lt;0,BT4=BS4,ISERROR(INDEX(세부시간표!$A$3:$L$1183,9*BT4-1,12))),"",INDEX(세부시간표!$A$3:$L$1183,9*BT4-1,12))</x:f>
        <x:v>양현수</x:v>
      </x:c>
      <x:c r="BU34" s="66" t="str">
        <x:f>IF(OR(BU4&lt;0,BU4=BT4,ISERROR(INDEX(세부시간표!$A$3:$L$1183,9*BU4-1,12))),"",INDEX(세부시간표!$A$3:$L$1183,9*BU4-1,12))</x:f>
        <x:v>양현수</x:v>
      </x:c>
      <x:c r="BV34" s="66" t="str">
        <x:f>IF(OR(BV4&lt;0,BV4=BU4,ISERROR(INDEX(세부시간표!$A$3:$L$1183,9*BV4-1,12))),"",INDEX(세부시간표!$A$3:$L$1183,9*BV4-1,12))</x:f>
        <x:v>양현수</x:v>
      </x:c>
      <x:c r="BW34" s="66" t="str">
        <x:f>IF(OR(BW4&lt;0,BW4=BV4,ISERROR(INDEX(세부시간표!$A$3:$L$1183,9*BW4-1,12))),"",INDEX(세부시간표!$A$3:$L$1183,9*BW4-1,12))</x:f>
        <x:v/>
      </x:c>
      <x:c r="BX34" s="66" t="str">
        <x:f>IF(OR(BX4&lt;0,BX4=BW4,ISERROR(INDEX(세부시간표!$A$3:$L$1183,9*BX4-1,12))),"",INDEX(세부시간표!$A$3:$L$1183,9*BX4-1,12))</x:f>
        <x:v>양현수</x:v>
      </x:c>
      <x:c r="BY34" s="66" t="str">
        <x:f>IF(OR(BY4&lt;0,BY4=BX4,ISERROR(INDEX(세부시간표!$A$3:$L$1183,9*BY4-1,12))),"",INDEX(세부시간표!$A$3:$L$1183,9*BY4-1,12))</x:f>
        <x:v>양현수</x:v>
      </x:c>
      <x:c r="BZ34" s="66" t="str">
        <x:f>IF(OR(BZ4&lt;0,BZ4=BY4,ISERROR(INDEX(세부시간표!$A$3:$L$1183,9*BZ4-1,12))),"",INDEX(세부시간표!$A$3:$L$1183,9*BZ4-1,12))</x:f>
        <x:v>양현수</x:v>
      </x:c>
      <x:c r="CA34" s="66" t="str">
        <x:f>IF(OR(CA4&lt;0,CA4=BZ4,ISERROR(INDEX(세부시간표!$A$3:$L$1183,9*CA4-1,12))),"",INDEX(세부시간표!$A$3:$L$1183,9*CA4-1,12))</x:f>
        <x:v>양현수</x:v>
      </x:c>
      <x:c r="CB34" s="66" t="str">
        <x:f>IF(OR(CB4&lt;0,CB4=CA4,ISERROR(INDEX(세부시간표!$A$3:$L$1183,9*CB4-1,12))),"",INDEX(세부시간표!$A$3:$L$1183,9*CB4-1,12))</x:f>
        <x:v>양현수</x:v>
      </x:c>
      <x:c r="CC34" s="66" t="str">
        <x:f>IF(OR(CC4&lt;0,CC4=CB4,ISERROR(INDEX(세부시간표!$A$3:$L$1183,9*CC4-1,12))),"",INDEX(세부시간표!$A$3:$L$1183,9*CC4-1,12))</x:f>
        <x:v>양현수</x:v>
      </x:c>
      <x:c r="CD34" s="66" t="str">
        <x:f>IF(OR(CD4&lt;0,CD4=CC4,ISERROR(INDEX(세부시간표!$A$3:$L$1183,9*CD4-1,12))),"",INDEX(세부시간표!$A$3:$L$1183,9*CD4-1,12))</x:f>
        <x:v>양현수</x:v>
      </x:c>
      <x:c r="CE34" s="66" t="str">
        <x:f>IF(OR(CE4&lt;0,CE4=CD4,ISERROR(INDEX(세부시간표!$A$3:$L$1183,9*CE4-1,12))),"",INDEX(세부시간표!$A$3:$L$1183,9*CE4-1,12))</x:f>
        <x:v>양현수</x:v>
      </x:c>
      <x:c r="CF34" s="66" t="str">
        <x:f>IF(OR(CF4&lt;0,CF4=CE4,ISERROR(INDEX(세부시간표!$A$3:$L$1183,9*CF4-1,12))),"",INDEX(세부시간표!$A$3:$L$1183,9*CF4-1,12))</x:f>
        <x:v>양현수</x:v>
      </x:c>
      <x:c r="CG34" s="66" t="str">
        <x:f>IF(OR(CG4&lt;0,CG4=CF4,ISERROR(INDEX(세부시간표!$A$3:$L$1183,9*CG4-1,12))),"",INDEX(세부시간표!$A$3:$L$1183,9*CG4-1,12))</x:f>
        <x:v>양현수</x:v>
      </x:c>
      <x:c r="CH34" s="66" t="str">
        <x:f>IF(OR(CH4&lt;0,CH4=CG4,ISERROR(INDEX(세부시간표!$A$3:$L$1183,9*CH4-1,12))),"",INDEX(세부시간표!$A$3:$L$1183,9*CH4-1,12))</x:f>
        <x:v>양현수</x:v>
      </x:c>
      <x:c r="CI34" s="66" t="str">
        <x:f>IF(OR(CI4&lt;0,CI4=CH4,ISERROR(INDEX(세부시간표!$A$3:$L$1183,9*CI4-1,12))),"",INDEX(세부시간표!$A$3:$L$1183,9*CI4-1,12))</x:f>
        <x:v>양현수</x:v>
      </x:c>
      <x:c r="CJ34" s="66" t="str">
        <x:f>IF(OR(CJ4&lt;0,CJ4=CI4,ISERROR(INDEX(세부시간표!$A$3:$L$1183,9*CJ4-1,12))),"",INDEX(세부시간표!$A$3:$L$1183,9*CJ4-1,12))</x:f>
        <x:v>양현수</x:v>
      </x:c>
      <x:c r="CK34" s="66" t="str">
        <x:f>IF(OR(CK4&lt;0,CK4=CJ4,ISERROR(INDEX(세부시간표!$A$3:$L$1183,9*CK4-1,12))),"",INDEX(세부시간표!$A$3:$L$1183,9*CK4-1,12))</x:f>
        <x:v>양현수</x:v>
      </x:c>
      <x:c r="CL34" s="66" t="str">
        <x:f>IF(OR(CL4&lt;0,CL4=CK4,ISERROR(INDEX(세부시간표!$A$3:$L$1183,9*CL4-1,12))),"",INDEX(세부시간표!$A$3:$L$1183,9*CL4-1,12))</x:f>
        <x:v>양현수</x:v>
      </x:c>
      <x:c r="CM34" s="66" t="str">
        <x:f>IF(OR(CM4&lt;0,CM4=CL4,ISERROR(INDEX(세부시간표!$A$3:$L$1183,9*CM4-1,12))),"",INDEX(세부시간표!$A$3:$L$1183,9*CM4-1,12))</x:f>
        <x:v>양현수</x:v>
      </x:c>
      <x:c r="CN34" s="66" t="str">
        <x:f>IF(OR(CN4&lt;0,CN4=CM4,ISERROR(INDEX(세부시간표!$A$3:$L$1183,9*CN4-1,12))),"",INDEX(세부시간표!$A$3:$L$1183,9*CN4-1,12))</x:f>
        <x:v>양현수</x:v>
      </x:c>
      <x:c r="CO34" s="66" t="str">
        <x:f>IF(OR(CO4&lt;0,CO4=CN4,ISERROR(INDEX(세부시간표!$A$3:$L$1183,9*CO4-1,12))),"",INDEX(세부시간표!$A$3:$L$1183,9*CO4-1,12))</x:f>
        <x:v>양현수</x:v>
      </x:c>
      <x:c r="CP34" s="66" t="str">
        <x:f>IF(OR(CP4&lt;0,CP4=CO4,ISERROR(INDEX(세부시간표!$A$3:$L$1183,9*CP4-1,12))),"",INDEX(세부시간표!$A$3:$L$1183,9*CP4-1,12))</x:f>
        <x:v>양현수</x:v>
      </x:c>
      <x:c r="CQ34" s="66" t="str">
        <x:f>IF(OR(CQ4&lt;0,CQ4=CP4,ISERROR(INDEX(세부시간표!$A$3:$L$1183,9*CQ4-1,12))),"",INDEX(세부시간표!$A$3:$L$1183,9*CQ4-1,12))</x:f>
        <x:v>양현수</x:v>
      </x:c>
      <x:c r="CR34" s="66" t="str">
        <x:f>IF(OR(CR4&lt;0,CR4=CQ4,ISERROR(INDEX(세부시간표!$A$3:$L$1183,9*CR4-1,12))),"",INDEX(세부시간표!$A$3:$L$1183,9*CR4-1,12))</x:f>
        <x:v>양현수</x:v>
      </x:c>
      <x:c r="CS34" s="66" t="str">
        <x:f>IF(OR(CS4&lt;0,CS4=CR4,ISERROR(INDEX(세부시간표!$A$3:$L$1183,9*CS4-1,12))),"",INDEX(세부시간표!$A$3:$L$1183,9*CS4-1,12))</x:f>
        <x:v>양현수</x:v>
      </x:c>
      <x:c r="CT34" s="66" t="str">
        <x:f>IF(OR(CT4&lt;0,CT4=CS4,ISERROR(INDEX(세부시간표!$A$3:$L$1183,9*CT4-1,12))),"",INDEX(세부시간표!$A$3:$L$1183,9*CT4-1,12))</x:f>
        <x:v>양현수</x:v>
      </x:c>
      <x:c r="CU34" s="66" t="str">
        <x:f>IF(OR(CU4&lt;0,CU4=CT4,ISERROR(INDEX(세부시간표!$A$3:$L$1183,9*CU4-1,12))),"",INDEX(세부시간표!$A$3:$L$1183,9*CU4-1,12))</x:f>
        <x:v>양현수</x:v>
      </x:c>
      <x:c r="CV34" s="66" t="str">
        <x:f>IF(OR(CV4&lt;0,CV4=CU4,ISERROR(INDEX(세부시간표!$A$3:$L$1183,9*CV4-1,12))),"",INDEX(세부시간표!$A$3:$L$1183,9*CV4-1,12))</x:f>
        <x:v>양현수</x:v>
      </x:c>
      <x:c r="CW34" s="66" t="str">
        <x:f>IF(OR(CW4&lt;0,CW4=CV4,ISERROR(INDEX(세부시간표!$A$3:$L$1183,9*CW4-1,12))),"",INDEX(세부시간표!$A$3:$L$1183,9*CW4-1,12))</x:f>
        <x:v>양현수</x:v>
      </x:c>
      <x:c r="CX34" s="66" t="str">
        <x:f>IF(OR(CX4&lt;0,CX4=CW4,ISERROR(INDEX(세부시간표!$A$3:$L$1183,9*CX4-1,12))),"",INDEX(세부시간표!$A$3:$L$1183,9*CX4-1,12))</x:f>
        <x:v>양현수</x:v>
      </x:c>
      <x:c r="CY34" s="66" t="str">
        <x:f>IF(OR(CY4&lt;0,CY4=CX4,ISERROR(INDEX(세부시간표!$A$3:$L$1183,9*CY4-1,12))),"",INDEX(세부시간표!$A$3:$L$1183,9*CY4-1,12))</x:f>
        <x:v>양현수</x:v>
      </x:c>
      <x:c r="CZ34" s="66" t="str">
        <x:f>IF(OR(CZ4&lt;0,CZ4=CY4,ISERROR(INDEX(세부시간표!$A$3:$L$1183,9*CZ4-1,12))),"",INDEX(세부시간표!$A$3:$L$1183,9*CZ4-1,12))</x:f>
        <x:v>양현수</x:v>
      </x:c>
      <x:c r="DA34" s="66" t="str">
        <x:f>IF(OR(DA4&lt;0,DA4=CZ4,ISERROR(INDEX(세부시간표!$A$3:$L$1183,9*DA4-1,12))),"",INDEX(세부시간표!$A$3:$L$1183,9*DA4-1,12))</x:f>
        <x:v>양현수</x:v>
      </x:c>
      <x:c r="DB34" s="66" t="str">
        <x:f>IF(OR(DB4&lt;0,DB4=DA4,ISERROR(INDEX(세부시간표!$A$3:$L$1183,9*DB4-1,12))),"",INDEX(세부시간표!$A$3:$L$1183,9*DB4-1,12))</x:f>
        <x:v>양현수</x:v>
      </x:c>
      <x:c r="DC34" s="66" t="str">
        <x:f>IF(OR(DC4&lt;0,DC4=DB4,ISERROR(INDEX(세부시간표!$A$3:$L$1183,9*DC4-1,12))),"",INDEX(세부시간표!$A$3:$L$1183,9*DC4-1,12))</x:f>
        <x:v/>
      </x:c>
      <x:c r="DD34" s="66" t="str">
        <x:f>IF(OR(DD4&lt;0,DD4=DC4,ISERROR(INDEX(세부시간표!$A$3:$L$1183,9*DD4-1,12))),"",INDEX(세부시간표!$A$3:$L$1183,9*DD4-1,12))</x:f>
        <x:v/>
      </x:c>
      <x:c r="DE34" s="66" t="str">
        <x:f>IF(OR(DE4&lt;0,DE4=DD4,ISERROR(INDEX(세부시간표!$A$3:$L$1183,9*DE4-1,12))),"",INDEX(세부시간표!$A$3:$L$1183,9*DE4-1,12))</x:f>
        <x:v/>
      </x:c>
      <x:c r="DF34" s="66" t="str">
        <x:f>IF(OR(DF4&lt;0,DF4=DE4,ISERROR(INDEX(세부시간표!$A$3:$L$1183,9*DF4-1,12))),"",INDEX(세부시간표!$A$3:$L$1183,9*DF4-1,12))</x:f>
        <x:v>양현수</x:v>
      </x:c>
      <x:c r="DG34" s="66" t="str">
        <x:f>IF(OR(DG4&lt;0,DG4=DF4,ISERROR(INDEX(세부시간표!$A$3:$L$1183,9*DG4-1,12))),"",INDEX(세부시간표!$A$3:$L$1183,9*DG4-1,12))</x:f>
        <x:v>양현수</x:v>
      </x:c>
      <x:c r="DH34" s="66" t="str">
        <x:f>IF(OR(DH4&lt;0,DH4=DG4,ISERROR(INDEX(세부시간표!$A$3:$L$1183,9*DH4-1,12))),"",INDEX(세부시간표!$A$3:$L$1183,9*DH4-1,12))</x:f>
        <x:v>양현수</x:v>
      </x:c>
      <x:c r="DI34" s="66" t="str">
        <x:f>IF(OR(DI4&lt;0,DI4=DH4,ISERROR(INDEX(세부시간표!$A$3:$L$1183,9*DI4-1,12))),"",INDEX(세부시간표!$A$3:$L$1183,9*DI4-1,12))</x:f>
        <x:v>양현수</x:v>
      </x:c>
      <x:c r="DJ34" s="66" t="str">
        <x:f>IF(OR(DJ4&lt;0,DJ4=DI4,ISERROR(INDEX(세부시간표!$A$3:$L$1183,9*DJ4-1,12))),"",INDEX(세부시간표!$A$3:$L$1183,9*DJ4-1,12))</x:f>
        <x:v>양현수</x:v>
      </x:c>
      <x:c r="DK34" s="66" t="str">
        <x:f>IF(OR(DK4&lt;0,DK4=DJ4,ISERROR(INDEX(세부시간표!$A$3:$L$1183,9*DK4-1,12))),"",INDEX(세부시간표!$A$3:$L$1183,9*DK4-1,12))</x:f>
        <x:v>양현수</x:v>
      </x:c>
      <x:c r="DL34" s="66" t="str">
        <x:f>IF(OR(DL4&lt;0,DL4=DK4,ISERROR(INDEX(세부시간표!$A$3:$L$1183,9*DL4-1,12))),"",INDEX(세부시간표!$A$3:$L$1183,9*DL4-1,12))</x:f>
        <x:v>양현수</x:v>
      </x:c>
      <x:c r="DM34" s="66" t="str">
        <x:f>IF(OR(DM4&lt;0,DM4=DL4,ISERROR(INDEX(세부시간표!$A$3:$L$1183,9*DM4-1,12))),"",INDEX(세부시간표!$A$3:$L$1183,9*DM4-1,12))</x:f>
        <x:v/>
      </x:c>
      <x:c r="DN34" s="66" t="str">
        <x:f>IF(OR(DN4&lt;0,DN4=DM4,ISERROR(INDEX(세부시간표!$A$3:$L$1183,9*DN4-1,12))),"",INDEX(세부시간표!$A$3:$L$1183,9*DN4-1,12))</x:f>
        <x:v>양현수</x:v>
      </x:c>
      <x:c r="DO34" s="66" t="str">
        <x:f>IF(OR(DO4&lt;0,DO4=DN4,ISERROR(INDEX(세부시간표!$A$3:$L$1183,9*DO4-1,12))),"",INDEX(세부시간표!$A$3:$L$1183,9*DO4-1,12))</x:f>
        <x:v>양현수</x:v>
      </x:c>
      <x:c r="DP34" s="66" t="str">
        <x:f>IF(OR(DP4&lt;0,DP4=DO4,ISERROR(INDEX(세부시간표!$A$3:$L$1183,9*DP4-1,12))),"",INDEX(세부시간표!$A$3:$L$1183,9*DP4-1,12))</x:f>
        <x:v>양현수</x:v>
      </x:c>
      <x:c r="DQ34" s="66" t="str">
        <x:f>IF(OR(DQ4&lt;0,DQ4=DP4,ISERROR(INDEX(세부시간표!$A$3:$L$1183,9*DQ4-1,12))),"",INDEX(세부시간표!$A$3:$L$1183,9*DQ4-1,12))</x:f>
        <x:v>양현수</x:v>
      </x:c>
      <x:c r="DR34" s="66" t="str">
        <x:f>IF(OR(DR4&lt;0,DR4=DQ4,ISERROR(INDEX(세부시간표!$A$3:$L$1183,9*DR4-1,12))),"",INDEX(세부시간표!$A$3:$L$1183,9*DR4-1,12))</x:f>
        <x:v>양현수</x:v>
      </x:c>
      <x:c r="DS34" s="66" t="str">
        <x:f>IF(OR(DS4&lt;0,DS4=DR4,ISERROR(INDEX(세부시간표!$A$3:$L$1183,9*DS4-1,12))),"",INDEX(세부시간표!$A$3:$L$1183,9*DS4-1,12))</x:f>
        <x:v>양현수</x:v>
      </x:c>
      <x:c r="DT34" s="66" t="str">
        <x:f>IF(OR(DT4&lt;0,DT4=DS4,ISERROR(INDEX(세부시간표!$A$3:$L$1183,9*DT4-1,12))),"",INDEX(세부시간표!$A$3:$L$1183,9*DT4-1,12))</x:f>
        <x:v>양현수</x:v>
      </x:c>
      <x:c r="DU34" s="66" t="str">
        <x:f>IF(OR(DU4&lt;0,DU4=DT4,ISERROR(INDEX(세부시간표!$A$3:$L$1183,9*DU4-1,12))),"",INDEX(세부시간표!$A$3:$L$1183,9*DU4-1,12))</x:f>
        <x:v>양현수</x:v>
      </x:c>
      <x:c r="DV34" s="66" t="str">
        <x:f>IF(OR(DV4&lt;0,DV4=DU4,ISERROR(INDEX(세부시간표!$A$3:$L$1183,9*DV4-1,12))),"",INDEX(세부시간표!$A$3:$L$1183,9*DV4-1,12))</x:f>
        <x:v>양현수</x:v>
      </x:c>
      <x:c r="DW34" s="66" t="str">
        <x:f>IF(OR(DW4&lt;0,DW4=DV4,ISERROR(INDEX(세부시간표!$A$3:$L$1183,9*DW4-1,12))),"",INDEX(세부시간표!$A$3:$L$1183,9*DW4-1,12))</x:f>
        <x:v>양현수</x:v>
      </x:c>
      <x:c r="DX34" s="66" t="str">
        <x:f>IF(OR(DX4&lt;0,DX4=DW4,ISERROR(INDEX(세부시간표!$A$3:$L$1183,9*DX4-1,12))),"",INDEX(세부시간표!$A$3:$L$1183,9*DX4-1,12))</x:f>
        <x:v>양현수</x:v>
      </x:c>
      <x:c r="DY34" s="66" t="str">
        <x:f>IF(OR(DY4&lt;0,DY4=DX4,ISERROR(INDEX(세부시간표!$A$3:$L$1183,9*DY4-1,12))),"",INDEX(세부시간표!$A$3:$L$1183,9*DY4-1,12))</x:f>
        <x:v>양현수</x:v>
      </x:c>
      <x:c r="DZ34" s="66" t="str">
        <x:f>IF(OR(DZ4&lt;0,DZ4=DY4,ISERROR(INDEX(세부시간표!$A$3:$L$1183,9*DZ4-1,12))),"",INDEX(세부시간표!$A$3:$L$1183,9*DZ4-1,12))</x:f>
        <x:v>양현수</x:v>
      </x:c>
      <x:c r="EA34" s="66" t="str">
        <x:f>IF(OR(EA4&lt;0,EA4=DZ4,ISERROR(INDEX(세부시간표!$A$3:$L$1183,9*EA4-1,12))),"",INDEX(세부시간표!$A$3:$L$1183,9*EA4-1,12))</x:f>
        <x:v>양현수</x:v>
      </x:c>
      <x:c r="EB34" s="66" t="str">
        <x:f>IF(OR(EB4&lt;0,EB4=EA4,ISERROR(INDEX(세부시간표!$A$3:$L$1183,9*EB4-1,12))),"",INDEX(세부시간표!$A$3:$L$1183,9*EB4-1,12))</x:f>
        <x:v>양현수</x:v>
      </x:c>
      <x:c r="EC34" s="66" t="str">
        <x:f>IF(OR(EC4&lt;0,EC4=EB4,ISERROR(INDEX(세부시간표!$A$3:$L$1183,9*EC4-1,12))),"",INDEX(세부시간표!$A$3:$L$1183,9*EC4-1,12))</x:f>
        <x:v>양현수</x:v>
      </x:c>
      <x:c r="ED34" s="66" t="str">
        <x:f>IF(OR(ED4&lt;0,ED4=EC4,ISERROR(INDEX(세부시간표!$A$3:$L$1183,9*ED4-1,12))),"",INDEX(세부시간표!$A$3:$L$1183,9*ED4-1,12))</x:f>
        <x:v>양현수</x:v>
      </x:c>
      <x:c r="EE34" s="66" t="str">
        <x:f>IF(OR(EE4&lt;0,EE4=ED4,ISERROR(INDEX(세부시간표!$A$3:$L$1183,9*EE4-1,12))),"",INDEX(세부시간표!$A$3:$L$1183,9*EE4-1,12))</x:f>
        <x:v/>
      </x:c>
      <x:c r="EF34" s="66" t="str">
        <x:f>IF(OR(EF4&lt;0,EF4=EE4,ISERROR(INDEX(세부시간표!$A$3:$L$1183,9*EF4-1,12))),"",INDEX(세부시간표!$A$3:$L$1183,9*EF4-1,12))</x:f>
        <x:v/>
      </x:c>
      <x:c r="EG34" s="66" t="str">
        <x:f>IF(OR(EG4&lt;0,EG4=EF4,ISERROR(INDEX(세부시간표!$A$3:$L$1183,9*EG4-1,12))),"",INDEX(세부시간표!$A$3:$L$1183,9*EG4-1,12))</x:f>
        <x:v/>
      </x:c>
      <x:c r="EH34" s="66" t="str">
        <x:f>IF(OR(EH4&lt;0,EH4=EG4,ISERROR(INDEX(세부시간표!$A$3:$L$1183,9*EH4-1,12))),"",INDEX(세부시간표!$A$3:$L$1183,9*EH4-1,12))</x:f>
        <x:v/>
      </x:c>
      <x:c r="EI34" s="66" t="str">
        <x:f>IF(OR(EI4&lt;0,EI4=EH4,ISERROR(INDEX(세부시간표!$A$3:$L$1183,9*EI4-1,12))),"",INDEX(세부시간표!$A$3:$L$1183,9*EI4-1,12))</x:f>
        <x:v/>
      </x:c>
      <x:c r="EJ34" s="66" t="str">
        <x:f>IF(OR(EJ4&lt;0,EJ4=EI4,ISERROR(INDEX(세부시간표!$A$3:$L$1183,9*EJ4-1,12))),"",INDEX(세부시간표!$A$3:$L$1183,9*EJ4-1,12))</x:f>
        <x:v/>
      </x:c>
      <x:c r="EK34" s="66" t="str">
        <x:f>IF(OR(EK4&lt;0,EK4=EJ4,ISERROR(INDEX(세부시간표!$A$3:$L$1183,9*EK4-1,12))),"",INDEX(세부시간표!$A$3:$L$1183,9*EK4-1,12))</x:f>
        <x:v/>
      </x:c>
      <x:c r="EL34" s="57" t="str">
        <x:f>IF(OR(EL4&lt;0,EL4=EK4,ISERROR(INDEX(세부시간표!$A$3:$L$1183,9*EL4-1,12))),"",INDEX(세부시간표!$A$3:$L$1183,9*EL4-1,12))</x:f>
        <x:v/>
      </x:c>
      <x:c r="EM34" s="55" t="str">
        <x:f>IF(OR(EM4&lt;0,EM4=EL4,ISERROR(INDEX(세부시간표!$A$3:$L$1183,9*EM4-1,12))),"",INDEX(세부시간표!$A$3:$L$1183,9*EM4-1,12))</x:f>
        <x:v/>
      </x:c>
      <x:c r="EN34" s="55" t="str">
        <x:f>IF(OR(EN4&lt;0,EN4=EM4,ISERROR(INDEX(세부시간표!$A$3:$L$1183,9*EN4-1,12))),"",INDEX(세부시간표!$A$3:$L$1183,9*EN4-1,12))</x:f>
        <x:v/>
      </x:c>
      <x:c r="EO34" s="55" t="str">
        <x:f>IF(OR(EO4&lt;0,EO4=EN4,ISERROR(INDEX(세부시간표!$A$3:$L$1183,9*EO4-1,12))),"",INDEX(세부시간표!$A$3:$L$1183,9*EO4-1,12))</x:f>
        <x:v/>
      </x:c>
      <x:c r="EP34" s="56" t="str">
        <x:f>IF(OR(EP4&lt;0,EP4=EO4,ISERROR(INDEX(세부시간표!$A$3:$L$1183,9*EP4-1,12))),"",INDEX(세부시간표!$A$3:$L$1183,9*EP4-1,12))</x:f>
        <x:v/>
      </x:c>
    </x:row>
    <x:row r="35" spans="1:146" s="86" customFormat="1" ht="15" customHeight="1">
      <x:c r="A35" s="277" t="s">
        <x:v>60</x:v>
      </x:c>
      <x:c r="B35" s="82" t="str">
        <x:f>IF(OR(B4&lt;0,B4=A4,ISERROR(INDEX(세부시간표!$A$3:$L$1183,9*B4,10))),"",INDEX(세부시간표!$A$3:$L$1183,9*B4,10))</x:f>
        <x:v>웹 애플리케이션 개발</x:v>
      </x:c>
      <x:c r="C35" s="82" t="str">
        <x:f>IF(OR(C4&lt;0,C4=B4,ISERROR(INDEX(세부시간표!$A$3:$L$1183,9*C4,10))),"",INDEX(세부시간표!$A$3:$L$1183,9*C4,10))</x:f>
        <x:v>웹 애플리케이션 개발</x:v>
      </x:c>
      <x:c r="D35" s="82" t="str">
        <x:f>IF(OR(D4&lt;0,D4=C4,ISERROR(INDEX(세부시간표!$A$3:$L$1183,9*D4,10))),"",INDEX(세부시간표!$A$3:$L$1183,9*D4,10))</x:f>
        <x:v>웹 애플리케이션 개발</x:v>
      </x:c>
      <x:c r="E35" s="82" t="str">
        <x:f>IF(OR(E4&lt;0,E4=D4,ISERROR(INDEX(세부시간표!$A$3:$L$1183,9*E4,10))),"",INDEX(세부시간표!$A$3:$L$1183,9*E4,10))</x:f>
        <x:v>웹 애플리케이션 개발</x:v>
      </x:c>
      <x:c r="F35" s="82" t="str">
        <x:f>IF(OR(F4&lt;0,F4=E4,ISERROR(INDEX(세부시간표!$A$3:$L$1183,9*F4,10))),"",INDEX(세부시간표!$A$3:$L$1183,9*F4,10))</x:f>
        <x:v>웹 애플리케이션 개발</x:v>
      </x:c>
      <x:c r="G35" s="82" t="str">
        <x:f>IF(OR(G4&lt;0,G4=F4,ISERROR(INDEX(세부시간표!$A$3:$L$1183,9*G4,10))),"",INDEX(세부시간표!$A$3:$L$1183,9*G4,10))</x:f>
        <x:v>웹 애플리케이션 개발</x:v>
      </x:c>
      <x:c r="H35" s="82" t="str">
        <x:f>IF(OR(H4&lt;0,H4=G4,ISERROR(INDEX(세부시간표!$A$3:$L$1183,9*H4,10))),"",INDEX(세부시간표!$A$3:$L$1183,9*H4,10))</x:f>
        <x:v>웹 애플리케이션 개발</x:v>
      </x:c>
      <x:c r="I35" s="82" t="str">
        <x:f>IF(OR(I4&lt;0,I4=H4,ISERROR(INDEX(세부시간표!$A$3:$L$1183,9*I4,10))),"",INDEX(세부시간표!$A$3:$L$1183,9*I4,10))</x:f>
        <x:v>웹 애플리케이션 개발</x:v>
      </x:c>
      <x:c r="J35" s="82" t="str">
        <x:f>IF(OR(J4&lt;0,J4=I4,ISERROR(INDEX(세부시간표!$A$3:$L$1183,9*J4,10))),"",INDEX(세부시간표!$A$3:$L$1183,9*J4,10))</x:f>
        <x:v>웹 애플리케이션 개발</x:v>
      </x:c>
      <x:c r="K35" s="82" t="str">
        <x:f>IF(OR(K4&lt;0,K4=J4,ISERROR(INDEX(세부시간표!$A$3:$L$1183,9*K4,10))),"",INDEX(세부시간표!$A$3:$L$1183,9*K4,10))</x:f>
        <x:v/>
      </x:c>
      <x:c r="L35" s="82" t="str">
        <x:f>IF(OR(L4&lt;0,L4=K4,ISERROR(INDEX(세부시간표!$A$3:$L$1183,9*L4,10))),"",INDEX(세부시간표!$A$3:$L$1183,9*L4,10))</x:f>
        <x:v/>
      </x:c>
      <x:c r="M35" s="82" t="str">
        <x:f>IF(OR(M4&lt;0,M4=L4,ISERROR(INDEX(세부시간표!$A$3:$L$1183,9*M4,10))),"",INDEX(세부시간표!$A$3:$L$1183,9*M4,10))</x:f>
        <x:v/>
      </x:c>
      <x:c r="N35" s="82" t="str">
        <x:f>IF(OR(N4&lt;0,N4=M4,ISERROR(INDEX(세부시간표!$A$3:$L$1183,9*N4,10))),"",INDEX(세부시간표!$A$3:$L$1183,9*N4,10))</x:f>
        <x:v/>
      </x:c>
      <x:c r="O35" s="82" t="str">
        <x:f>IF(OR(O4&lt;0,O4=N4,ISERROR(INDEX(세부시간표!$A$3:$L$1183,9*O4,10))),"",INDEX(세부시간표!$A$3:$L$1183,9*O4,10))</x:f>
        <x:v/>
      </x:c>
      <x:c r="P35" s="82" t="str">
        <x:f>IF(OR(P4&lt;0,P4=O4,ISERROR(INDEX(세부시간표!$A$3:$L$1183,9*P4,10))),"",INDEX(세부시간표!$A$3:$L$1183,9*P4,10))</x:f>
        <x:v>웹 애플리케이션 개발</x:v>
      </x:c>
      <x:c r="Q35" s="82" t="str">
        <x:f>IF(OR(Q4&lt;0,Q4=P4,ISERROR(INDEX(세부시간표!$A$3:$L$1183,9*Q4,10))),"",INDEX(세부시간표!$A$3:$L$1183,9*Q4,10))</x:f>
        <x:v>웹&amp;콘텐츠 서비스 개발</x:v>
      </x:c>
      <x:c r="R35" s="82" t="str">
        <x:f>IF(OR(R4&lt;0,R4=Q4,ISERROR(INDEX(세부시간표!$A$3:$L$1183,9*R4,10))),"",INDEX(세부시간표!$A$3:$L$1183,9*R4,10))</x:f>
        <x:v>웹&amp;콘텐츠 서비스 개발</x:v>
      </x:c>
      <x:c r="S35" s="82" t="str">
        <x:f>IF(OR(S4&lt;0,S4=R4,ISERROR(INDEX(세부시간표!$A$3:$L$1183,9*S4,10))),"",INDEX(세부시간표!$A$3:$L$1183,9*S4,10))</x:f>
        <x:v>웹&amp;콘텐츠 서비스 개발</x:v>
      </x:c>
      <x:c r="T35" s="82" t="str">
        <x:f>IF(OR(T4&lt;0,T4=S4,ISERROR(INDEX(세부시간표!$A$3:$L$1183,9*T4,10))),"",INDEX(세부시간표!$A$3:$L$1183,9*T4,10))</x:f>
        <x:v>웹&amp;콘텐츠 서비스 개발</x:v>
      </x:c>
      <x:c r="U35" s="82" t="str">
        <x:f>IF(OR(U4&lt;0,U4=T4,ISERROR(INDEX(세부시간표!$A$3:$L$1183,9*U4,10))),"",INDEX(세부시간표!$A$3:$L$1183,9*U4,10))</x:f>
        <x:v>웹&amp;콘텐츠 서비스 개발</x:v>
      </x:c>
      <x:c r="V35" s="82" t="str">
        <x:f>IF(OR(V4&lt;0,V4=U4,ISERROR(INDEX(세부시간표!$A$3:$L$1183,9*V4,10))),"",INDEX(세부시간표!$A$3:$L$1183,9*V4,10))</x:f>
        <x:v>SQL 및 데이터 모델링</x:v>
      </x:c>
      <x:c r="W35" s="82" t="str">
        <x:f>IF(OR(W4&lt;0,W4=V4,ISERROR(INDEX(세부시간표!$A$3:$L$1183,9*W4,10))),"",INDEX(세부시간표!$A$3:$L$1183,9*W4,10))</x:f>
        <x:v>SQL 및 데이터 모델링</x:v>
      </x:c>
      <x:c r="X35" s="82" t="str">
        <x:f>IF(OR(X4&lt;0,X4=W4,ISERROR(INDEX(세부시간표!$A$3:$L$1183,9*X4,10))),"",INDEX(세부시간표!$A$3:$L$1183,9*X4,10))</x:f>
        <x:v>SQL 및 데이터 모델링</x:v>
      </x:c>
      <x:c r="Y35" s="82" t="str">
        <x:f>IF(OR(Y4&lt;0,Y4=X4,ISERROR(INDEX(세부시간표!$A$3:$L$1183,9*Y4,10))),"",INDEX(세부시간표!$A$3:$L$1183,9*Y4,10))</x:f>
        <x:v>SQL 및 데이터 모델링</x:v>
      </x:c>
      <x:c r="Z35" s="82" t="str">
        <x:f>IF(OR(Z4&lt;0,Z4=Y4,ISERROR(INDEX(세부시간표!$A$3:$L$1183,9*Z4,10))),"",INDEX(세부시간표!$A$3:$L$1183,9*Z4,10))</x:f>
        <x:v>SQL 및 데이터 모델링</x:v>
      </x:c>
      <x:c r="AA35" s="82" t="str">
        <x:f>IF(OR(AA4&lt;0,AA4=Z4,ISERROR(INDEX(세부시간표!$A$3:$L$1183,9*AA4,10))),"",INDEX(세부시간표!$A$3:$L$1183,9*AA4,10))</x:f>
        <x:v>SQL 및 데이터 모델링</x:v>
      </x:c>
      <x:c r="AB35" s="82" t="str">
        <x:f>IF(OR(AB4&lt;0,AB4=AA4,ISERROR(INDEX(세부시간표!$A$3:$L$1183,9*AB4,10))),"",INDEX(세부시간표!$A$3:$L$1183,9*AB4,10))</x:f>
        <x:v>SQL 및 데이터 모델링</x:v>
      </x:c>
      <x:c r="AC35" s="82" t="str">
        <x:f>IF(OR(AC4&lt;0,AC4=AB4,ISERROR(INDEX(세부시간표!$A$3:$L$1183,9*AC4,10))),"",INDEX(세부시간표!$A$3:$L$1183,9*AC4,10))</x:f>
        <x:v>SQL 및 데이터 모델링</x:v>
      </x:c>
      <x:c r="AD35" s="82" t="str">
        <x:f>IF(OR(AD4&lt;0,AD4=AC4,ISERROR(INDEX(세부시간표!$A$3:$L$1183,9*AD4,10))),"",INDEX(세부시간표!$A$3:$L$1183,9*AD4,10))</x:f>
        <x:v>SQL 및 데이터 모델링</x:v>
      </x:c>
      <x:c r="AE35" s="82" t="str">
        <x:f>IF(OR(AE4&lt;0,AE4=AD4,ISERROR(INDEX(세부시간표!$A$3:$L$1183,9*AE4,10))),"",INDEX(세부시간표!$A$3:$L$1183,9*AE4,10))</x:f>
        <x:v>AI개발 기초</x:v>
      </x:c>
      <x:c r="AF35" s="82" t="str">
        <x:f>IF(OR(AF4&lt;0,AF4=AE4,ISERROR(INDEX(세부시간표!$A$3:$L$1183,9*AF4,10))),"",INDEX(세부시간표!$A$3:$L$1183,9*AF4,10))</x:f>
        <x:v>AI개발 기초</x:v>
      </x:c>
      <x:c r="AG35" s="82" t="str">
        <x:f>IF(OR(AG4&lt;0,AG4=AF4,ISERROR(INDEX(세부시간표!$A$3:$L$1183,9*AG4,10))),"",INDEX(세부시간표!$A$3:$L$1183,9*AG4,10))</x:f>
        <x:v>AI개발 기초</x:v>
      </x:c>
      <x:c r="AH35" s="82" t="str">
        <x:f>IF(OR(AH4&lt;0,AH4=AG4,ISERROR(INDEX(세부시간표!$A$3:$L$1183,9*AH4,10))),"",INDEX(세부시간표!$A$3:$L$1183,9*AH4,10))</x:f>
        <x:v>AI개발 기초</x:v>
      </x:c>
      <x:c r="AI35" s="82" t="str">
        <x:f>IF(OR(AI4&lt;0,AI4=AH4,ISERROR(INDEX(세부시간표!$A$3:$L$1183,9*AI4,10))),"",INDEX(세부시간표!$A$3:$L$1183,9*AI4,10))</x:f>
        <x:v>AI개발 기초</x:v>
      </x:c>
      <x:c r="AJ35" s="82" t="str">
        <x:f>IF(OR(AJ4&lt;0,AJ4=AI4,ISERROR(INDEX(세부시간표!$A$3:$L$1183,9*AJ4,10))),"",INDEX(세부시간표!$A$3:$L$1183,9*AJ4,10))</x:f>
        <x:v>AI개발 기초</x:v>
      </x:c>
      <x:c r="AK35" s="82" t="str">
        <x:f>IF(OR(AK4&lt;0,AK4=AJ4,ISERROR(INDEX(세부시간표!$A$3:$L$1183,9*AK4,10))),"",INDEX(세부시간표!$A$3:$L$1183,9*AK4,10))</x:f>
        <x:v>AI개발 기초</x:v>
      </x:c>
      <x:c r="AL35" s="82" t="str">
        <x:f>IF(OR(AL4&lt;0,AL4=AK4,ISERROR(INDEX(세부시간표!$A$3:$L$1183,9*AL4,10))),"",INDEX(세부시간표!$A$3:$L$1183,9*AL4,10))</x:f>
        <x:v>AI개발 기초</x:v>
      </x:c>
      <x:c r="AM35" s="82" t="str">
        <x:f>IF(OR(AM4&lt;0,AM4=AL4,ISERROR(INDEX(세부시간표!$A$3:$L$1183,9*AM4,10))),"",INDEX(세부시간표!$A$3:$L$1183,9*AM4,10))</x:f>
        <x:v>AI개발 기초</x:v>
      </x:c>
      <x:c r="AN35" s="82" t="str">
        <x:f>IF(OR(AN4&lt;0,AN4=AM4,ISERROR(INDEX(세부시간표!$A$3:$L$1183,9*AN4,10))),"",INDEX(세부시간표!$A$3:$L$1183,9*AN4,10))</x:f>
        <x:v>AI개발 기초</x:v>
      </x:c>
      <x:c r="AO35" s="82" t="str">
        <x:f>IF(OR(AO4&lt;0,AO4=AN4,ISERROR(INDEX(세부시간표!$A$3:$L$1183,9*AO4,10))),"",INDEX(세부시간표!$A$3:$L$1183,9*AO4,10))</x:f>
        <x:v>AI개발 기초</x:v>
      </x:c>
      <x:c r="AP35" s="82" t="str">
        <x:f>IF(OR(AP4&lt;0,AP4=AO4,ISERROR(INDEX(세부시간표!$A$3:$L$1183,9*AP4,10))),"",INDEX(세부시간표!$A$3:$L$1183,9*AP4,10))</x:f>
        <x:v>AI개발 기초</x:v>
      </x:c>
      <x:c r="AQ35" s="82" t="str">
        <x:f>IF(OR(AQ4&lt;0,AQ4=AP4,ISERROR(INDEX(세부시간표!$A$3:$L$1183,9*AQ4,10))),"",INDEX(세부시간표!$A$3:$L$1183,9*AQ4,10))</x:f>
        <x:v>인공지능 프로그래밍</x:v>
      </x:c>
      <x:c r="AR35" s="82" t="str">
        <x:f>IF(OR(AR4&lt;0,AR4=AQ4,ISERROR(INDEX(세부시간표!$A$3:$L$1183,9*AR4,10))),"",INDEX(세부시간표!$A$3:$L$1183,9*AR4,10))</x:f>
        <x:v>인공지능 프로그래밍</x:v>
      </x:c>
      <x:c r="AS35" s="82" t="str">
        <x:f>IF(OR(AS4&lt;0,AS4=AR4,ISERROR(INDEX(세부시간표!$A$3:$L$1183,9*AS4,10))),"",INDEX(세부시간표!$A$3:$L$1183,9*AS4,10))</x:f>
        <x:v>인공지능 프로그래밍</x:v>
      </x:c>
      <x:c r="AT35" s="82" t="str">
        <x:f>IF(OR(AT4&lt;0,AT4=AS4,ISERROR(INDEX(세부시간표!$A$3:$L$1183,9*AT4,10))),"",INDEX(세부시간표!$A$3:$L$1183,9*AT4,10))</x:f>
        <x:v>인공지능 프로그래밍</x:v>
      </x:c>
      <x:c r="AU35" s="82" t="str">
        <x:f>IF(OR(AU4&lt;0,AU4=AT4,ISERROR(INDEX(세부시간표!$A$3:$L$1183,9*AU4,10))),"",INDEX(세부시간표!$A$3:$L$1183,9*AU4,10))</x:f>
        <x:v>인공지능 프로그래밍</x:v>
      </x:c>
      <x:c r="AV35" s="82" t="str">
        <x:f>IF(OR(AV4&lt;0,AV4=AU4,ISERROR(INDEX(세부시간표!$A$3:$L$1183,9*AV4,10))),"",INDEX(세부시간표!$A$3:$L$1183,9*AV4,10))</x:f>
        <x:v>인공지능 프로그래밍</x:v>
      </x:c>
      <x:c r="AW35" s="82" t="str">
        <x:f>IF(OR(AW4&lt;0,AW4=AV4,ISERROR(INDEX(세부시간표!$A$3:$L$1183,9*AW4,10))),"",INDEX(세부시간표!$A$3:$L$1183,9*AW4,10))</x:f>
        <x:v>인공지능 프로그래밍</x:v>
      </x:c>
      <x:c r="AX35" s="82" t="str">
        <x:f>IF(OR(AX4&lt;0,AX4=AW4,ISERROR(INDEX(세부시간표!$A$3:$L$1183,9*AX4,10))),"",INDEX(세부시간표!$A$3:$L$1183,9*AX4,10))</x:f>
        <x:v>인공지능 프로그래밍</x:v>
      </x:c>
      <x:c r="AY35" s="82" t="str">
        <x:f>IF(OR(AY4&lt;0,AY4=AX4,ISERROR(INDEX(세부시간표!$A$3:$L$1183,9*AY4,10))),"",INDEX(세부시간표!$A$3:$L$1183,9*AY4,10))</x:f>
        <x:v>인공지능 프로그래밍</x:v>
      </x:c>
      <x:c r="AZ35" s="82" t="str">
        <x:f>IF(OR(AZ4&lt;0,AZ4=AY4,ISERROR(INDEX(세부시간표!$A$3:$L$1183,9*AZ4,10))),"",INDEX(세부시간표!$A$3:$L$1183,9*AZ4,10))</x:f>
        <x:v>인공지능 프로그래밍</x:v>
      </x:c>
      <x:c r="BA35" s="82" t="str">
        <x:f>IF(OR(BA4&lt;0,BA4=AZ4,ISERROR(INDEX(세부시간표!$A$3:$L$1183,9*BA4,10))),"",INDEX(세부시간표!$A$3:$L$1183,9*BA4,10))</x:f>
        <x:v>인공지능 프로그래밍</x:v>
      </x:c>
      <x:c r="BB35" s="82" t="str">
        <x:f>IF(OR(BB4&lt;0,BB4=BA4,ISERROR(INDEX(세부시간표!$A$3:$L$1183,9*BB4,10))),"",INDEX(세부시간표!$A$3:$L$1183,9*BB4,10))</x:f>
        <x:v>인공지능 프로그래밍</x:v>
      </x:c>
      <x:c r="BC35" s="82" t="str">
        <x:f>IF(OR(BC4&lt;0,BC4=BB4,ISERROR(INDEX(세부시간표!$A$3:$L$1183,9*BC4,10))),"",INDEX(세부시간표!$A$3:$L$1183,9*BC4,10))</x:f>
        <x:v>인공지능 프로그래밍</x:v>
      </x:c>
      <x:c r="BD35" s="82" t="str">
        <x:f>IF(OR(BD4&lt;0,BD4=BC4,ISERROR(INDEX(세부시간표!$A$3:$L$1183,9*BD4,10))),"",INDEX(세부시간표!$A$3:$L$1183,9*BD4,10))</x:f>
        <x:v>인공지능 프로그래밍</x:v>
      </x:c>
      <x:c r="BE35" s="82" t="str">
        <x:f>IF(OR(BE4&lt;0,BE4=BD4,ISERROR(INDEX(세부시간표!$A$3:$L$1183,9*BE4,10))),"",INDEX(세부시간표!$A$3:$L$1183,9*BE4,10))</x:f>
        <x:v>인공지능 프로그래밍</x:v>
      </x:c>
      <x:c r="BF35" s="82" t="str">
        <x:f>IF(OR(BF4&lt;0,BF4=BE4,ISERROR(INDEX(세부시간표!$A$3:$L$1183,9*BF4,10))),"",INDEX(세부시간표!$A$3:$L$1183,9*BF4,10))</x:f>
        <x:v>인공지능 프로그래밍</x:v>
      </x:c>
      <x:c r="BG35" s="82" t="str">
        <x:f>IF(OR(BG4&lt;0,BG4=BF4,ISERROR(INDEX(세부시간표!$A$3:$L$1183,9*BG4,10))),"",INDEX(세부시간표!$A$3:$L$1183,9*BG4,10))</x:f>
        <x:v>Advanced 프로젝트</x:v>
      </x:c>
      <x:c r="BH35" s="82" t="str">
        <x:f>IF(OR(BH4&lt;0,BH4=BG4,ISERROR(INDEX(세부시간표!$A$3:$L$1183,9*BH4,10))),"",INDEX(세부시간표!$A$3:$L$1183,9*BH4,10))</x:f>
        <x:v>Advanced 프로젝트</x:v>
      </x:c>
      <x:c r="BI35" s="82" t="str">
        <x:f>IF(OR(BI4&lt;0,BI4=BH4,ISERROR(INDEX(세부시간표!$A$3:$L$1183,9*BI4,10))),"",INDEX(세부시간표!$A$3:$L$1183,9*BI4,10))</x:f>
        <x:v>Advanced 프로젝트</x:v>
      </x:c>
      <x:c r="BJ35" s="82" t="str">
        <x:f>IF(OR(BJ4&lt;0,BJ4=BI4,ISERROR(INDEX(세부시간표!$A$3:$L$1183,9*BJ4,10))),"",INDEX(세부시간표!$A$3:$L$1183,9*BJ4,10))</x:f>
        <x:v>Advanced 프로젝트</x:v>
      </x:c>
      <x:c r="BK35" s="82" t="str">
        <x:f>IF(OR(BK4&lt;0,BK4=BJ4,ISERROR(INDEX(세부시간표!$A$3:$L$1183,9*BK4,10))),"",INDEX(세부시간표!$A$3:$L$1183,9*BK4,10))</x:f>
        <x:v>Advanced 프로젝트</x:v>
      </x:c>
      <x:c r="BL35" s="82" t="str">
        <x:f>IF(OR(BL4&lt;0,BL4=BK4,ISERROR(INDEX(세부시간표!$A$3:$L$1183,9*BL4,10))),"",INDEX(세부시간표!$A$3:$L$1183,9*BL4,10))</x:f>
        <x:v>Advanced 프로젝트</x:v>
      </x:c>
      <x:c r="BM35" s="82" t="str">
        <x:f>IF(OR(BM4&lt;0,BM4=BL4,ISERROR(INDEX(세부시간표!$A$3:$L$1183,9*BM4,10))),"",INDEX(세부시간표!$A$3:$L$1183,9*BM4,10))</x:f>
        <x:v>Advanced 프로젝트</x:v>
      </x:c>
      <x:c r="BN35" s="82" t="str">
        <x:f>IF(OR(BN4&lt;0,BN4=BM4,ISERROR(INDEX(세부시간표!$A$3:$L$1183,9*BN4,10))),"",INDEX(세부시간표!$A$3:$L$1183,9*BN4,10))</x:f>
        <x:v>Advanced 프로젝트</x:v>
      </x:c>
      <x:c r="BO35" s="82" t="str">
        <x:f>IF(OR(BO4&lt;0,BO4=BN4,ISERROR(INDEX(세부시간표!$A$3:$L$1183,9*BO4,10))),"",INDEX(세부시간표!$A$3:$L$1183,9*BO4,10))</x:f>
        <x:v>Advanced 프로젝트</x:v>
      </x:c>
      <x:c r="BP35" s="82" t="str">
        <x:f>IF(OR(BP4&lt;0,BP4=BO4,ISERROR(INDEX(세부시간표!$A$3:$L$1183,9*BP4,10))),"",INDEX(세부시간표!$A$3:$L$1183,9*BP4,10))</x:f>
        <x:v>Advanced 프로젝트</x:v>
      </x:c>
      <x:c r="BQ35" s="82" t="str">
        <x:f>IF(OR(BQ4&lt;0,BQ4=BP4,ISERROR(INDEX(세부시간표!$A$3:$L$1183,9*BQ4,10))),"",INDEX(세부시간표!$A$3:$L$1183,9*BQ4,10))</x:f>
        <x:v>Advanced 프로젝트</x:v>
      </x:c>
      <x:c r="BR35" s="82" t="str">
        <x:f>IF(OR(BR4&lt;0,BR4=BQ4,ISERROR(INDEX(세부시간표!$A$3:$L$1183,9*BR4,10))),"",INDEX(세부시간표!$A$3:$L$1183,9*BR4,10))</x:f>
        <x:v/>
      </x:c>
      <x:c r="BS35" s="82" t="str">
        <x:f>IF(OR(BS4&lt;0,BS4=BR4,ISERROR(INDEX(세부시간표!$A$3:$L$1183,9*BS4,10))),"",INDEX(세부시간표!$A$3:$L$1183,9*BS4,10))</x:f>
        <x:v>Advanced 프로젝트</x:v>
      </x:c>
      <x:c r="BT35" s="82" t="str">
        <x:f>IF(OR(BT4&lt;0,BT4=BS4,ISERROR(INDEX(세부시간표!$A$3:$L$1183,9*BT4,10))),"",INDEX(세부시간표!$A$3:$L$1183,9*BT4,10))</x:f>
        <x:v>Advanced 프로젝트</x:v>
      </x:c>
      <x:c r="BU35" s="82" t="str">
        <x:f>IF(OR(BU4&lt;0,BU4=BT4,ISERROR(INDEX(세부시간표!$A$3:$L$1183,9*BU4,10))),"",INDEX(세부시간표!$A$3:$L$1183,9*BU4,10))</x:f>
        <x:v>빅데이터 분석 및 시각화</x:v>
      </x:c>
      <x:c r="BV35" s="82" t="str">
        <x:f>IF(OR(BV4&lt;0,BV4=BU4,ISERROR(INDEX(세부시간표!$A$3:$L$1183,9*BV4,10))),"",INDEX(세부시간표!$A$3:$L$1183,9*BV4,10))</x:f>
        <x:v>빅데이터 분석 및 시각화</x:v>
      </x:c>
      <x:c r="BW35" s="82" t="str">
        <x:f>IF(OR(BW4&lt;0,BW4=BV4,ISERROR(INDEX(세부시간표!$A$3:$L$1183,9*BW4,10))),"",INDEX(세부시간표!$A$3:$L$1183,9*BW4,10))</x:f>
        <x:v/>
      </x:c>
      <x:c r="BX35" s="82" t="str">
        <x:f>IF(OR(BX4&lt;0,BX4=BW4,ISERROR(INDEX(세부시간표!$A$3:$L$1183,9*BX4,10))),"",INDEX(세부시간표!$A$3:$L$1183,9*BX4,10))</x:f>
        <x:v>빅데이터 분석 및 시각화</x:v>
      </x:c>
      <x:c r="BY35" s="82" t="str">
        <x:f>IF(OR(BY4&lt;0,BY4=BX4,ISERROR(INDEX(세부시간표!$A$3:$L$1183,9*BY4,10))),"",INDEX(세부시간표!$A$3:$L$1183,9*BY4,10))</x:f>
        <x:v>빅데이터 분석 및 시각화</x:v>
      </x:c>
      <x:c r="BZ35" s="82" t="str">
        <x:f>IF(OR(BZ4&lt;0,BZ4=BY4,ISERROR(INDEX(세부시간표!$A$3:$L$1183,9*BZ4,10))),"",INDEX(세부시간표!$A$3:$L$1183,9*BZ4,10))</x:f>
        <x:v>빅데이터 분석 및 시각화</x:v>
      </x:c>
      <x:c r="CA35" s="82" t="str">
        <x:f>IF(OR(CA4&lt;0,CA4=BZ4,ISERROR(INDEX(세부시간표!$A$3:$L$1183,9*CA4,10))),"",INDEX(세부시간표!$A$3:$L$1183,9*CA4,10))</x:f>
        <x:v>빅데이터 시스템 구축</x:v>
      </x:c>
      <x:c r="CB35" s="82" t="str">
        <x:f>IF(OR(CB4&lt;0,CB4=CA4,ISERROR(INDEX(세부시간표!$A$3:$L$1183,9*CB4,10))),"",INDEX(세부시간표!$A$3:$L$1183,9*CB4,10))</x:f>
        <x:v>빅데이터 시스템 구축</x:v>
      </x:c>
      <x:c r="CC35" s="82" t="str">
        <x:f>IF(OR(CC4&lt;0,CC4=CB4,ISERROR(INDEX(세부시간표!$A$3:$L$1183,9*CC4,10))),"",INDEX(세부시간표!$A$3:$L$1183,9*CC4,10))</x:f>
        <x:v>빅데이터 시스템 구축</x:v>
      </x:c>
      <x:c r="CD35" s="82" t="str">
        <x:f>IF(OR(CD4&lt;0,CD4=CC4,ISERROR(INDEX(세부시간표!$A$3:$L$1183,9*CD4,10))),"",INDEX(세부시간표!$A$3:$L$1183,9*CD4,10))</x:f>
        <x:v>빅데이터 시스템 구축</x:v>
      </x:c>
      <x:c r="CE35" s="82" t="str">
        <x:f>IF(OR(CE4&lt;0,CE4=CD4,ISERROR(INDEX(세부시간표!$A$3:$L$1183,9*CE4,10))),"",INDEX(세부시간표!$A$3:$L$1183,9*CE4,10))</x:f>
        <x:v>빅데이터 시스템 구축</x:v>
      </x:c>
      <x:c r="CF35" s="82" t="str">
        <x:f>IF(OR(CF4&lt;0,CF4=CE4,ISERROR(INDEX(세부시간표!$A$3:$L$1183,9*CF4,10))),"",INDEX(세부시간표!$A$3:$L$1183,9*CF4,10))</x:f>
        <x:v>빅데이터 시스템 구축</x:v>
      </x:c>
      <x:c r="CG35" s="82" t="str">
        <x:f>IF(OR(CG4&lt;0,CG4=CF4,ISERROR(INDEX(세부시간표!$A$3:$L$1183,9*CG4,10))),"",INDEX(세부시간표!$A$3:$L$1183,9*CG4,10))</x:f>
        <x:v>빅데이터 시스템 구축</x:v>
      </x:c>
      <x:c r="CH35" s="82" t="str">
        <x:f>IF(OR(CH4&lt;0,CH4=CG4,ISERROR(INDEX(세부시간표!$A$3:$L$1183,9*CH4,10))),"",INDEX(세부시간표!$A$3:$L$1183,9*CH4,10))</x:f>
        <x:v>빅데이터 시스템 구축</x:v>
      </x:c>
      <x:c r="CI35" s="82" t="str">
        <x:f>IF(OR(CI4&lt;0,CI4=CH4,ISERROR(INDEX(세부시간표!$A$3:$L$1183,9*CI4,10))),"",INDEX(세부시간표!$A$3:$L$1183,9*CI4,10))</x:f>
        <x:v>빅데이터 시스템 구축</x:v>
      </x:c>
      <x:c r="CJ35" s="82" t="str">
        <x:f>IF(OR(CJ4&lt;0,CJ4=CI4,ISERROR(INDEX(세부시간표!$A$3:$L$1183,9*CJ4,10))),"",INDEX(세부시간표!$A$3:$L$1183,9*CJ4,10))</x:f>
        <x:v>빅데이터 시스템 구축</x:v>
      </x:c>
      <x:c r="CK35" s="82" t="str">
        <x:f>IF(OR(CK4&lt;0,CK4=CJ4,ISERROR(INDEX(세부시간표!$A$3:$L$1183,9*CK4,10))),"",INDEX(세부시간표!$A$3:$L$1183,9*CK4,10))</x:f>
        <x:v>빅데이터 플랫폼 개발</x:v>
      </x:c>
      <x:c r="CL35" s="82" t="str">
        <x:f>IF(OR(CL4&lt;0,CL4=CK4,ISERROR(INDEX(세부시간표!$A$3:$L$1183,9*CL4,10))),"",INDEX(세부시간표!$A$3:$L$1183,9*CL4,10))</x:f>
        <x:v>빅데이터 플랫폼 개발</x:v>
      </x:c>
      <x:c r="CM35" s="82" t="str">
        <x:f>IF(OR(CM4&lt;0,CM4=CL4,ISERROR(INDEX(세부시간표!$A$3:$L$1183,9*CM4,10))),"",INDEX(세부시간표!$A$3:$L$1183,9*CM4,10))</x:f>
        <x:v>빅데이터 플랫폼 개발</x:v>
      </x:c>
      <x:c r="CN35" s="82" t="str">
        <x:f>IF(OR(CN4&lt;0,CN4=CM4,ISERROR(INDEX(세부시간표!$A$3:$L$1183,9*CN4,10))),"",INDEX(세부시간표!$A$3:$L$1183,9*CN4,10))</x:f>
        <x:v>빅데이터 플랫폼 개발</x:v>
      </x:c>
      <x:c r="CO35" s="82" t="str">
        <x:f>IF(OR(CO4&lt;0,CO4=CN4,ISERROR(INDEX(세부시간표!$A$3:$L$1183,9*CO4,10))),"",INDEX(세부시간표!$A$3:$L$1183,9*CO4,10))</x:f>
        <x:v>빅데이터 플랫폼 개발</x:v>
      </x:c>
      <x:c r="CP35" s="82" t="str">
        <x:f>IF(OR(CP4&lt;0,CP4=CO4,ISERROR(INDEX(세부시간표!$A$3:$L$1183,9*CP4,10))),"",INDEX(세부시간표!$A$3:$L$1183,9*CP4,10))</x:f>
        <x:v>빅데이터 플랫폼 개발</x:v>
      </x:c>
      <x:c r="CQ35" s="82" t="str">
        <x:f>IF(OR(CQ4&lt;0,CQ4=CP4,ISERROR(INDEX(세부시간표!$A$3:$L$1183,9*CQ4,10))),"",INDEX(세부시간표!$A$3:$L$1183,9*CQ4,10))</x:f>
        <x:v>빅데이터 플랫폼 개발</x:v>
      </x:c>
      <x:c r="CR35" s="82" t="str">
        <x:f>IF(OR(CR4&lt;0,CR4=CQ4,ISERROR(INDEX(세부시간표!$A$3:$L$1183,9*CR4,10))),"",INDEX(세부시간표!$A$3:$L$1183,9*CR4,10))</x:f>
        <x:v>빅데이터 플랫폼 개발</x:v>
      </x:c>
      <x:c r="CS35" s="82" t="str">
        <x:f>IF(OR(CS4&lt;0,CS4=CR4,ISERROR(INDEX(세부시간표!$A$3:$L$1183,9*CS4,10))),"",INDEX(세부시간표!$A$3:$L$1183,9*CS4,10))</x:f>
        <x:v>Final 프로젝트</x:v>
      </x:c>
      <x:c r="CT35" s="82" t="str">
        <x:f>IF(OR(CT4&lt;0,CT4=CS4,ISERROR(INDEX(세부시간표!$A$3:$L$1183,9*CT4,10))),"",INDEX(세부시간표!$A$3:$L$1183,9*CT4,10))</x:f>
        <x:v>Final 프로젝트</x:v>
      </x:c>
      <x:c r="CU35" s="82" t="str">
        <x:f>IF(OR(CU4&lt;0,CU4=CT4,ISERROR(INDEX(세부시간표!$A$3:$L$1183,9*CU4,10))),"",INDEX(세부시간표!$A$3:$L$1183,9*CU4,10))</x:f>
        <x:v>Final 프로젝트</x:v>
      </x:c>
      <x:c r="CV35" s="82" t="str">
        <x:f>IF(OR(CV4&lt;0,CV4=CU4,ISERROR(INDEX(세부시간표!$A$3:$L$1183,9*CV4,10))),"",INDEX(세부시간표!$A$3:$L$1183,9*CV4,10))</x:f>
        <x:v>Final 프로젝트</x:v>
      </x:c>
      <x:c r="CW35" s="82" t="str">
        <x:f>IF(OR(CW4&lt;0,CW4=CV4,ISERROR(INDEX(세부시간표!$A$3:$L$1183,9*CW4,10))),"",INDEX(세부시간표!$A$3:$L$1183,9*CW4,10))</x:f>
        <x:v>Final 프로젝트</x:v>
      </x:c>
      <x:c r="CX35" s="82" t="str">
        <x:f>IF(OR(CX4&lt;0,CX4=CW4,ISERROR(INDEX(세부시간표!$A$3:$L$1183,9*CX4,10))),"",INDEX(세부시간표!$A$3:$L$1183,9*CX4,10))</x:f>
        <x:v>Final 프로젝트</x:v>
      </x:c>
      <x:c r="CY35" s="82" t="str">
        <x:f>IF(OR(CY4&lt;0,CY4=CX4,ISERROR(INDEX(세부시간표!$A$3:$L$1183,9*CY4,10))),"",INDEX(세부시간표!$A$3:$L$1183,9*CY4,10))</x:f>
        <x:v>Final 프로젝트</x:v>
      </x:c>
      <x:c r="CZ35" s="82" t="str">
        <x:f>IF(OR(CZ4&lt;0,CZ4=CY4,ISERROR(INDEX(세부시간표!$A$3:$L$1183,9*CZ4,10))),"",INDEX(세부시간표!$A$3:$L$1183,9*CZ4,10))</x:f>
        <x:v>Final 프로젝트</x:v>
      </x:c>
      <x:c r="DA35" s="82" t="str">
        <x:f>IF(OR(DA4&lt;0,DA4=CZ4,ISERROR(INDEX(세부시간표!$A$3:$L$1183,9*DA4,10))),"",INDEX(세부시간표!$A$3:$L$1183,9*DA4,10))</x:f>
        <x:v>Final 프로젝트</x:v>
      </x:c>
      <x:c r="DB35" s="82" t="str">
        <x:f>IF(OR(DB4&lt;0,DB4=DA4,ISERROR(INDEX(세부시간표!$A$3:$L$1183,9*DB4,10))),"",INDEX(세부시간표!$A$3:$L$1183,9*DB4,10))</x:f>
        <x:v>Final 프로젝트</x:v>
      </x:c>
      <x:c r="DC35" s="82" t="str">
        <x:f>IF(OR(DC4&lt;0,DC4=DB4,ISERROR(INDEX(세부시간표!$A$3:$L$1183,9*DC4,10))),"",INDEX(세부시간표!$A$3:$L$1183,9*DC4,10))</x:f>
        <x:v/>
      </x:c>
      <x:c r="DD35" s="82" t="str">
        <x:f>IF(OR(DD4&lt;0,DD4=DC4,ISERROR(INDEX(세부시간표!$A$3:$L$1183,9*DD4,10))),"",INDEX(세부시간표!$A$3:$L$1183,9*DD4,10))</x:f>
        <x:v/>
      </x:c>
      <x:c r="DE35" s="82" t="str">
        <x:f>IF(OR(DE4&lt;0,DE4=DD4,ISERROR(INDEX(세부시간표!$A$3:$L$1183,9*DE4,10))),"",INDEX(세부시간표!$A$3:$L$1183,9*DE4,10))</x:f>
        <x:v/>
      </x:c>
      <x:c r="DF35" s="82" t="str">
        <x:f>IF(OR(DF4&lt;0,DF4=DE4,ISERROR(INDEX(세부시간표!$A$3:$L$1183,9*DF4,10))),"",INDEX(세부시간표!$A$3:$L$1183,9*DF4,10))</x:f>
        <x:v>Final 프로젝트</x:v>
      </x:c>
      <x:c r="DG35" s="82" t="str">
        <x:f>IF(OR(DG4&lt;0,DG4=DF4,ISERROR(INDEX(세부시간표!$A$3:$L$1183,9*DG4,10))),"",INDEX(세부시간표!$A$3:$L$1183,9*DG4,10))</x:f>
        <x:v>Final 프로젝트</x:v>
      </x:c>
      <x:c r="DH35" s="82" t="str">
        <x:f>IF(OR(DH4&lt;0,DH4=DG4,ISERROR(INDEX(세부시간표!$A$3:$L$1183,9*DH4,10))),"",INDEX(세부시간표!$A$3:$L$1183,9*DH4,10))</x:f>
        <x:v>Final 프로젝트</x:v>
      </x:c>
      <x:c r="DI35" s="82" t="str">
        <x:f>IF(OR(DI4&lt;0,DI4=DH4,ISERROR(INDEX(세부시간표!$A$3:$L$1183,9*DI4,10))),"",INDEX(세부시간표!$A$3:$L$1183,9*DI4,10))</x:f>
        <x:v>Final 프로젝트</x:v>
      </x:c>
      <x:c r="DJ35" s="82" t="str">
        <x:f>IF(OR(DJ4&lt;0,DJ4=DI4,ISERROR(INDEX(세부시간표!$A$3:$L$1183,9*DJ4,10))),"",INDEX(세부시간표!$A$3:$L$1183,9*DJ4,10))</x:f>
        <x:v>Final 프로젝트</x:v>
      </x:c>
      <x:c r="DK35" s="82" t="str">
        <x:f>IF(OR(DK4&lt;0,DK4=DJ4,ISERROR(INDEX(세부시간표!$A$3:$L$1183,9*DK4,10))),"",INDEX(세부시간표!$A$3:$L$1183,9*DK4,10))</x:f>
        <x:v>Final 프로젝트</x:v>
      </x:c>
      <x:c r="DL35" s="82" t="str">
        <x:f>IF(OR(DL4&lt;0,DL4=DK4,ISERROR(INDEX(세부시간표!$A$3:$L$1183,9*DL4,10))),"",INDEX(세부시간표!$A$3:$L$1183,9*DL4,10))</x:f>
        <x:v>Final 프로젝트</x:v>
      </x:c>
      <x:c r="DM35" s="82" t="str">
        <x:f>IF(OR(DM4&lt;0,DM4=DL4,ISERROR(INDEX(세부시간표!$A$3:$L$1183,9*DM4,10))),"",INDEX(세부시간표!$A$3:$L$1183,9*DM4,10))</x:f>
        <x:v/>
      </x:c>
      <x:c r="DN35" s="82" t="str">
        <x:f>IF(OR(DN4&lt;0,DN4=DM4,ISERROR(INDEX(세부시간표!$A$3:$L$1183,9*DN4,10))),"",INDEX(세부시간표!$A$3:$L$1183,9*DN4,10))</x:f>
        <x:v>Final 프로젝트</x:v>
      </x:c>
      <x:c r="DO35" s="82" t="str">
        <x:f>IF(OR(DO4&lt;0,DO4=DN4,ISERROR(INDEX(세부시간표!$A$3:$L$1183,9*DO4,10))),"",INDEX(세부시간표!$A$3:$L$1183,9*DO4,10))</x:f>
        <x:v>Final 프로젝트</x:v>
      </x:c>
      <x:c r="DP35" s="82" t="str">
        <x:f>IF(OR(DP4&lt;0,DP4=DO4,ISERROR(INDEX(세부시간표!$A$3:$L$1183,9*DP4,10))),"",INDEX(세부시간표!$A$3:$L$1183,9*DP4,10))</x:f>
        <x:v>Final 프로젝트</x:v>
      </x:c>
      <x:c r="DQ35" s="82" t="str">
        <x:f>IF(OR(DQ4&lt;0,DQ4=DP4,ISERROR(INDEX(세부시간표!$A$3:$L$1183,9*DQ4,10))),"",INDEX(세부시간표!$A$3:$L$1183,9*DQ4,10))</x:f>
        <x:v>Final 프로젝트</x:v>
      </x:c>
      <x:c r="DR35" s="82" t="str">
        <x:f>IF(OR(DR4&lt;0,DR4=DQ4,ISERROR(INDEX(세부시간표!$A$3:$L$1183,9*DR4,10))),"",INDEX(세부시간표!$A$3:$L$1183,9*DR4,10))</x:f>
        <x:v>Final 프로젝트</x:v>
      </x:c>
      <x:c r="DS35" s="82" t="str">
        <x:f>IF(OR(DS4&lt;0,DS4=DR4,ISERROR(INDEX(세부시간표!$A$3:$L$1183,9*DS4,10))),"",INDEX(세부시간표!$A$3:$L$1183,9*DS4,10))</x:f>
        <x:v>Final 프로젝트</x:v>
      </x:c>
      <x:c r="DT35" s="82" t="str">
        <x:f>IF(OR(DT4&lt;0,DT4=DS4,ISERROR(INDEX(세부시간표!$A$3:$L$1183,9*DT4,10))),"",INDEX(세부시간표!$A$3:$L$1183,9*DT4,10))</x:f>
        <x:v>Final 프로젝트</x:v>
      </x:c>
      <x:c r="DU35" s="82" t="str">
        <x:f>IF(OR(DU4&lt;0,DU4=DT4,ISERROR(INDEX(세부시간표!$A$3:$L$1183,9*DU4,10))),"",INDEX(세부시간표!$A$3:$L$1183,9*DU4,10))</x:f>
        <x:v>Final 프로젝트</x:v>
      </x:c>
      <x:c r="DV35" s="82" t="str">
        <x:f>IF(OR(DV4&lt;0,DV4=DU4,ISERROR(INDEX(세부시간표!$A$3:$L$1183,9*DV4,10))),"",INDEX(세부시간표!$A$3:$L$1183,9*DV4,10))</x:f>
        <x:v>Final 프로젝트</x:v>
      </x:c>
      <x:c r="DW35" s="82" t="str">
        <x:f>IF(OR(DW4&lt;0,DW4=DV4,ISERROR(INDEX(세부시간표!$A$3:$L$1183,9*DW4,10))),"",INDEX(세부시간표!$A$3:$L$1183,9*DW4,10))</x:f>
        <x:v>Final 프로젝트</x:v>
      </x:c>
      <x:c r="DX35" s="82" t="str">
        <x:f>IF(OR(DX4&lt;0,DX4=DW4,ISERROR(INDEX(세부시간표!$A$3:$L$1183,9*DX4,10))),"",INDEX(세부시간표!$A$3:$L$1183,9*DX4,10))</x:f>
        <x:v>Final 프로젝트</x:v>
      </x:c>
      <x:c r="DY35" s="82" t="str">
        <x:f>IF(OR(DY4&lt;0,DY4=DX4,ISERROR(INDEX(세부시간표!$A$3:$L$1183,9*DY4,10))),"",INDEX(세부시간표!$A$3:$L$1183,9*DY4,10))</x:f>
        <x:v>Final 프로젝트</x:v>
      </x:c>
      <x:c r="DZ35" s="82" t="str">
        <x:f>IF(OR(DZ4&lt;0,DZ4=DY4,ISERROR(INDEX(세부시간표!$A$3:$L$1183,9*DZ4,10))),"",INDEX(세부시간표!$A$3:$L$1183,9*DZ4,10))</x:f>
        <x:v>Final 프로젝트</x:v>
      </x:c>
      <x:c r="EA35" s="82" t="str">
        <x:f>IF(OR(EA4&lt;0,EA4=DZ4,ISERROR(INDEX(세부시간표!$A$3:$L$1183,9*EA4,10))),"",INDEX(세부시간표!$A$3:$L$1183,9*EA4,10))</x:f>
        <x:v>Final 프로젝트</x:v>
      </x:c>
      <x:c r="EB35" s="82" t="str">
        <x:f>IF(OR(EB4&lt;0,EB4=EA4,ISERROR(INDEX(세부시간표!$A$3:$L$1183,9*EB4,10))),"",INDEX(세부시간표!$A$3:$L$1183,9*EB4,10))</x:f>
        <x:v>Final 프로젝트</x:v>
      </x:c>
      <x:c r="EC35" s="82" t="str">
        <x:f>IF(OR(EC4&lt;0,EC4=EB4,ISERROR(INDEX(세부시간표!$A$3:$L$1183,9*EC4,10))),"",INDEX(세부시간표!$A$3:$L$1183,9*EC4,10))</x:f>
        <x:v>취업특강 및 모의면접</x:v>
      </x:c>
      <x:c r="ED35" s="82" t="str">
        <x:f>IF(OR(ED4&lt;0,ED4=EC4,ISERROR(INDEX(세부시간표!$A$3:$L$1183,9*ED4,10))),"",INDEX(세부시간표!$A$3:$L$1183,9*ED4,10))</x:f>
        <x:v>산업체특강 , 프로젝트 발표(시연), 수료식</x:v>
      </x:c>
      <x:c r="EE35" s="82" t="str">
        <x:f>IF(OR(EE4&lt;0,EE4=ED4,ISERROR(INDEX(세부시간표!$A$3:$L$1183,9*EE4,10))),"",INDEX(세부시간표!$A$3:$L$1183,9*EE4,10))</x:f>
        <x:v/>
      </x:c>
      <x:c r="EF35" s="82" t="str">
        <x:f>IF(OR(EF4&lt;0,EF4=EE4,ISERROR(INDEX(세부시간표!$A$3:$L$1183,9*EF4,10))),"",INDEX(세부시간표!$A$3:$L$1183,9*EF4,10))</x:f>
        <x:v/>
      </x:c>
      <x:c r="EG35" s="82" t="str">
        <x:f>IF(OR(EG4&lt;0,EG4=EF4,ISERROR(INDEX(세부시간표!$A$3:$L$1183,9*EG4,10))),"",INDEX(세부시간표!$A$3:$L$1183,9*EG4,10))</x:f>
        <x:v/>
      </x:c>
      <x:c r="EH35" s="82" t="str">
        <x:f>IF(OR(EH4&lt;0,EH4=EG4,ISERROR(INDEX(세부시간표!$A$3:$L$1183,9*EH4,10))),"",INDEX(세부시간표!$A$3:$L$1183,9*EH4,10))</x:f>
        <x:v/>
      </x:c>
      <x:c r="EI35" s="82" t="str">
        <x:f>IF(OR(EI4&lt;0,EI4=EH4,ISERROR(INDEX(세부시간표!$A$3:$L$1183,9*EI4,10))),"",INDEX(세부시간표!$A$3:$L$1183,9*EI4,10))</x:f>
        <x:v/>
      </x:c>
      <x:c r="EJ35" s="82" t="str">
        <x:f>IF(OR(EJ4&lt;0,EJ4=EI4,ISERROR(INDEX(세부시간표!$A$3:$L$1183,9*EJ4,10))),"",INDEX(세부시간표!$A$3:$L$1183,9*EJ4,10))</x:f>
        <x:v/>
      </x:c>
      <x:c r="EK35" s="82" t="str">
        <x:f>IF(OR(EK4&lt;0,EK4=EJ4,ISERROR(INDEX(세부시간표!$A$3:$L$1183,9*EK4,10))),"",INDEX(세부시간표!$A$3:$L$1183,9*EK4,10))</x:f>
        <x:v/>
      </x:c>
      <x:c r="EL35" s="85" t="str">
        <x:f>IF(OR(EL4&lt;0,EL4=EK4,ISERROR(INDEX(세부시간표!$A$3:$L$1183,9*EL4,10))),"",INDEX(세부시간표!$A$3:$L$1183,9*EL4,10))</x:f>
        <x:v/>
      </x:c>
      <x:c r="EM35" s="83" t="str">
        <x:f>IF(OR(EM4&lt;0,EM4=EL4,ISERROR(INDEX(세부시간표!$A$3:$L$1183,9*EM4,10))),"",INDEX(세부시간표!$A$3:$L$1183,9*EM4,10))</x:f>
        <x:v/>
      </x:c>
      <x:c r="EN35" s="83" t="str">
        <x:f>IF(OR(EN4&lt;0,EN4=EM4,ISERROR(INDEX(세부시간표!$A$3:$L$1183,9*EN4,10))),"",INDEX(세부시간표!$A$3:$L$1183,9*EN4,10))</x:f>
        <x:v/>
      </x:c>
      <x:c r="EO35" s="83" t="str">
        <x:f>IF(OR(EO4&lt;0,EO4=EN4,ISERROR(INDEX(세부시간표!$A$3:$L$1183,9*EO4,10))),"",INDEX(세부시간표!$A$3:$L$1183,9*EO4,10))</x:f>
        <x:v/>
      </x:c>
      <x:c r="EP35" s="84" t="str">
        <x:f>IF(OR(EP4&lt;0,EP4=EO4,ISERROR(INDEX(세부시간표!$A$3:$L$1183,9*EP4,10))),"",INDEX(세부시간표!$A$3:$L$1183,9*EP4,10))</x:f>
        <x:v/>
      </x:c>
    </x:row>
    <x:row r="36" spans="1:146" s="88" customFormat="1" ht="30" customHeight="1">
      <x:c r="A36" s="278"/>
      <x:c r="B36" s="64" t="str">
        <x:f>B35</x:f>
        <x:v>웹 애플리케이션 개발</x:v>
      </x:c>
      <x:c r="C36" s="64" t="str">
        <x:f t="shared" ref="C36:BN36" si="37">C35</x:f>
        <x:v>웹 애플리케이션 개발</x:v>
      </x:c>
      <x:c r="D36" s="64" t="str">
        <x:f t="shared" si="37"/>
        <x:v>웹 애플리케이션 개발</x:v>
      </x:c>
      <x:c r="E36" s="64" t="str">
        <x:f t="shared" si="37"/>
        <x:v>웹 애플리케이션 개발</x:v>
      </x:c>
      <x:c r="F36" s="64" t="str">
        <x:f t="shared" si="37"/>
        <x:v>웹 애플리케이션 개발</x:v>
      </x:c>
      <x:c r="G36" s="64" t="str">
        <x:f t="shared" si="37"/>
        <x:v>웹 애플리케이션 개발</x:v>
      </x:c>
      <x:c r="H36" s="64" t="str">
        <x:f t="shared" si="37"/>
        <x:v>웹 애플리케이션 개발</x:v>
      </x:c>
      <x:c r="I36" s="64" t="str">
        <x:f t="shared" si="37"/>
        <x:v>웹 애플리케이션 개발</x:v>
      </x:c>
      <x:c r="J36" s="64" t="str">
        <x:f t="shared" si="37"/>
        <x:v>웹 애플리케이션 개발</x:v>
      </x:c>
      <x:c r="K36" s="64" t="str">
        <x:f t="shared" si="37"/>
        <x:v/>
      </x:c>
      <x:c r="L36" s="64" t="str">
        <x:f t="shared" si="37"/>
        <x:v/>
      </x:c>
      <x:c r="M36" s="64" t="str">
        <x:f t="shared" si="37"/>
        <x:v/>
      </x:c>
      <x:c r="N36" s="64" t="str">
        <x:f t="shared" si="37"/>
        <x:v/>
      </x:c>
      <x:c r="O36" s="64" t="str">
        <x:f t="shared" si="37"/>
        <x:v/>
      </x:c>
      <x:c r="P36" s="64" t="str">
        <x:f t="shared" si="37"/>
        <x:v>웹 애플리케이션 개발</x:v>
      </x:c>
      <x:c r="Q36" s="64" t="str">
        <x:f t="shared" si="37"/>
        <x:v>웹&amp;콘텐츠 서비스 개발</x:v>
      </x:c>
      <x:c r="R36" s="64" t="str">
        <x:f t="shared" si="37"/>
        <x:v>웹&amp;콘텐츠 서비스 개발</x:v>
      </x:c>
      <x:c r="S36" s="64" t="str">
        <x:f t="shared" si="37"/>
        <x:v>웹&amp;콘텐츠 서비스 개발</x:v>
      </x:c>
      <x:c r="T36" s="64" t="str">
        <x:f t="shared" si="37"/>
        <x:v>웹&amp;콘텐츠 서비스 개발</x:v>
      </x:c>
      <x:c r="U36" s="64" t="str">
        <x:f t="shared" si="37"/>
        <x:v>웹&amp;콘텐츠 서비스 개발</x:v>
      </x:c>
      <x:c r="V36" s="64" t="str">
        <x:f t="shared" si="37"/>
        <x:v>SQL 및 데이터 모델링</x:v>
      </x:c>
      <x:c r="W36" s="64" t="str">
        <x:f t="shared" si="37"/>
        <x:v>SQL 및 데이터 모델링</x:v>
      </x:c>
      <x:c r="X36" s="64" t="str">
        <x:f t="shared" si="37"/>
        <x:v>SQL 및 데이터 모델링</x:v>
      </x:c>
      <x:c r="Y36" s="64" t="str">
        <x:f t="shared" si="37"/>
        <x:v>SQL 및 데이터 모델링</x:v>
      </x:c>
      <x:c r="Z36" s="64" t="str">
        <x:f t="shared" si="37"/>
        <x:v>SQL 및 데이터 모델링</x:v>
      </x:c>
      <x:c r="AA36" s="64" t="str">
        <x:f t="shared" si="37"/>
        <x:v>SQL 및 데이터 모델링</x:v>
      </x:c>
      <x:c r="AB36" s="64" t="str">
        <x:f t="shared" si="37"/>
        <x:v>SQL 및 데이터 모델링</x:v>
      </x:c>
      <x:c r="AC36" s="64" t="str">
        <x:f t="shared" si="37"/>
        <x:v>SQL 및 데이터 모델링</x:v>
      </x:c>
      <x:c r="AD36" s="64" t="str">
        <x:f t="shared" si="37"/>
        <x:v>SQL 및 데이터 모델링</x:v>
      </x:c>
      <x:c r="AE36" s="64" t="str">
        <x:f t="shared" si="37"/>
        <x:v>AI개발 기초</x:v>
      </x:c>
      <x:c r="AF36" s="64" t="str">
        <x:f t="shared" si="37"/>
        <x:v>AI개발 기초</x:v>
      </x:c>
      <x:c r="AG36" s="64" t="str">
        <x:f t="shared" si="37"/>
        <x:v>AI개발 기초</x:v>
      </x:c>
      <x:c r="AH36" s="64" t="str">
        <x:f t="shared" si="37"/>
        <x:v>AI개발 기초</x:v>
      </x:c>
      <x:c r="AI36" s="64" t="str">
        <x:f t="shared" si="37"/>
        <x:v>AI개발 기초</x:v>
      </x:c>
      <x:c r="AJ36" s="64" t="str">
        <x:f t="shared" si="37"/>
        <x:v>AI개발 기초</x:v>
      </x:c>
      <x:c r="AK36" s="64" t="str">
        <x:f t="shared" si="37"/>
        <x:v>AI개발 기초</x:v>
      </x:c>
      <x:c r="AL36" s="64" t="str">
        <x:f t="shared" si="37"/>
        <x:v>AI개발 기초</x:v>
      </x:c>
      <x:c r="AM36" s="64" t="str">
        <x:f t="shared" si="37"/>
        <x:v>AI개발 기초</x:v>
      </x:c>
      <x:c r="AN36" s="64" t="str">
        <x:f t="shared" si="37"/>
        <x:v>AI개발 기초</x:v>
      </x:c>
      <x:c r="AO36" s="64" t="str">
        <x:f t="shared" si="37"/>
        <x:v>AI개발 기초</x:v>
      </x:c>
      <x:c r="AP36" s="64" t="str">
        <x:f t="shared" si="37"/>
        <x:v>AI개발 기초</x:v>
      </x:c>
      <x:c r="AQ36" s="64" t="str">
        <x:f t="shared" si="37"/>
        <x:v>인공지능 프로그래밍</x:v>
      </x:c>
      <x:c r="AR36" s="64" t="str">
        <x:f t="shared" si="37"/>
        <x:v>인공지능 프로그래밍</x:v>
      </x:c>
      <x:c r="AS36" s="64" t="str">
        <x:f t="shared" si="37"/>
        <x:v>인공지능 프로그래밍</x:v>
      </x:c>
      <x:c r="AT36" s="64" t="str">
        <x:f t="shared" si="37"/>
        <x:v>인공지능 프로그래밍</x:v>
      </x:c>
      <x:c r="AU36" s="64" t="str">
        <x:f t="shared" si="37"/>
        <x:v>인공지능 프로그래밍</x:v>
      </x:c>
      <x:c r="AV36" s="64" t="str">
        <x:f t="shared" si="37"/>
        <x:v>인공지능 프로그래밍</x:v>
      </x:c>
      <x:c r="AW36" s="64" t="str">
        <x:f t="shared" si="37"/>
        <x:v>인공지능 프로그래밍</x:v>
      </x:c>
      <x:c r="AX36" s="64" t="str">
        <x:f t="shared" si="37"/>
        <x:v>인공지능 프로그래밍</x:v>
      </x:c>
      <x:c r="AY36" s="64" t="str">
        <x:f t="shared" si="37"/>
        <x:v>인공지능 프로그래밍</x:v>
      </x:c>
      <x:c r="AZ36" s="64" t="str">
        <x:f t="shared" si="37"/>
        <x:v>인공지능 프로그래밍</x:v>
      </x:c>
      <x:c r="BA36" s="64" t="str">
        <x:f t="shared" si="37"/>
        <x:v>인공지능 프로그래밍</x:v>
      </x:c>
      <x:c r="BB36" s="64" t="str">
        <x:f t="shared" si="37"/>
        <x:v>인공지능 프로그래밍</x:v>
      </x:c>
      <x:c r="BC36" s="64" t="str">
        <x:f t="shared" si="37"/>
        <x:v>인공지능 프로그래밍</x:v>
      </x:c>
      <x:c r="BD36" s="64" t="str">
        <x:f t="shared" si="37"/>
        <x:v>인공지능 프로그래밍</x:v>
      </x:c>
      <x:c r="BE36" s="64" t="str">
        <x:f t="shared" si="37"/>
        <x:v>인공지능 프로그래밍</x:v>
      </x:c>
      <x:c r="BF36" s="64" t="str">
        <x:f t="shared" si="37"/>
        <x:v>인공지능 프로그래밍</x:v>
      </x:c>
      <x:c r="BG36" s="64" t="str">
        <x:f t="shared" si="37"/>
        <x:v>Advanced 프로젝트</x:v>
      </x:c>
      <x:c r="BH36" s="64" t="str">
        <x:f t="shared" si="37"/>
        <x:v>Advanced 프로젝트</x:v>
      </x:c>
      <x:c r="BI36" s="64" t="str">
        <x:f t="shared" si="37"/>
        <x:v>Advanced 프로젝트</x:v>
      </x:c>
      <x:c r="BJ36" s="64" t="str">
        <x:f t="shared" si="37"/>
        <x:v>Advanced 프로젝트</x:v>
      </x:c>
      <x:c r="BK36" s="64" t="str">
        <x:f t="shared" si="37"/>
        <x:v>Advanced 프로젝트</x:v>
      </x:c>
      <x:c r="BL36" s="64" t="str">
        <x:f t="shared" si="37"/>
        <x:v>Advanced 프로젝트</x:v>
      </x:c>
      <x:c r="BM36" s="64" t="str">
        <x:f t="shared" si="37"/>
        <x:v>Advanced 프로젝트</x:v>
      </x:c>
      <x:c r="BN36" s="64" t="str">
        <x:f t="shared" si="37"/>
        <x:v>Advanced 프로젝트</x:v>
      </x:c>
      <x:c r="BO36" s="64" t="str">
        <x:f t="shared" ref="BO36:DZ36" si="38">BO35</x:f>
        <x:v>Advanced 프로젝트</x:v>
      </x:c>
      <x:c r="BP36" s="64" t="str">
        <x:f t="shared" si="38"/>
        <x:v>Advanced 프로젝트</x:v>
      </x:c>
      <x:c r="BQ36" s="64" t="str">
        <x:f t="shared" si="38"/>
        <x:v>Advanced 프로젝트</x:v>
      </x:c>
      <x:c r="BR36" s="64" t="str">
        <x:f t="shared" si="38"/>
        <x:v/>
      </x:c>
      <x:c r="BS36" s="64" t="str">
        <x:f t="shared" si="38"/>
        <x:v>Advanced 프로젝트</x:v>
      </x:c>
      <x:c r="BT36" s="64" t="str">
        <x:f t="shared" si="38"/>
        <x:v>Advanced 프로젝트</x:v>
      </x:c>
      <x:c r="BU36" s="64" t="str">
        <x:f t="shared" si="38"/>
        <x:v>빅데이터 분석 및 시각화</x:v>
      </x:c>
      <x:c r="BV36" s="64" t="str">
        <x:f t="shared" si="38"/>
        <x:v>빅데이터 분석 및 시각화</x:v>
      </x:c>
      <x:c r="BW36" s="64" t="str">
        <x:f t="shared" si="38"/>
        <x:v/>
      </x:c>
      <x:c r="BX36" s="64" t="str">
        <x:f t="shared" si="38"/>
        <x:v>빅데이터 분석 및 시각화</x:v>
      </x:c>
      <x:c r="BY36" s="64" t="str">
        <x:f t="shared" si="38"/>
        <x:v>빅데이터 분석 및 시각화</x:v>
      </x:c>
      <x:c r="BZ36" s="64" t="str">
        <x:f t="shared" si="38"/>
        <x:v>빅데이터 분석 및 시각화</x:v>
      </x:c>
      <x:c r="CA36" s="64" t="str">
        <x:f t="shared" si="38"/>
        <x:v>빅데이터 시스템 구축</x:v>
      </x:c>
      <x:c r="CB36" s="64" t="str">
        <x:f t="shared" si="38"/>
        <x:v>빅데이터 시스템 구축</x:v>
      </x:c>
      <x:c r="CC36" s="64" t="str">
        <x:f t="shared" si="38"/>
        <x:v>빅데이터 시스템 구축</x:v>
      </x:c>
      <x:c r="CD36" s="64" t="str">
        <x:f t="shared" si="38"/>
        <x:v>빅데이터 시스템 구축</x:v>
      </x:c>
      <x:c r="CE36" s="64" t="str">
        <x:f t="shared" si="38"/>
        <x:v>빅데이터 시스템 구축</x:v>
      </x:c>
      <x:c r="CF36" s="64" t="str">
        <x:f t="shared" si="38"/>
        <x:v>빅데이터 시스템 구축</x:v>
      </x:c>
      <x:c r="CG36" s="64" t="str">
        <x:f t="shared" si="38"/>
        <x:v>빅데이터 시스템 구축</x:v>
      </x:c>
      <x:c r="CH36" s="64" t="str">
        <x:f t="shared" si="38"/>
        <x:v>빅데이터 시스템 구축</x:v>
      </x:c>
      <x:c r="CI36" s="64" t="str">
        <x:f t="shared" si="38"/>
        <x:v>빅데이터 시스템 구축</x:v>
      </x:c>
      <x:c r="CJ36" s="64" t="str">
        <x:f t="shared" si="38"/>
        <x:v>빅데이터 시스템 구축</x:v>
      </x:c>
      <x:c r="CK36" s="64" t="str">
        <x:f t="shared" si="38"/>
        <x:v>빅데이터 플랫폼 개발</x:v>
      </x:c>
      <x:c r="CL36" s="64" t="str">
        <x:f t="shared" si="38"/>
        <x:v>빅데이터 플랫폼 개발</x:v>
      </x:c>
      <x:c r="CM36" s="64" t="str">
        <x:f t="shared" si="38"/>
        <x:v>빅데이터 플랫폼 개발</x:v>
      </x:c>
      <x:c r="CN36" s="64" t="str">
        <x:f t="shared" si="38"/>
        <x:v>빅데이터 플랫폼 개발</x:v>
      </x:c>
      <x:c r="CO36" s="64" t="str">
        <x:f t="shared" si="38"/>
        <x:v>빅데이터 플랫폼 개발</x:v>
      </x:c>
      <x:c r="CP36" s="64" t="str">
        <x:f t="shared" si="38"/>
        <x:v>빅데이터 플랫폼 개발</x:v>
      </x:c>
      <x:c r="CQ36" s="64" t="str">
        <x:f t="shared" si="38"/>
        <x:v>빅데이터 플랫폼 개발</x:v>
      </x:c>
      <x:c r="CR36" s="64" t="str">
        <x:f t="shared" si="38"/>
        <x:v>빅데이터 플랫폼 개발</x:v>
      </x:c>
      <x:c r="CS36" s="64" t="str">
        <x:f t="shared" si="38"/>
        <x:v>Final 프로젝트</x:v>
      </x:c>
      <x:c r="CT36" s="64" t="str">
        <x:f t="shared" si="38"/>
        <x:v>Final 프로젝트</x:v>
      </x:c>
      <x:c r="CU36" s="64" t="str">
        <x:f t="shared" si="38"/>
        <x:v>Final 프로젝트</x:v>
      </x:c>
      <x:c r="CV36" s="64" t="str">
        <x:f t="shared" si="38"/>
        <x:v>Final 프로젝트</x:v>
      </x:c>
      <x:c r="CW36" s="64" t="str">
        <x:f t="shared" si="38"/>
        <x:v>Final 프로젝트</x:v>
      </x:c>
      <x:c r="CX36" s="64" t="str">
        <x:f t="shared" si="38"/>
        <x:v>Final 프로젝트</x:v>
      </x:c>
      <x:c r="CY36" s="64" t="str">
        <x:f t="shared" si="38"/>
        <x:v>Final 프로젝트</x:v>
      </x:c>
      <x:c r="CZ36" s="64" t="str">
        <x:f t="shared" si="38"/>
        <x:v>Final 프로젝트</x:v>
      </x:c>
      <x:c r="DA36" s="64" t="str">
        <x:f t="shared" si="38"/>
        <x:v>Final 프로젝트</x:v>
      </x:c>
      <x:c r="DB36" s="64" t="str">
        <x:f t="shared" si="38"/>
        <x:v>Final 프로젝트</x:v>
      </x:c>
      <x:c r="DC36" s="64" t="str">
        <x:f t="shared" si="38"/>
        <x:v/>
      </x:c>
      <x:c r="DD36" s="64" t="str">
        <x:f t="shared" si="38"/>
        <x:v/>
      </x:c>
      <x:c r="DE36" s="64" t="str">
        <x:f t="shared" si="38"/>
        <x:v/>
      </x:c>
      <x:c r="DF36" s="64" t="str">
        <x:f t="shared" si="38"/>
        <x:v>Final 프로젝트</x:v>
      </x:c>
      <x:c r="DG36" s="64" t="str">
        <x:f t="shared" si="38"/>
        <x:v>Final 프로젝트</x:v>
      </x:c>
      <x:c r="DH36" s="64" t="str">
        <x:f t="shared" si="38"/>
        <x:v>Final 프로젝트</x:v>
      </x:c>
      <x:c r="DI36" s="64" t="str">
        <x:f t="shared" si="38"/>
        <x:v>Final 프로젝트</x:v>
      </x:c>
      <x:c r="DJ36" s="64" t="str">
        <x:f t="shared" si="38"/>
        <x:v>Final 프로젝트</x:v>
      </x:c>
      <x:c r="DK36" s="64" t="str">
        <x:f t="shared" si="38"/>
        <x:v>Final 프로젝트</x:v>
      </x:c>
      <x:c r="DL36" s="64" t="str">
        <x:f t="shared" si="38"/>
        <x:v>Final 프로젝트</x:v>
      </x:c>
      <x:c r="DM36" s="64" t="str">
        <x:f t="shared" si="38"/>
        <x:v/>
      </x:c>
      <x:c r="DN36" s="64" t="str">
        <x:f t="shared" si="38"/>
        <x:v>Final 프로젝트</x:v>
      </x:c>
      <x:c r="DO36" s="64" t="str">
        <x:f t="shared" si="38"/>
        <x:v>Final 프로젝트</x:v>
      </x:c>
      <x:c r="DP36" s="64" t="str">
        <x:f t="shared" si="38"/>
        <x:v>Final 프로젝트</x:v>
      </x:c>
      <x:c r="DQ36" s="64" t="str">
        <x:f t="shared" si="38"/>
        <x:v>Final 프로젝트</x:v>
      </x:c>
      <x:c r="DR36" s="64" t="str">
        <x:f t="shared" si="38"/>
        <x:v>Final 프로젝트</x:v>
      </x:c>
      <x:c r="DS36" s="64" t="str">
        <x:f t="shared" si="38"/>
        <x:v>Final 프로젝트</x:v>
      </x:c>
      <x:c r="DT36" s="64" t="str">
        <x:f t="shared" si="38"/>
        <x:v>Final 프로젝트</x:v>
      </x:c>
      <x:c r="DU36" s="64" t="str">
        <x:f t="shared" si="38"/>
        <x:v>Final 프로젝트</x:v>
      </x:c>
      <x:c r="DV36" s="64" t="str">
        <x:f t="shared" si="38"/>
        <x:v>Final 프로젝트</x:v>
      </x:c>
      <x:c r="DW36" s="64" t="str">
        <x:f t="shared" si="38"/>
        <x:v>Final 프로젝트</x:v>
      </x:c>
      <x:c r="DX36" s="64" t="str">
        <x:f t="shared" si="38"/>
        <x:v>Final 프로젝트</x:v>
      </x:c>
      <x:c r="DY36" s="64" t="str">
        <x:f t="shared" si="38"/>
        <x:v>Final 프로젝트</x:v>
      </x:c>
      <x:c r="DZ36" s="64" t="str">
        <x:f t="shared" si="38"/>
        <x:v>Final 프로젝트</x:v>
      </x:c>
      <x:c r="EA36" s="64" t="str">
        <x:f t="shared" ref="EA36:EK36" si="39">EA35</x:f>
        <x:v>Final 프로젝트</x:v>
      </x:c>
      <x:c r="EB36" s="64" t="str">
        <x:f t="shared" si="39"/>
        <x:v>Final 프로젝트</x:v>
      </x:c>
      <x:c r="EC36" s="64" t="str">
        <x:f t="shared" si="39"/>
        <x:v>취업특강 및 모의면접</x:v>
      </x:c>
      <x:c r="ED36" s="64" t="str">
        <x:f t="shared" si="39"/>
        <x:v>산업체특강 , 프로젝트 발표(시연), 수료식</x:v>
      </x:c>
      <x:c r="EE36" s="64" t="str">
        <x:f t="shared" si="39"/>
        <x:v/>
      </x:c>
      <x:c r="EF36" s="64" t="str">
        <x:f t="shared" si="39"/>
        <x:v/>
      </x:c>
      <x:c r="EG36" s="64" t="str">
        <x:f t="shared" si="39"/>
        <x:v/>
      </x:c>
      <x:c r="EH36" s="64" t="str">
        <x:f t="shared" si="39"/>
        <x:v/>
      </x:c>
      <x:c r="EI36" s="64" t="str">
        <x:f t="shared" si="39"/>
        <x:v/>
      </x:c>
      <x:c r="EJ36" s="64" t="str">
        <x:f t="shared" si="39"/>
        <x:v/>
      </x:c>
      <x:c r="EK36" s="64" t="str">
        <x:f t="shared" si="39"/>
        <x:v/>
      </x:c>
      <x:c r="EL36" s="60" t="str">
        <x:f>EL35</x:f>
        <x:v/>
      </x:c>
      <x:c r="EM36" s="58" t="str">
        <x:f>EM35</x:f>
        <x:v/>
      </x:c>
      <x:c r="EN36" s="58" t="str">
        <x:f>EN35</x:f>
        <x:v/>
      </x:c>
      <x:c r="EO36" s="58" t="str">
        <x:f>EO35</x:f>
        <x:v/>
      </x:c>
      <x:c r="EP36" s="59" t="str">
        <x:f>EP35</x:f>
        <x:v/>
      </x:c>
    </x:row>
    <x:row r="37" spans="1:146" s="47" customFormat="1" ht="15" customHeight="1">
      <x:c r="A37" s="278"/>
      <x:c r="B37" s="65" t="str">
        <x:f>IF(OR(B4&lt;0,B4=A4,ISERROR(INDEX(세부시간표!$A$3:$L$1183,9*B4,11))),"",LEFT(INDEX(세부시간표!$A$3:$L$1183,9*B4,11),4))</x:f>
        <x:v>1교육실</x:v>
      </x:c>
      <x:c r="C37" s="65" t="str">
        <x:f>IF(OR(C4&lt;0,C4=B4,ISERROR(INDEX(세부시간표!$A$3:$L$1183,9*C4,11))),"",LEFT(INDEX(세부시간표!$A$3:$L$1183,9*C4,11),4))</x:f>
        <x:v>1교육실</x:v>
      </x:c>
      <x:c r="D37" s="65" t="str">
        <x:f>IF(OR(D4&lt;0,D4=C4,ISERROR(INDEX(세부시간표!$A$3:$L$1183,9*D4,11))),"",LEFT(INDEX(세부시간표!$A$3:$L$1183,9*D4,11),4))</x:f>
        <x:v>1교육실</x:v>
      </x:c>
      <x:c r="E37" s="65" t="str">
        <x:f>IF(OR(E4&lt;0,E4=D4,ISERROR(INDEX(세부시간표!$A$3:$L$1183,9*E4,11))),"",LEFT(INDEX(세부시간표!$A$3:$L$1183,9*E4,11),4))</x:f>
        <x:v>1교육실</x:v>
      </x:c>
      <x:c r="F37" s="65" t="str">
        <x:f>IF(OR(F4&lt;0,F4=E4,ISERROR(INDEX(세부시간표!$A$3:$L$1183,9*F4,11))),"",LEFT(INDEX(세부시간표!$A$3:$L$1183,9*F4,11),4))</x:f>
        <x:v>1교육실</x:v>
      </x:c>
      <x:c r="G37" s="65" t="str">
        <x:f>IF(OR(G4&lt;0,G4=F4,ISERROR(INDEX(세부시간표!$A$3:$L$1183,9*G4,11))),"",LEFT(INDEX(세부시간표!$A$3:$L$1183,9*G4,11),4))</x:f>
        <x:v>1교육실</x:v>
      </x:c>
      <x:c r="H37" s="65" t="str">
        <x:f>IF(OR(H4&lt;0,H4=G4,ISERROR(INDEX(세부시간표!$A$3:$L$1183,9*H4,11))),"",LEFT(INDEX(세부시간표!$A$3:$L$1183,9*H4,11),4))</x:f>
        <x:v>1교육실</x:v>
      </x:c>
      <x:c r="I37" s="65" t="str">
        <x:f>IF(OR(I4&lt;0,I4=H4,ISERROR(INDEX(세부시간표!$A$3:$L$1183,9*I4,11))),"",LEFT(INDEX(세부시간표!$A$3:$L$1183,9*I4,11),4))</x:f>
        <x:v>1교육실</x:v>
      </x:c>
      <x:c r="J37" s="65" t="str">
        <x:f>IF(OR(J4&lt;0,J4=I4,ISERROR(INDEX(세부시간표!$A$3:$L$1183,9*J4,11))),"",LEFT(INDEX(세부시간표!$A$3:$L$1183,9*J4,11),4))</x:f>
        <x:v>1교육실</x:v>
      </x:c>
      <x:c r="K37" s="65" t="str">
        <x:f>IF(OR(K4&lt;0,K4=J4,ISERROR(INDEX(세부시간표!$A$3:$L$1183,9*K4,11))),"",LEFT(INDEX(세부시간표!$A$3:$L$1183,9*K4,11),4))</x:f>
        <x:v/>
      </x:c>
      <x:c r="L37" s="65" t="str">
        <x:f>IF(OR(L4&lt;0,L4=K4,ISERROR(INDEX(세부시간표!$A$3:$L$1183,9*L4,11))),"",LEFT(INDEX(세부시간표!$A$3:$L$1183,9*L4,11),4))</x:f>
        <x:v/>
      </x:c>
      <x:c r="M37" s="65" t="str">
        <x:f>IF(OR(M4&lt;0,M4=L4,ISERROR(INDEX(세부시간표!$A$3:$L$1183,9*M4,11))),"",LEFT(INDEX(세부시간표!$A$3:$L$1183,9*M4,11),4))</x:f>
        <x:v/>
      </x:c>
      <x:c r="N37" s="65" t="str">
        <x:f>IF(OR(N4&lt;0,N4=M4,ISERROR(INDEX(세부시간표!$A$3:$L$1183,9*N4,11))),"",LEFT(INDEX(세부시간표!$A$3:$L$1183,9*N4,11),4))</x:f>
        <x:v/>
      </x:c>
      <x:c r="O37" s="65" t="str">
        <x:f>IF(OR(O4&lt;0,O4=N4,ISERROR(INDEX(세부시간표!$A$3:$L$1183,9*O4,11))),"",LEFT(INDEX(세부시간표!$A$3:$L$1183,9*O4,11),4))</x:f>
        <x:v/>
      </x:c>
      <x:c r="P37" s="65" t="str">
        <x:f>IF(OR(P4&lt;0,P4=O4,ISERROR(INDEX(세부시간표!$A$3:$L$1183,9*P4,11))),"",LEFT(INDEX(세부시간표!$A$3:$L$1183,9*P4,11),4))</x:f>
        <x:v>1교육실</x:v>
      </x:c>
      <x:c r="Q37" s="65" t="str">
        <x:f>IF(OR(Q4&lt;0,Q4=P4,ISERROR(INDEX(세부시간표!$A$3:$L$1183,9*Q4,11))),"",LEFT(INDEX(세부시간표!$A$3:$L$1183,9*Q4,11),4))</x:f>
        <x:v>1교육실</x:v>
      </x:c>
      <x:c r="R37" s="65" t="str">
        <x:f>IF(OR(R4&lt;0,R4=Q4,ISERROR(INDEX(세부시간표!$A$3:$L$1183,9*R4,11))),"",LEFT(INDEX(세부시간표!$A$3:$L$1183,9*R4,11),4))</x:f>
        <x:v>1교육실</x:v>
      </x:c>
      <x:c r="S37" s="65" t="str">
        <x:f>IF(OR(S4&lt;0,S4=R4,ISERROR(INDEX(세부시간표!$A$3:$L$1183,9*S4,11))),"",LEFT(INDEX(세부시간표!$A$3:$L$1183,9*S4,11),4))</x:f>
        <x:v>1교육실</x:v>
      </x:c>
      <x:c r="T37" s="65" t="str">
        <x:f>IF(OR(T4&lt;0,T4=S4,ISERROR(INDEX(세부시간표!$A$3:$L$1183,9*T4,11))),"",LEFT(INDEX(세부시간표!$A$3:$L$1183,9*T4,11),4))</x:f>
        <x:v>1교육실</x:v>
      </x:c>
      <x:c r="U37" s="65" t="str">
        <x:f>IF(OR(U4&lt;0,U4=T4,ISERROR(INDEX(세부시간표!$A$3:$L$1183,9*U4,11))),"",LEFT(INDEX(세부시간표!$A$3:$L$1183,9*U4,11),4))</x:f>
        <x:v>1교육실</x:v>
      </x:c>
      <x:c r="V37" s="65" t="str">
        <x:f>IF(OR(V4&lt;0,V4=U4,ISERROR(INDEX(세부시간표!$A$3:$L$1183,9*V4,11))),"",LEFT(INDEX(세부시간표!$A$3:$L$1183,9*V4,11),4))</x:f>
        <x:v>1교육실</x:v>
      </x:c>
      <x:c r="W37" s="65" t="str">
        <x:f>IF(OR(W4&lt;0,W4=V4,ISERROR(INDEX(세부시간표!$A$3:$L$1183,9*W4,11))),"",LEFT(INDEX(세부시간표!$A$3:$L$1183,9*W4,11),4))</x:f>
        <x:v>1교육실</x:v>
      </x:c>
      <x:c r="X37" s="65" t="str">
        <x:f>IF(OR(X4&lt;0,X4=W4,ISERROR(INDEX(세부시간표!$A$3:$L$1183,9*X4,11))),"",LEFT(INDEX(세부시간표!$A$3:$L$1183,9*X4,11),4))</x:f>
        <x:v>1교육실</x:v>
      </x:c>
      <x:c r="Y37" s="65" t="str">
        <x:f>IF(OR(Y4&lt;0,Y4=X4,ISERROR(INDEX(세부시간표!$A$3:$L$1183,9*Y4,11))),"",LEFT(INDEX(세부시간표!$A$3:$L$1183,9*Y4,11),4))</x:f>
        <x:v>1교육실</x:v>
      </x:c>
      <x:c r="Z37" s="65" t="str">
        <x:f>IF(OR(Z4&lt;0,Z4=Y4,ISERROR(INDEX(세부시간표!$A$3:$L$1183,9*Z4,11))),"",LEFT(INDEX(세부시간표!$A$3:$L$1183,9*Z4,11),4))</x:f>
        <x:v>1교육실</x:v>
      </x:c>
      <x:c r="AA37" s="65" t="str">
        <x:f>IF(OR(AA4&lt;0,AA4=Z4,ISERROR(INDEX(세부시간표!$A$3:$L$1183,9*AA4,11))),"",LEFT(INDEX(세부시간표!$A$3:$L$1183,9*AA4,11),4))</x:f>
        <x:v>1교육실</x:v>
      </x:c>
      <x:c r="AB37" s="65" t="str">
        <x:f>IF(OR(AB4&lt;0,AB4=AA4,ISERROR(INDEX(세부시간표!$A$3:$L$1183,9*AB4,11))),"",LEFT(INDEX(세부시간표!$A$3:$L$1183,9*AB4,11),4))</x:f>
        <x:v>1교육실</x:v>
      </x:c>
      <x:c r="AC37" s="65" t="str">
        <x:f>IF(OR(AC4&lt;0,AC4=AB4,ISERROR(INDEX(세부시간표!$A$3:$L$1183,9*AC4,11))),"",LEFT(INDEX(세부시간표!$A$3:$L$1183,9*AC4,11),4))</x:f>
        <x:v>1교육실</x:v>
      </x:c>
      <x:c r="AD37" s="65" t="str">
        <x:f>IF(OR(AD4&lt;0,AD4=AC4,ISERROR(INDEX(세부시간표!$A$3:$L$1183,9*AD4,11))),"",LEFT(INDEX(세부시간표!$A$3:$L$1183,9*AD4,11),4))</x:f>
        <x:v>1교육실</x:v>
      </x:c>
      <x:c r="AE37" s="65" t="str">
        <x:f>IF(OR(AE4&lt;0,AE4=AD4,ISERROR(INDEX(세부시간표!$A$3:$L$1183,9*AE4,11))),"",LEFT(INDEX(세부시간표!$A$3:$L$1183,9*AE4,11),4))</x:f>
        <x:v>1교육실</x:v>
      </x:c>
      <x:c r="AF37" s="65" t="str">
        <x:f>IF(OR(AF4&lt;0,AF4=AE4,ISERROR(INDEX(세부시간표!$A$3:$L$1183,9*AF4,11))),"",LEFT(INDEX(세부시간표!$A$3:$L$1183,9*AF4,11),4))</x:f>
        <x:v>1교육실</x:v>
      </x:c>
      <x:c r="AG37" s="65" t="str">
        <x:f>IF(OR(AG4&lt;0,AG4=AF4,ISERROR(INDEX(세부시간표!$A$3:$L$1183,9*AG4,11))),"",LEFT(INDEX(세부시간표!$A$3:$L$1183,9*AG4,11),4))</x:f>
        <x:v>1교육실</x:v>
      </x:c>
      <x:c r="AH37" s="65" t="str">
        <x:f>IF(OR(AH4&lt;0,AH4=AG4,ISERROR(INDEX(세부시간표!$A$3:$L$1183,9*AH4,11))),"",LEFT(INDEX(세부시간표!$A$3:$L$1183,9*AH4,11),4))</x:f>
        <x:v>1교육실</x:v>
      </x:c>
      <x:c r="AI37" s="65" t="str">
        <x:f>IF(OR(AI4&lt;0,AI4=AH4,ISERROR(INDEX(세부시간표!$A$3:$L$1183,9*AI4,11))),"",LEFT(INDEX(세부시간표!$A$3:$L$1183,9*AI4,11),4))</x:f>
        <x:v>1교육실</x:v>
      </x:c>
      <x:c r="AJ37" s="65" t="str">
        <x:f>IF(OR(AJ4&lt;0,AJ4=AI4,ISERROR(INDEX(세부시간표!$A$3:$L$1183,9*AJ4,11))),"",LEFT(INDEX(세부시간표!$A$3:$L$1183,9*AJ4,11),4))</x:f>
        <x:v>1교육실</x:v>
      </x:c>
      <x:c r="AK37" s="65" t="str">
        <x:f>IF(OR(AK4&lt;0,AK4=AJ4,ISERROR(INDEX(세부시간표!$A$3:$L$1183,9*AK4,11))),"",LEFT(INDEX(세부시간표!$A$3:$L$1183,9*AK4,11),4))</x:f>
        <x:v>1교육실</x:v>
      </x:c>
      <x:c r="AL37" s="65" t="str">
        <x:f>IF(OR(AL4&lt;0,AL4=AK4,ISERROR(INDEX(세부시간표!$A$3:$L$1183,9*AL4,11))),"",LEFT(INDEX(세부시간표!$A$3:$L$1183,9*AL4,11),4))</x:f>
        <x:v>1교육실</x:v>
      </x:c>
      <x:c r="AM37" s="65" t="str">
        <x:f>IF(OR(AM4&lt;0,AM4=AL4,ISERROR(INDEX(세부시간표!$A$3:$L$1183,9*AM4,11))),"",LEFT(INDEX(세부시간표!$A$3:$L$1183,9*AM4,11),4))</x:f>
        <x:v>1교육실</x:v>
      </x:c>
      <x:c r="AN37" s="65" t="str">
        <x:f>IF(OR(AN4&lt;0,AN4=AM4,ISERROR(INDEX(세부시간표!$A$3:$L$1183,9*AN4,11))),"",LEFT(INDEX(세부시간표!$A$3:$L$1183,9*AN4,11),4))</x:f>
        <x:v>1교육실</x:v>
      </x:c>
      <x:c r="AO37" s="65" t="str">
        <x:f>IF(OR(AO4&lt;0,AO4=AN4,ISERROR(INDEX(세부시간표!$A$3:$L$1183,9*AO4,11))),"",LEFT(INDEX(세부시간표!$A$3:$L$1183,9*AO4,11),4))</x:f>
        <x:v>1교육실</x:v>
      </x:c>
      <x:c r="AP37" s="65" t="str">
        <x:f>IF(OR(AP4&lt;0,AP4=AO4,ISERROR(INDEX(세부시간표!$A$3:$L$1183,9*AP4,11))),"",LEFT(INDEX(세부시간표!$A$3:$L$1183,9*AP4,11),4))</x:f>
        <x:v>1교육실</x:v>
      </x:c>
      <x:c r="AQ37" s="65" t="str">
        <x:f>IF(OR(AQ4&lt;0,AQ4=AP4,ISERROR(INDEX(세부시간표!$A$3:$L$1183,9*AQ4,11))),"",LEFT(INDEX(세부시간표!$A$3:$L$1183,9*AQ4,11),4))</x:f>
        <x:v>1교육실</x:v>
      </x:c>
      <x:c r="AR37" s="65" t="str">
        <x:f>IF(OR(AR4&lt;0,AR4=AQ4,ISERROR(INDEX(세부시간표!$A$3:$L$1183,9*AR4,11))),"",LEFT(INDEX(세부시간표!$A$3:$L$1183,9*AR4,11),4))</x:f>
        <x:v>1교육실</x:v>
      </x:c>
      <x:c r="AS37" s="65" t="str">
        <x:f>IF(OR(AS4&lt;0,AS4=AR4,ISERROR(INDEX(세부시간표!$A$3:$L$1183,9*AS4,11))),"",LEFT(INDEX(세부시간표!$A$3:$L$1183,9*AS4,11),4))</x:f>
        <x:v>1교육실</x:v>
      </x:c>
      <x:c r="AT37" s="65" t="str">
        <x:f>IF(OR(AT4&lt;0,AT4=AS4,ISERROR(INDEX(세부시간표!$A$3:$L$1183,9*AT4,11))),"",LEFT(INDEX(세부시간표!$A$3:$L$1183,9*AT4,11),4))</x:f>
        <x:v>1교육실</x:v>
      </x:c>
      <x:c r="AU37" s="65" t="str">
        <x:f>IF(OR(AU4&lt;0,AU4=AT4,ISERROR(INDEX(세부시간표!$A$3:$L$1183,9*AU4,11))),"",LEFT(INDEX(세부시간표!$A$3:$L$1183,9*AU4,11),4))</x:f>
        <x:v>1교육실</x:v>
      </x:c>
      <x:c r="AV37" s="65" t="str">
        <x:f>IF(OR(AV4&lt;0,AV4=AU4,ISERROR(INDEX(세부시간표!$A$3:$L$1183,9*AV4,11))),"",LEFT(INDEX(세부시간표!$A$3:$L$1183,9*AV4,11),4))</x:f>
        <x:v>1교육실</x:v>
      </x:c>
      <x:c r="AW37" s="65" t="str">
        <x:f>IF(OR(AW4&lt;0,AW4=AV4,ISERROR(INDEX(세부시간표!$A$3:$L$1183,9*AW4,11))),"",LEFT(INDEX(세부시간표!$A$3:$L$1183,9*AW4,11),4))</x:f>
        <x:v>1교육실</x:v>
      </x:c>
      <x:c r="AX37" s="65" t="str">
        <x:f>IF(OR(AX4&lt;0,AX4=AW4,ISERROR(INDEX(세부시간표!$A$3:$L$1183,9*AX4,11))),"",LEFT(INDEX(세부시간표!$A$3:$L$1183,9*AX4,11),4))</x:f>
        <x:v>1교육실</x:v>
      </x:c>
      <x:c r="AY37" s="65" t="str">
        <x:f>IF(OR(AY4&lt;0,AY4=AX4,ISERROR(INDEX(세부시간표!$A$3:$L$1183,9*AY4,11))),"",LEFT(INDEX(세부시간표!$A$3:$L$1183,9*AY4,11),4))</x:f>
        <x:v>1교육실</x:v>
      </x:c>
      <x:c r="AZ37" s="65" t="str">
        <x:f>IF(OR(AZ4&lt;0,AZ4=AY4,ISERROR(INDEX(세부시간표!$A$3:$L$1183,9*AZ4,11))),"",LEFT(INDEX(세부시간표!$A$3:$L$1183,9*AZ4,11),4))</x:f>
        <x:v>1교육실</x:v>
      </x:c>
      <x:c r="BA37" s="65" t="str">
        <x:f>IF(OR(BA4&lt;0,BA4=AZ4,ISERROR(INDEX(세부시간표!$A$3:$L$1183,9*BA4,11))),"",LEFT(INDEX(세부시간표!$A$3:$L$1183,9*BA4,11),4))</x:f>
        <x:v>1교육실</x:v>
      </x:c>
      <x:c r="BB37" s="65" t="str">
        <x:f>IF(OR(BB4&lt;0,BB4=BA4,ISERROR(INDEX(세부시간표!$A$3:$L$1183,9*BB4,11))),"",LEFT(INDEX(세부시간표!$A$3:$L$1183,9*BB4,11),4))</x:f>
        <x:v>1교육실</x:v>
      </x:c>
      <x:c r="BC37" s="65" t="str">
        <x:f>IF(OR(BC4&lt;0,BC4=BB4,ISERROR(INDEX(세부시간표!$A$3:$L$1183,9*BC4,11))),"",LEFT(INDEX(세부시간표!$A$3:$L$1183,9*BC4,11),4))</x:f>
        <x:v>1교육실</x:v>
      </x:c>
      <x:c r="BD37" s="65" t="str">
        <x:f>IF(OR(BD4&lt;0,BD4=BC4,ISERROR(INDEX(세부시간표!$A$3:$L$1183,9*BD4,11))),"",LEFT(INDEX(세부시간표!$A$3:$L$1183,9*BD4,11),4))</x:f>
        <x:v>1교육실</x:v>
      </x:c>
      <x:c r="BE37" s="65" t="str">
        <x:f>IF(OR(BE4&lt;0,BE4=BD4,ISERROR(INDEX(세부시간표!$A$3:$L$1183,9*BE4,11))),"",LEFT(INDEX(세부시간표!$A$3:$L$1183,9*BE4,11),4))</x:f>
        <x:v>1교육실</x:v>
      </x:c>
      <x:c r="BF37" s="65" t="str">
        <x:f>IF(OR(BF4&lt;0,BF4=BE4,ISERROR(INDEX(세부시간표!$A$3:$L$1183,9*BF4,11))),"",LEFT(INDEX(세부시간표!$A$3:$L$1183,9*BF4,11),4))</x:f>
        <x:v>1교육실</x:v>
      </x:c>
      <x:c r="BG37" s="65" t="str">
        <x:f>IF(OR(BG4&lt;0,BG4=BF4,ISERROR(INDEX(세부시간표!$A$3:$L$1183,9*BG4,11))),"",LEFT(INDEX(세부시간표!$A$3:$L$1183,9*BG4,11),4))</x:f>
        <x:v>1교육실</x:v>
      </x:c>
      <x:c r="BH37" s="65" t="str">
        <x:f>IF(OR(BH4&lt;0,BH4=BG4,ISERROR(INDEX(세부시간표!$A$3:$L$1183,9*BH4,11))),"",LEFT(INDEX(세부시간표!$A$3:$L$1183,9*BH4,11),4))</x:f>
        <x:v>1교육실</x:v>
      </x:c>
      <x:c r="BI37" s="65" t="str">
        <x:f>IF(OR(BI4&lt;0,BI4=BH4,ISERROR(INDEX(세부시간표!$A$3:$L$1183,9*BI4,11))),"",LEFT(INDEX(세부시간표!$A$3:$L$1183,9*BI4,11),4))</x:f>
        <x:v>1교육실</x:v>
      </x:c>
      <x:c r="BJ37" s="65" t="str">
        <x:f>IF(OR(BJ4&lt;0,BJ4=BI4,ISERROR(INDEX(세부시간표!$A$3:$L$1183,9*BJ4,11))),"",LEFT(INDEX(세부시간표!$A$3:$L$1183,9*BJ4,11),4))</x:f>
        <x:v>1교육실</x:v>
      </x:c>
      <x:c r="BK37" s="65" t="str">
        <x:f>IF(OR(BK4&lt;0,BK4=BJ4,ISERROR(INDEX(세부시간표!$A$3:$L$1183,9*BK4,11))),"",LEFT(INDEX(세부시간표!$A$3:$L$1183,9*BK4,11),4))</x:f>
        <x:v>1교육실</x:v>
      </x:c>
      <x:c r="BL37" s="65" t="str">
        <x:f>IF(OR(BL4&lt;0,BL4=BK4,ISERROR(INDEX(세부시간표!$A$3:$L$1183,9*BL4,11))),"",LEFT(INDEX(세부시간표!$A$3:$L$1183,9*BL4,11),4))</x:f>
        <x:v>1교육실</x:v>
      </x:c>
      <x:c r="BM37" s="65" t="str">
        <x:f>IF(OR(BM4&lt;0,BM4=BL4,ISERROR(INDEX(세부시간표!$A$3:$L$1183,9*BM4,11))),"",LEFT(INDEX(세부시간표!$A$3:$L$1183,9*BM4,11),4))</x:f>
        <x:v>1교육실</x:v>
      </x:c>
      <x:c r="BN37" s="65" t="str">
        <x:f>IF(OR(BN4&lt;0,BN4=BM4,ISERROR(INDEX(세부시간표!$A$3:$L$1183,9*BN4,11))),"",LEFT(INDEX(세부시간표!$A$3:$L$1183,9*BN4,11),4))</x:f>
        <x:v>1교육실</x:v>
      </x:c>
      <x:c r="BO37" s="65" t="str">
        <x:f>IF(OR(BO4&lt;0,BO4=BN4,ISERROR(INDEX(세부시간표!$A$3:$L$1183,9*BO4,11))),"",LEFT(INDEX(세부시간표!$A$3:$L$1183,9*BO4,11),4))</x:f>
        <x:v>1교육실</x:v>
      </x:c>
      <x:c r="BP37" s="65" t="str">
        <x:f>IF(OR(BP4&lt;0,BP4=BO4,ISERROR(INDEX(세부시간표!$A$3:$L$1183,9*BP4,11))),"",LEFT(INDEX(세부시간표!$A$3:$L$1183,9*BP4,11),4))</x:f>
        <x:v>1교육실</x:v>
      </x:c>
      <x:c r="BQ37" s="65" t="str">
        <x:f>IF(OR(BQ4&lt;0,BQ4=BP4,ISERROR(INDEX(세부시간표!$A$3:$L$1183,9*BQ4,11))),"",LEFT(INDEX(세부시간표!$A$3:$L$1183,9*BQ4,11),4))</x:f>
        <x:v>1교육실</x:v>
      </x:c>
      <x:c r="BR37" s="65" t="str">
        <x:f>IF(OR(BR4&lt;0,BR4=BQ4,ISERROR(INDEX(세부시간표!$A$3:$L$1183,9*BR4,11))),"",LEFT(INDEX(세부시간표!$A$3:$L$1183,9*BR4,11),4))</x:f>
        <x:v/>
      </x:c>
      <x:c r="BS37" s="65" t="str">
        <x:f>IF(OR(BS4&lt;0,BS4=BR4,ISERROR(INDEX(세부시간표!$A$3:$L$1183,9*BS4,11))),"",LEFT(INDEX(세부시간표!$A$3:$L$1183,9*BS4,11),4))</x:f>
        <x:v>1교육실</x:v>
      </x:c>
      <x:c r="BT37" s="65" t="str">
        <x:f>IF(OR(BT4&lt;0,BT4=BS4,ISERROR(INDEX(세부시간표!$A$3:$L$1183,9*BT4,11))),"",LEFT(INDEX(세부시간표!$A$3:$L$1183,9*BT4,11),4))</x:f>
        <x:v>1교육실</x:v>
      </x:c>
      <x:c r="BU37" s="65" t="str">
        <x:f>IF(OR(BU4&lt;0,BU4=BT4,ISERROR(INDEX(세부시간표!$A$3:$L$1183,9*BU4,11))),"",LEFT(INDEX(세부시간표!$A$3:$L$1183,9*BU4,11),4))</x:f>
        <x:v>1교육실</x:v>
      </x:c>
      <x:c r="BV37" s="65" t="str">
        <x:f>IF(OR(BV4&lt;0,BV4=BU4,ISERROR(INDEX(세부시간표!$A$3:$L$1183,9*BV4,11))),"",LEFT(INDEX(세부시간표!$A$3:$L$1183,9*BV4,11),4))</x:f>
        <x:v>1교육실</x:v>
      </x:c>
      <x:c r="BW37" s="65" t="str">
        <x:f>IF(OR(BW4&lt;0,BW4=BV4,ISERROR(INDEX(세부시간표!$A$3:$L$1183,9*BW4,11))),"",LEFT(INDEX(세부시간표!$A$3:$L$1183,9*BW4,11),4))</x:f>
        <x:v/>
      </x:c>
      <x:c r="BX37" s="65" t="str">
        <x:f>IF(OR(BX4&lt;0,BX4=BW4,ISERROR(INDEX(세부시간표!$A$3:$L$1183,9*BX4,11))),"",LEFT(INDEX(세부시간표!$A$3:$L$1183,9*BX4,11),4))</x:f>
        <x:v>1교육실</x:v>
      </x:c>
      <x:c r="BY37" s="65" t="str">
        <x:f>IF(OR(BY4&lt;0,BY4=BX4,ISERROR(INDEX(세부시간표!$A$3:$L$1183,9*BY4,11))),"",LEFT(INDEX(세부시간표!$A$3:$L$1183,9*BY4,11),4))</x:f>
        <x:v>1교육실</x:v>
      </x:c>
      <x:c r="BZ37" s="65" t="str">
        <x:f>IF(OR(BZ4&lt;0,BZ4=BY4,ISERROR(INDEX(세부시간표!$A$3:$L$1183,9*BZ4,11))),"",LEFT(INDEX(세부시간표!$A$3:$L$1183,9*BZ4,11),4))</x:f>
        <x:v>1교육실</x:v>
      </x:c>
      <x:c r="CA37" s="65" t="str">
        <x:f>IF(OR(CA4&lt;0,CA4=BZ4,ISERROR(INDEX(세부시간표!$A$3:$L$1183,9*CA4,11))),"",LEFT(INDEX(세부시간표!$A$3:$L$1183,9*CA4,11),4))</x:f>
        <x:v>1교육실</x:v>
      </x:c>
      <x:c r="CB37" s="65" t="str">
        <x:f>IF(OR(CB4&lt;0,CB4=CA4,ISERROR(INDEX(세부시간표!$A$3:$L$1183,9*CB4,11))),"",LEFT(INDEX(세부시간표!$A$3:$L$1183,9*CB4,11),4))</x:f>
        <x:v>1교육실</x:v>
      </x:c>
      <x:c r="CC37" s="65" t="str">
        <x:f>IF(OR(CC4&lt;0,CC4=CB4,ISERROR(INDEX(세부시간표!$A$3:$L$1183,9*CC4,11))),"",LEFT(INDEX(세부시간표!$A$3:$L$1183,9*CC4,11),4))</x:f>
        <x:v>1교육실</x:v>
      </x:c>
      <x:c r="CD37" s="65" t="str">
        <x:f>IF(OR(CD4&lt;0,CD4=CC4,ISERROR(INDEX(세부시간표!$A$3:$L$1183,9*CD4,11))),"",LEFT(INDEX(세부시간표!$A$3:$L$1183,9*CD4,11),4))</x:f>
        <x:v>1교육실</x:v>
      </x:c>
      <x:c r="CE37" s="65" t="str">
        <x:f>IF(OR(CE4&lt;0,CE4=CD4,ISERROR(INDEX(세부시간표!$A$3:$L$1183,9*CE4,11))),"",LEFT(INDEX(세부시간표!$A$3:$L$1183,9*CE4,11),4))</x:f>
        <x:v>1교육실</x:v>
      </x:c>
      <x:c r="CF37" s="65" t="str">
        <x:f>IF(OR(CF4&lt;0,CF4=CE4,ISERROR(INDEX(세부시간표!$A$3:$L$1183,9*CF4,11))),"",LEFT(INDEX(세부시간표!$A$3:$L$1183,9*CF4,11),4))</x:f>
        <x:v>1교육실</x:v>
      </x:c>
      <x:c r="CG37" s="65" t="str">
        <x:f>IF(OR(CG4&lt;0,CG4=CF4,ISERROR(INDEX(세부시간표!$A$3:$L$1183,9*CG4,11))),"",LEFT(INDEX(세부시간표!$A$3:$L$1183,9*CG4,11),4))</x:f>
        <x:v>1교육실</x:v>
      </x:c>
      <x:c r="CH37" s="65" t="str">
        <x:f>IF(OR(CH4&lt;0,CH4=CG4,ISERROR(INDEX(세부시간표!$A$3:$L$1183,9*CH4,11))),"",LEFT(INDEX(세부시간표!$A$3:$L$1183,9*CH4,11),4))</x:f>
        <x:v>1교육실</x:v>
      </x:c>
      <x:c r="CI37" s="65" t="str">
        <x:f>IF(OR(CI4&lt;0,CI4=CH4,ISERROR(INDEX(세부시간표!$A$3:$L$1183,9*CI4,11))),"",LEFT(INDEX(세부시간표!$A$3:$L$1183,9*CI4,11),4))</x:f>
        <x:v>1교육실</x:v>
      </x:c>
      <x:c r="CJ37" s="65" t="str">
        <x:f>IF(OR(CJ4&lt;0,CJ4=CI4,ISERROR(INDEX(세부시간표!$A$3:$L$1183,9*CJ4,11))),"",LEFT(INDEX(세부시간표!$A$3:$L$1183,9*CJ4,11),4))</x:f>
        <x:v>1교육실</x:v>
      </x:c>
      <x:c r="CK37" s="65" t="str">
        <x:f>IF(OR(CK4&lt;0,CK4=CJ4,ISERROR(INDEX(세부시간표!$A$3:$L$1183,9*CK4,11))),"",LEFT(INDEX(세부시간표!$A$3:$L$1183,9*CK4,11),4))</x:f>
        <x:v>1교육실</x:v>
      </x:c>
      <x:c r="CL37" s="65" t="str">
        <x:f>IF(OR(CL4&lt;0,CL4=CK4,ISERROR(INDEX(세부시간표!$A$3:$L$1183,9*CL4,11))),"",LEFT(INDEX(세부시간표!$A$3:$L$1183,9*CL4,11),4))</x:f>
        <x:v>1교육실</x:v>
      </x:c>
      <x:c r="CM37" s="65" t="str">
        <x:f>IF(OR(CM4&lt;0,CM4=CL4,ISERROR(INDEX(세부시간표!$A$3:$L$1183,9*CM4,11))),"",LEFT(INDEX(세부시간표!$A$3:$L$1183,9*CM4,11),4))</x:f>
        <x:v>1교육실</x:v>
      </x:c>
      <x:c r="CN37" s="65" t="str">
        <x:f>IF(OR(CN4&lt;0,CN4=CM4,ISERROR(INDEX(세부시간표!$A$3:$L$1183,9*CN4,11))),"",LEFT(INDEX(세부시간표!$A$3:$L$1183,9*CN4,11),4))</x:f>
        <x:v>1교육실</x:v>
      </x:c>
      <x:c r="CO37" s="65" t="str">
        <x:f>IF(OR(CO4&lt;0,CO4=CN4,ISERROR(INDEX(세부시간표!$A$3:$L$1183,9*CO4,11))),"",LEFT(INDEX(세부시간표!$A$3:$L$1183,9*CO4,11),4))</x:f>
        <x:v>1교육실</x:v>
      </x:c>
      <x:c r="CP37" s="65" t="str">
        <x:f>IF(OR(CP4&lt;0,CP4=CO4,ISERROR(INDEX(세부시간표!$A$3:$L$1183,9*CP4,11))),"",LEFT(INDEX(세부시간표!$A$3:$L$1183,9*CP4,11),4))</x:f>
        <x:v>1교육실</x:v>
      </x:c>
      <x:c r="CQ37" s="65" t="str">
        <x:f>IF(OR(CQ4&lt;0,CQ4=CP4,ISERROR(INDEX(세부시간표!$A$3:$L$1183,9*CQ4,11))),"",LEFT(INDEX(세부시간표!$A$3:$L$1183,9*CQ4,11),4))</x:f>
        <x:v>1교육실</x:v>
      </x:c>
      <x:c r="CR37" s="65" t="str">
        <x:f>IF(OR(CR4&lt;0,CR4=CQ4,ISERROR(INDEX(세부시간표!$A$3:$L$1183,9*CR4,11))),"",LEFT(INDEX(세부시간표!$A$3:$L$1183,9*CR4,11),4))</x:f>
        <x:v>1교육실</x:v>
      </x:c>
      <x:c r="CS37" s="65" t="str">
        <x:f>IF(OR(CS4&lt;0,CS4=CR4,ISERROR(INDEX(세부시간표!$A$3:$L$1183,9*CS4,11))),"",LEFT(INDEX(세부시간표!$A$3:$L$1183,9*CS4,11),4))</x:f>
        <x:v>1교육실</x:v>
      </x:c>
      <x:c r="CT37" s="65" t="str">
        <x:f>IF(OR(CT4&lt;0,CT4=CS4,ISERROR(INDEX(세부시간표!$A$3:$L$1183,9*CT4,11))),"",LEFT(INDEX(세부시간표!$A$3:$L$1183,9*CT4,11),4))</x:f>
        <x:v>1교육실</x:v>
      </x:c>
      <x:c r="CU37" s="65" t="str">
        <x:f>IF(OR(CU4&lt;0,CU4=CT4,ISERROR(INDEX(세부시간표!$A$3:$L$1183,9*CU4,11))),"",LEFT(INDEX(세부시간표!$A$3:$L$1183,9*CU4,11),4))</x:f>
        <x:v>1교육실</x:v>
      </x:c>
      <x:c r="CV37" s="65" t="str">
        <x:f>IF(OR(CV4&lt;0,CV4=CU4,ISERROR(INDEX(세부시간표!$A$3:$L$1183,9*CV4,11))),"",LEFT(INDEX(세부시간표!$A$3:$L$1183,9*CV4,11),4))</x:f>
        <x:v>1교육실</x:v>
      </x:c>
      <x:c r="CW37" s="65" t="str">
        <x:f>IF(OR(CW4&lt;0,CW4=CV4,ISERROR(INDEX(세부시간표!$A$3:$L$1183,9*CW4,11))),"",LEFT(INDEX(세부시간표!$A$3:$L$1183,9*CW4,11),4))</x:f>
        <x:v>1교육실</x:v>
      </x:c>
      <x:c r="CX37" s="65" t="str">
        <x:f>IF(OR(CX4&lt;0,CX4=CW4,ISERROR(INDEX(세부시간표!$A$3:$L$1183,9*CX4,11))),"",LEFT(INDEX(세부시간표!$A$3:$L$1183,9*CX4,11),4))</x:f>
        <x:v>1교육실</x:v>
      </x:c>
      <x:c r="CY37" s="65" t="str">
        <x:f>IF(OR(CY4&lt;0,CY4=CX4,ISERROR(INDEX(세부시간표!$A$3:$L$1183,9*CY4,11))),"",LEFT(INDEX(세부시간표!$A$3:$L$1183,9*CY4,11),4))</x:f>
        <x:v>1교육실</x:v>
      </x:c>
      <x:c r="CZ37" s="65" t="str">
        <x:f>IF(OR(CZ4&lt;0,CZ4=CY4,ISERROR(INDEX(세부시간표!$A$3:$L$1183,9*CZ4,11))),"",LEFT(INDEX(세부시간표!$A$3:$L$1183,9*CZ4,11),4))</x:f>
        <x:v>1교육실</x:v>
      </x:c>
      <x:c r="DA37" s="65" t="str">
        <x:f>IF(OR(DA4&lt;0,DA4=CZ4,ISERROR(INDEX(세부시간표!$A$3:$L$1183,9*DA4,11))),"",LEFT(INDEX(세부시간표!$A$3:$L$1183,9*DA4,11),4))</x:f>
        <x:v>1교육실</x:v>
      </x:c>
      <x:c r="DB37" s="65" t="str">
        <x:f>IF(OR(DB4&lt;0,DB4=DA4,ISERROR(INDEX(세부시간표!$A$3:$L$1183,9*DB4,11))),"",LEFT(INDEX(세부시간표!$A$3:$L$1183,9*DB4,11),4))</x:f>
        <x:v>1교육실</x:v>
      </x:c>
      <x:c r="DC37" s="65" t="str">
        <x:f>IF(OR(DC4&lt;0,DC4=DB4,ISERROR(INDEX(세부시간표!$A$3:$L$1183,9*DC4,11))),"",LEFT(INDEX(세부시간표!$A$3:$L$1183,9*DC4,11),4))</x:f>
        <x:v/>
      </x:c>
      <x:c r="DD37" s="65" t="str">
        <x:f>IF(OR(DD4&lt;0,DD4=DC4,ISERROR(INDEX(세부시간표!$A$3:$L$1183,9*DD4,11))),"",LEFT(INDEX(세부시간표!$A$3:$L$1183,9*DD4,11),4))</x:f>
        <x:v/>
      </x:c>
      <x:c r="DE37" s="65" t="str">
        <x:f>IF(OR(DE4&lt;0,DE4=DD4,ISERROR(INDEX(세부시간표!$A$3:$L$1183,9*DE4,11))),"",LEFT(INDEX(세부시간표!$A$3:$L$1183,9*DE4,11),4))</x:f>
        <x:v/>
      </x:c>
      <x:c r="DF37" s="65" t="str">
        <x:f>IF(OR(DF4&lt;0,DF4=DE4,ISERROR(INDEX(세부시간표!$A$3:$L$1183,9*DF4,11))),"",LEFT(INDEX(세부시간표!$A$3:$L$1183,9*DF4,11),4))</x:f>
        <x:v>1교육실</x:v>
      </x:c>
      <x:c r="DG37" s="65" t="str">
        <x:f>IF(OR(DG4&lt;0,DG4=DF4,ISERROR(INDEX(세부시간표!$A$3:$L$1183,9*DG4,11))),"",LEFT(INDEX(세부시간표!$A$3:$L$1183,9*DG4,11),4))</x:f>
        <x:v>1교육실</x:v>
      </x:c>
      <x:c r="DH37" s="65" t="str">
        <x:f>IF(OR(DH4&lt;0,DH4=DG4,ISERROR(INDEX(세부시간표!$A$3:$L$1183,9*DH4,11))),"",LEFT(INDEX(세부시간표!$A$3:$L$1183,9*DH4,11),4))</x:f>
        <x:v>1교육실</x:v>
      </x:c>
      <x:c r="DI37" s="65" t="str">
        <x:f>IF(OR(DI4&lt;0,DI4=DH4,ISERROR(INDEX(세부시간표!$A$3:$L$1183,9*DI4,11))),"",LEFT(INDEX(세부시간표!$A$3:$L$1183,9*DI4,11),4))</x:f>
        <x:v>1교육실</x:v>
      </x:c>
      <x:c r="DJ37" s="65" t="str">
        <x:f>IF(OR(DJ4&lt;0,DJ4=DI4,ISERROR(INDEX(세부시간표!$A$3:$L$1183,9*DJ4,11))),"",LEFT(INDEX(세부시간표!$A$3:$L$1183,9*DJ4,11),4))</x:f>
        <x:v>1교육실</x:v>
      </x:c>
      <x:c r="DK37" s="65" t="str">
        <x:f>IF(OR(DK4&lt;0,DK4=DJ4,ISERROR(INDEX(세부시간표!$A$3:$L$1183,9*DK4,11))),"",LEFT(INDEX(세부시간표!$A$3:$L$1183,9*DK4,11),4))</x:f>
        <x:v>1교육실</x:v>
      </x:c>
      <x:c r="DL37" s="65" t="str">
        <x:f>IF(OR(DL4&lt;0,DL4=DK4,ISERROR(INDEX(세부시간표!$A$3:$L$1183,9*DL4,11))),"",LEFT(INDEX(세부시간표!$A$3:$L$1183,9*DL4,11),4))</x:f>
        <x:v>1교육실</x:v>
      </x:c>
      <x:c r="DM37" s="65" t="str">
        <x:f>IF(OR(DM4&lt;0,DM4=DL4,ISERROR(INDEX(세부시간표!$A$3:$L$1183,9*DM4,11))),"",LEFT(INDEX(세부시간표!$A$3:$L$1183,9*DM4,11),4))</x:f>
        <x:v/>
      </x:c>
      <x:c r="DN37" s="65" t="str">
        <x:f>IF(OR(DN4&lt;0,DN4=DM4,ISERROR(INDEX(세부시간표!$A$3:$L$1183,9*DN4,11))),"",LEFT(INDEX(세부시간표!$A$3:$L$1183,9*DN4,11),4))</x:f>
        <x:v>1교육실</x:v>
      </x:c>
      <x:c r="DO37" s="65" t="str">
        <x:f>IF(OR(DO4&lt;0,DO4=DN4,ISERROR(INDEX(세부시간표!$A$3:$L$1183,9*DO4,11))),"",LEFT(INDEX(세부시간표!$A$3:$L$1183,9*DO4,11),4))</x:f>
        <x:v>1교육실</x:v>
      </x:c>
      <x:c r="DP37" s="65" t="str">
        <x:f>IF(OR(DP4&lt;0,DP4=DO4,ISERROR(INDEX(세부시간표!$A$3:$L$1183,9*DP4,11))),"",LEFT(INDEX(세부시간표!$A$3:$L$1183,9*DP4,11),4))</x:f>
        <x:v>1교육실</x:v>
      </x:c>
      <x:c r="DQ37" s="65" t="str">
        <x:f>IF(OR(DQ4&lt;0,DQ4=DP4,ISERROR(INDEX(세부시간표!$A$3:$L$1183,9*DQ4,11))),"",LEFT(INDEX(세부시간표!$A$3:$L$1183,9*DQ4,11),4))</x:f>
        <x:v>1교육실</x:v>
      </x:c>
      <x:c r="DR37" s="65" t="str">
        <x:f>IF(OR(DR4&lt;0,DR4=DQ4,ISERROR(INDEX(세부시간표!$A$3:$L$1183,9*DR4,11))),"",LEFT(INDEX(세부시간표!$A$3:$L$1183,9*DR4,11),4))</x:f>
        <x:v>1교육실</x:v>
      </x:c>
      <x:c r="DS37" s="65" t="str">
        <x:f>IF(OR(DS4&lt;0,DS4=DR4,ISERROR(INDEX(세부시간표!$A$3:$L$1183,9*DS4,11))),"",LEFT(INDEX(세부시간표!$A$3:$L$1183,9*DS4,11),4))</x:f>
        <x:v>1교육실</x:v>
      </x:c>
      <x:c r="DT37" s="65" t="str">
        <x:f>IF(OR(DT4&lt;0,DT4=DS4,ISERROR(INDEX(세부시간표!$A$3:$L$1183,9*DT4,11))),"",LEFT(INDEX(세부시간표!$A$3:$L$1183,9*DT4,11),4))</x:f>
        <x:v>1교육실</x:v>
      </x:c>
      <x:c r="DU37" s="65" t="str">
        <x:f>IF(OR(DU4&lt;0,DU4=DT4,ISERROR(INDEX(세부시간표!$A$3:$L$1183,9*DU4,11))),"",LEFT(INDEX(세부시간표!$A$3:$L$1183,9*DU4,11),4))</x:f>
        <x:v>1교육실</x:v>
      </x:c>
      <x:c r="DV37" s="65" t="str">
        <x:f>IF(OR(DV4&lt;0,DV4=DU4,ISERROR(INDEX(세부시간표!$A$3:$L$1183,9*DV4,11))),"",LEFT(INDEX(세부시간표!$A$3:$L$1183,9*DV4,11),4))</x:f>
        <x:v>1교육실</x:v>
      </x:c>
      <x:c r="DW37" s="65" t="str">
        <x:f>IF(OR(DW4&lt;0,DW4=DV4,ISERROR(INDEX(세부시간표!$A$3:$L$1183,9*DW4,11))),"",LEFT(INDEX(세부시간표!$A$3:$L$1183,9*DW4,11),4))</x:f>
        <x:v>1교육실</x:v>
      </x:c>
      <x:c r="DX37" s="65" t="str">
        <x:f>IF(OR(DX4&lt;0,DX4=DW4,ISERROR(INDEX(세부시간표!$A$3:$L$1183,9*DX4,11))),"",LEFT(INDEX(세부시간표!$A$3:$L$1183,9*DX4,11),4))</x:f>
        <x:v>1교육실</x:v>
      </x:c>
      <x:c r="DY37" s="65" t="str">
        <x:f>IF(OR(DY4&lt;0,DY4=DX4,ISERROR(INDEX(세부시간표!$A$3:$L$1183,9*DY4,11))),"",LEFT(INDEX(세부시간표!$A$3:$L$1183,9*DY4,11),4))</x:f>
        <x:v>1교육실</x:v>
      </x:c>
      <x:c r="DZ37" s="65" t="str">
        <x:f>IF(OR(DZ4&lt;0,DZ4=DY4,ISERROR(INDEX(세부시간표!$A$3:$L$1183,9*DZ4,11))),"",LEFT(INDEX(세부시간표!$A$3:$L$1183,9*DZ4,11),4))</x:f>
        <x:v>1교육실</x:v>
      </x:c>
      <x:c r="EA37" s="65" t="str">
        <x:f>IF(OR(EA4&lt;0,EA4=DZ4,ISERROR(INDEX(세부시간표!$A$3:$L$1183,9*EA4,11))),"",LEFT(INDEX(세부시간표!$A$3:$L$1183,9*EA4,11),4))</x:f>
        <x:v>1교육실</x:v>
      </x:c>
      <x:c r="EB37" s="65" t="str">
        <x:f>IF(OR(EB4&lt;0,EB4=EA4,ISERROR(INDEX(세부시간표!$A$3:$L$1183,9*EB4,11))),"",LEFT(INDEX(세부시간표!$A$3:$L$1183,9*EB4,11),4))</x:f>
        <x:v>1교육실</x:v>
      </x:c>
      <x:c r="EC37" s="65" t="str">
        <x:f>IF(OR(EC4&lt;0,EC4=EB4,ISERROR(INDEX(세부시간표!$A$3:$L$1183,9*EC4,11))),"",LEFT(INDEX(세부시간표!$A$3:$L$1183,9*EC4,11),4))</x:f>
        <x:v>1교육실</x:v>
      </x:c>
      <x:c r="ED37" s="65" t="str">
        <x:f>IF(OR(ED4&lt;0,ED4=EC4,ISERROR(INDEX(세부시간표!$A$3:$L$1183,9*ED4,11))),"",LEFT(INDEX(세부시간표!$A$3:$L$1183,9*ED4,11),4))</x:f>
        <x:v>1교육실</x:v>
      </x:c>
      <x:c r="EE37" s="65" t="str">
        <x:f>IF(OR(EE4&lt;0,EE4=ED4,ISERROR(INDEX(세부시간표!$A$3:$L$1183,9*EE4,11))),"",LEFT(INDEX(세부시간표!$A$3:$L$1183,9*EE4,11),4))</x:f>
        <x:v/>
      </x:c>
      <x:c r="EF37" s="65" t="str">
        <x:f>IF(OR(EF4&lt;0,EF4=EE4,ISERROR(INDEX(세부시간표!$A$3:$L$1183,9*EF4,11))),"",LEFT(INDEX(세부시간표!$A$3:$L$1183,9*EF4,11),4))</x:f>
        <x:v/>
      </x:c>
      <x:c r="EG37" s="65" t="str">
        <x:f>IF(OR(EG4&lt;0,EG4=EF4,ISERROR(INDEX(세부시간표!$A$3:$L$1183,9*EG4,11))),"",LEFT(INDEX(세부시간표!$A$3:$L$1183,9*EG4,11),4))</x:f>
        <x:v/>
      </x:c>
      <x:c r="EH37" s="65" t="str">
        <x:f>IF(OR(EH4&lt;0,EH4=EG4,ISERROR(INDEX(세부시간표!$A$3:$L$1183,9*EH4,11))),"",LEFT(INDEX(세부시간표!$A$3:$L$1183,9*EH4,11),4))</x:f>
        <x:v/>
      </x:c>
      <x:c r="EI37" s="65" t="str">
        <x:f>IF(OR(EI4&lt;0,EI4=EH4,ISERROR(INDEX(세부시간표!$A$3:$L$1183,9*EI4,11))),"",LEFT(INDEX(세부시간표!$A$3:$L$1183,9*EI4,11),4))</x:f>
        <x:v/>
      </x:c>
      <x:c r="EJ37" s="65" t="str">
        <x:f>IF(OR(EJ4&lt;0,EJ4=EI4,ISERROR(INDEX(세부시간표!$A$3:$L$1183,9*EJ4,11))),"",LEFT(INDEX(세부시간표!$A$3:$L$1183,9*EJ4,11),4))</x:f>
        <x:v/>
      </x:c>
      <x:c r="EK37" s="65" t="str">
        <x:f>IF(OR(EK4&lt;0,EK4=EJ4,ISERROR(INDEX(세부시간표!$A$3:$L$1183,9*EK4,11))),"",LEFT(INDEX(세부시간표!$A$3:$L$1183,9*EK4,11),4))</x:f>
        <x:v/>
      </x:c>
      <x:c r="EL37" s="49" t="str">
        <x:f>IF(OR(EL4&lt;0,EL4=EK4,ISERROR(INDEX(세부시간표!$A$3:$L$1183,9*EL4,11))),"",INDEX(세부시간표!$A$3:$L$1183,9*EL4,11))</x:f>
        <x:v/>
      </x:c>
      <x:c r="EM37" s="48" t="str">
        <x:f>IF(OR(EM4&lt;0,EM4=EL4,ISERROR(INDEX(세부시간표!$A$3:$L$1183,9*EM4,11))),"",INDEX(세부시간표!$A$3:$L$1183,9*EM4,11))</x:f>
        <x:v/>
      </x:c>
      <x:c r="EN37" s="48" t="str">
        <x:f>IF(OR(EN4&lt;0,EN4=EM4,ISERROR(INDEX(세부시간표!$A$3:$L$1183,9*EN4,11))),"",INDEX(세부시간표!$A$3:$L$1183,9*EN4,11))</x:f>
        <x:v/>
      </x:c>
      <x:c r="EO37" s="48" t="str">
        <x:f>IF(OR(EO4&lt;0,EO4=EN4,ISERROR(INDEX(세부시간표!$A$3:$L$1183,9*EO4,11))),"",INDEX(세부시간표!$A$3:$L$1183,9*EO4,11))</x:f>
        <x:v/>
      </x:c>
      <x:c r="EP37" s="50" t="str">
        <x:f>IF(OR(EP4&lt;0,EP4=EO4,ISERROR(INDEX(세부시간표!$A$3:$L$1183,9*EP4,11))),"",INDEX(세부시간표!$A$3:$L$1183,9*EP4,11))</x:f>
        <x:v/>
      </x:c>
    </x:row>
    <x:row r="38" spans="1:146" s="47" customFormat="1" ht="15" customHeight="1">
      <x:c r="A38" s="279"/>
      <x:c r="B38" s="66" t="str">
        <x:f>IF(OR(B4&lt;0,B4=A4,ISERROR(INDEX(세부시간표!$A$3:$L$1183,9*B4,12))),"",INDEX(세부시간표!$A$3:$L$1183,9*B4,12))</x:f>
        <x:v>양현수</x:v>
      </x:c>
      <x:c r="C38" s="66" t="str">
        <x:f>IF(OR(C4&lt;0,C4=B4,ISERROR(INDEX(세부시간표!$A$3:$L$1183,9*C4,12))),"",INDEX(세부시간표!$A$3:$L$1183,9*C4,12))</x:f>
        <x:v>양현수</x:v>
      </x:c>
      <x:c r="D38" s="66" t="str">
        <x:f>IF(OR(D4&lt;0,D4=C4,ISERROR(INDEX(세부시간표!$A$3:$L$1183,9*D4,12))),"",INDEX(세부시간표!$A$3:$L$1183,9*D4,12))</x:f>
        <x:v>양현수</x:v>
      </x:c>
      <x:c r="E38" s="66" t="str">
        <x:f>IF(OR(E4&lt;0,E4=D4,ISERROR(INDEX(세부시간표!$A$3:$L$1183,9*E4,12))),"",INDEX(세부시간표!$A$3:$L$1183,9*E4,12))</x:f>
        <x:v>양현수</x:v>
      </x:c>
      <x:c r="F38" s="66" t="str">
        <x:f>IF(OR(F4&lt;0,F4=E4,ISERROR(INDEX(세부시간표!$A$3:$L$1183,9*F4,12))),"",INDEX(세부시간표!$A$3:$L$1183,9*F4,12))</x:f>
        <x:v>양현수</x:v>
      </x:c>
      <x:c r="G38" s="66" t="str">
        <x:f>IF(OR(G4&lt;0,G4=F4,ISERROR(INDEX(세부시간표!$A$3:$L$1183,9*G4,12))),"",INDEX(세부시간표!$A$3:$L$1183,9*G4,12))</x:f>
        <x:v>양현수</x:v>
      </x:c>
      <x:c r="H38" s="66" t="str">
        <x:f>IF(OR(H4&lt;0,H4=G4,ISERROR(INDEX(세부시간표!$A$3:$L$1183,9*H4,12))),"",INDEX(세부시간표!$A$3:$L$1183,9*H4,12))</x:f>
        <x:v>양현수</x:v>
      </x:c>
      <x:c r="I38" s="66" t="str">
        <x:f>IF(OR(I4&lt;0,I4=H4,ISERROR(INDEX(세부시간표!$A$3:$L$1183,9*I4,12))),"",INDEX(세부시간표!$A$3:$L$1183,9*I4,12))</x:f>
        <x:v>양현수</x:v>
      </x:c>
      <x:c r="J38" s="66" t="str">
        <x:f>IF(OR(J4&lt;0,J4=I4,ISERROR(INDEX(세부시간표!$A$3:$L$1183,9*J4,12))),"",INDEX(세부시간표!$A$3:$L$1183,9*J4,12))</x:f>
        <x:v>양현수</x:v>
      </x:c>
      <x:c r="K38" s="66" t="str">
        <x:f>IF(OR(K4&lt;0,K4=J4,ISERROR(INDEX(세부시간표!$A$3:$L$1183,9*K4,12))),"",INDEX(세부시간표!$A$3:$L$1183,9*K4,12))</x:f>
        <x:v/>
      </x:c>
      <x:c r="L38" s="66" t="str">
        <x:f>IF(OR(L4&lt;0,L4=K4,ISERROR(INDEX(세부시간표!$A$3:$L$1183,9*L4,12))),"",INDEX(세부시간표!$A$3:$L$1183,9*L4,12))</x:f>
        <x:v/>
      </x:c>
      <x:c r="M38" s="66" t="str">
        <x:f>IF(OR(M4&lt;0,M4=L4,ISERROR(INDEX(세부시간표!$A$3:$L$1183,9*M4,12))),"",INDEX(세부시간표!$A$3:$L$1183,9*M4,12))</x:f>
        <x:v/>
      </x:c>
      <x:c r="N38" s="66" t="str">
        <x:f>IF(OR(N4&lt;0,N4=M4,ISERROR(INDEX(세부시간표!$A$3:$L$1183,9*N4,12))),"",INDEX(세부시간표!$A$3:$L$1183,9*N4,12))</x:f>
        <x:v/>
      </x:c>
      <x:c r="O38" s="66" t="str">
        <x:f>IF(OR(O4&lt;0,O4=N4,ISERROR(INDEX(세부시간표!$A$3:$L$1183,9*O4,12))),"",INDEX(세부시간표!$A$3:$L$1183,9*O4,12))</x:f>
        <x:v/>
      </x:c>
      <x:c r="P38" s="66" t="str">
        <x:f>IF(OR(P4&lt;0,P4=O4,ISERROR(INDEX(세부시간표!$A$3:$L$1183,9*P4,12))),"",INDEX(세부시간표!$A$3:$L$1183,9*P4,12))</x:f>
        <x:v>양현수</x:v>
      </x:c>
      <x:c r="Q38" s="66" t="str">
        <x:f>IF(OR(Q4&lt;0,Q4=P4,ISERROR(INDEX(세부시간표!$A$3:$L$1183,9*Q4,12))),"",INDEX(세부시간표!$A$3:$L$1183,9*Q4,12))</x:f>
        <x:v>양현수</x:v>
      </x:c>
      <x:c r="R38" s="66" t="str">
        <x:f>IF(OR(R4&lt;0,R4=Q4,ISERROR(INDEX(세부시간표!$A$3:$L$1183,9*R4,12))),"",INDEX(세부시간표!$A$3:$L$1183,9*R4,12))</x:f>
        <x:v>양현수</x:v>
      </x:c>
      <x:c r="S38" s="66" t="str">
        <x:f>IF(OR(S4&lt;0,S4=R4,ISERROR(INDEX(세부시간표!$A$3:$L$1183,9*S4,12))),"",INDEX(세부시간표!$A$3:$L$1183,9*S4,12))</x:f>
        <x:v>양현수</x:v>
      </x:c>
      <x:c r="T38" s="66" t="str">
        <x:f>IF(OR(T4&lt;0,T4=S4,ISERROR(INDEX(세부시간표!$A$3:$L$1183,9*T4,12))),"",INDEX(세부시간표!$A$3:$L$1183,9*T4,12))</x:f>
        <x:v>양현수</x:v>
      </x:c>
      <x:c r="U38" s="66" t="str">
        <x:f>IF(OR(U4&lt;0,U4=T4,ISERROR(INDEX(세부시간표!$A$3:$L$1183,9*U4,12))),"",INDEX(세부시간표!$A$3:$L$1183,9*U4,12))</x:f>
        <x:v>양현수</x:v>
      </x:c>
      <x:c r="V38" s="66" t="str">
        <x:f>IF(OR(V4&lt;0,V4=U4,ISERROR(INDEX(세부시간표!$A$3:$L$1183,9*V4,12))),"",INDEX(세부시간표!$A$3:$L$1183,9*V4,12))</x:f>
        <x:v>양현수</x:v>
      </x:c>
      <x:c r="W38" s="66" t="str">
        <x:f>IF(OR(W4&lt;0,W4=V4,ISERROR(INDEX(세부시간표!$A$3:$L$1183,9*W4,12))),"",INDEX(세부시간표!$A$3:$L$1183,9*W4,12))</x:f>
        <x:v>양현수</x:v>
      </x:c>
      <x:c r="X38" s="66" t="str">
        <x:f>IF(OR(X4&lt;0,X4=W4,ISERROR(INDEX(세부시간표!$A$3:$L$1183,9*X4,12))),"",INDEX(세부시간표!$A$3:$L$1183,9*X4,12))</x:f>
        <x:v>양현수</x:v>
      </x:c>
      <x:c r="Y38" s="66" t="str">
        <x:f>IF(OR(Y4&lt;0,Y4=X4,ISERROR(INDEX(세부시간표!$A$3:$L$1183,9*Y4,12))),"",INDEX(세부시간표!$A$3:$L$1183,9*Y4,12))</x:f>
        <x:v>양현수</x:v>
      </x:c>
      <x:c r="Z38" s="66" t="str">
        <x:f>IF(OR(Z4&lt;0,Z4=Y4,ISERROR(INDEX(세부시간표!$A$3:$L$1183,9*Z4,12))),"",INDEX(세부시간표!$A$3:$L$1183,9*Z4,12))</x:f>
        <x:v>양현수</x:v>
      </x:c>
      <x:c r="AA38" s="66" t="str">
        <x:f>IF(OR(AA4&lt;0,AA4=Z4,ISERROR(INDEX(세부시간표!$A$3:$L$1183,9*AA4,12))),"",INDEX(세부시간표!$A$3:$L$1183,9*AA4,12))</x:f>
        <x:v>양현수</x:v>
      </x:c>
      <x:c r="AB38" s="66" t="str">
        <x:f>IF(OR(AB4&lt;0,AB4=AA4,ISERROR(INDEX(세부시간표!$A$3:$L$1183,9*AB4,12))),"",INDEX(세부시간표!$A$3:$L$1183,9*AB4,12))</x:f>
        <x:v>양현수</x:v>
      </x:c>
      <x:c r="AC38" s="66" t="str">
        <x:f>IF(OR(AC4&lt;0,AC4=AB4,ISERROR(INDEX(세부시간표!$A$3:$L$1183,9*AC4,12))),"",INDEX(세부시간표!$A$3:$L$1183,9*AC4,12))</x:f>
        <x:v>양현수</x:v>
      </x:c>
      <x:c r="AD38" s="66" t="str">
        <x:f>IF(OR(AD4&lt;0,AD4=AC4,ISERROR(INDEX(세부시간표!$A$3:$L$1183,9*AD4,12))),"",INDEX(세부시간표!$A$3:$L$1183,9*AD4,12))</x:f>
        <x:v>양현수</x:v>
      </x:c>
      <x:c r="AE38" s="66" t="str">
        <x:f>IF(OR(AE4&lt;0,AE4=AD4,ISERROR(INDEX(세부시간표!$A$3:$L$1183,9*AE4,12))),"",INDEX(세부시간표!$A$3:$L$1183,9*AE4,12))</x:f>
        <x:v>양현수</x:v>
      </x:c>
      <x:c r="AF38" s="66" t="str">
        <x:f>IF(OR(AF4&lt;0,AF4=AE4,ISERROR(INDEX(세부시간표!$A$3:$L$1183,9*AF4,12))),"",INDEX(세부시간표!$A$3:$L$1183,9*AF4,12))</x:f>
        <x:v>양현수</x:v>
      </x:c>
      <x:c r="AG38" s="66" t="str">
        <x:f>IF(OR(AG4&lt;0,AG4=AF4,ISERROR(INDEX(세부시간표!$A$3:$L$1183,9*AG4,12))),"",INDEX(세부시간표!$A$3:$L$1183,9*AG4,12))</x:f>
        <x:v>양현수</x:v>
      </x:c>
      <x:c r="AH38" s="66" t="str">
        <x:f>IF(OR(AH4&lt;0,AH4=AG4,ISERROR(INDEX(세부시간표!$A$3:$L$1183,9*AH4,12))),"",INDEX(세부시간표!$A$3:$L$1183,9*AH4,12))</x:f>
        <x:v>양현수</x:v>
      </x:c>
      <x:c r="AI38" s="66" t="str">
        <x:f>IF(OR(AI4&lt;0,AI4=AH4,ISERROR(INDEX(세부시간표!$A$3:$L$1183,9*AI4,12))),"",INDEX(세부시간표!$A$3:$L$1183,9*AI4,12))</x:f>
        <x:v>양현수</x:v>
      </x:c>
      <x:c r="AJ38" s="66" t="str">
        <x:f>IF(OR(AJ4&lt;0,AJ4=AI4,ISERROR(INDEX(세부시간표!$A$3:$L$1183,9*AJ4,12))),"",INDEX(세부시간표!$A$3:$L$1183,9*AJ4,12))</x:f>
        <x:v>양현수</x:v>
      </x:c>
      <x:c r="AK38" s="66" t="str">
        <x:f>IF(OR(AK4&lt;0,AK4=AJ4,ISERROR(INDEX(세부시간표!$A$3:$L$1183,9*AK4,12))),"",INDEX(세부시간표!$A$3:$L$1183,9*AK4,12))</x:f>
        <x:v>양현수</x:v>
      </x:c>
      <x:c r="AL38" s="66" t="str">
        <x:f>IF(OR(AL4&lt;0,AL4=AK4,ISERROR(INDEX(세부시간표!$A$3:$L$1183,9*AL4,12))),"",INDEX(세부시간표!$A$3:$L$1183,9*AL4,12))</x:f>
        <x:v>양현수</x:v>
      </x:c>
      <x:c r="AM38" s="66" t="str">
        <x:f>IF(OR(AM4&lt;0,AM4=AL4,ISERROR(INDEX(세부시간표!$A$3:$L$1183,9*AM4,12))),"",INDEX(세부시간표!$A$3:$L$1183,9*AM4,12))</x:f>
        <x:v>양현수</x:v>
      </x:c>
      <x:c r="AN38" s="66" t="str">
        <x:f>IF(OR(AN4&lt;0,AN4=AM4,ISERROR(INDEX(세부시간표!$A$3:$L$1183,9*AN4,12))),"",INDEX(세부시간표!$A$3:$L$1183,9*AN4,12))</x:f>
        <x:v>양현수</x:v>
      </x:c>
      <x:c r="AO38" s="66" t="str">
        <x:f>IF(OR(AO4&lt;0,AO4=AN4,ISERROR(INDEX(세부시간표!$A$3:$L$1183,9*AO4,12))),"",INDEX(세부시간표!$A$3:$L$1183,9*AO4,12))</x:f>
        <x:v>양현수</x:v>
      </x:c>
      <x:c r="AP38" s="66" t="str">
        <x:f>IF(OR(AP4&lt;0,AP4=AO4,ISERROR(INDEX(세부시간표!$A$3:$L$1183,9*AP4,12))),"",INDEX(세부시간표!$A$3:$L$1183,9*AP4,12))</x:f>
        <x:v>양현수</x:v>
      </x:c>
      <x:c r="AQ38" s="66" t="str">
        <x:f>IF(OR(AQ4&lt;0,AQ4=AP4,ISERROR(INDEX(세부시간표!$A$3:$L$1183,9*AQ4,12))),"",INDEX(세부시간표!$A$3:$L$1183,9*AQ4,12))</x:f>
        <x:v>양현수</x:v>
      </x:c>
      <x:c r="AR38" s="66" t="str">
        <x:f>IF(OR(AR4&lt;0,AR4=AQ4,ISERROR(INDEX(세부시간표!$A$3:$L$1183,9*AR4,12))),"",INDEX(세부시간표!$A$3:$L$1183,9*AR4,12))</x:f>
        <x:v>양현수</x:v>
      </x:c>
      <x:c r="AS38" s="66" t="str">
        <x:f>IF(OR(AS4&lt;0,AS4=AR4,ISERROR(INDEX(세부시간표!$A$3:$L$1183,9*AS4,12))),"",INDEX(세부시간표!$A$3:$L$1183,9*AS4,12))</x:f>
        <x:v>양현수</x:v>
      </x:c>
      <x:c r="AT38" s="66" t="str">
        <x:f>IF(OR(AT4&lt;0,AT4=AS4,ISERROR(INDEX(세부시간표!$A$3:$L$1183,9*AT4,12))),"",INDEX(세부시간표!$A$3:$L$1183,9*AT4,12))</x:f>
        <x:v>양현수</x:v>
      </x:c>
      <x:c r="AU38" s="66" t="str">
        <x:f>IF(OR(AU4&lt;0,AU4=AT4,ISERROR(INDEX(세부시간표!$A$3:$L$1183,9*AU4,12))),"",INDEX(세부시간표!$A$3:$L$1183,9*AU4,12))</x:f>
        <x:v>양현수</x:v>
      </x:c>
      <x:c r="AV38" s="66" t="str">
        <x:f>IF(OR(AV4&lt;0,AV4=AU4,ISERROR(INDEX(세부시간표!$A$3:$L$1183,9*AV4,12))),"",INDEX(세부시간표!$A$3:$L$1183,9*AV4,12))</x:f>
        <x:v>양현수</x:v>
      </x:c>
      <x:c r="AW38" s="66" t="str">
        <x:f>IF(OR(AW4&lt;0,AW4=AV4,ISERROR(INDEX(세부시간표!$A$3:$L$1183,9*AW4,12))),"",INDEX(세부시간표!$A$3:$L$1183,9*AW4,12))</x:f>
        <x:v>양현수</x:v>
      </x:c>
      <x:c r="AX38" s="66" t="str">
        <x:f>IF(OR(AX4&lt;0,AX4=AW4,ISERROR(INDEX(세부시간표!$A$3:$L$1183,9*AX4,12))),"",INDEX(세부시간표!$A$3:$L$1183,9*AX4,12))</x:f>
        <x:v>양현수</x:v>
      </x:c>
      <x:c r="AY38" s="66" t="str">
        <x:f>IF(OR(AY4&lt;0,AY4=AX4,ISERROR(INDEX(세부시간표!$A$3:$L$1183,9*AY4,12))),"",INDEX(세부시간표!$A$3:$L$1183,9*AY4,12))</x:f>
        <x:v>양현수</x:v>
      </x:c>
      <x:c r="AZ38" s="66" t="str">
        <x:f>IF(OR(AZ4&lt;0,AZ4=AY4,ISERROR(INDEX(세부시간표!$A$3:$L$1183,9*AZ4,12))),"",INDEX(세부시간표!$A$3:$L$1183,9*AZ4,12))</x:f>
        <x:v>양현수</x:v>
      </x:c>
      <x:c r="BA38" s="66" t="str">
        <x:f>IF(OR(BA4&lt;0,BA4=AZ4,ISERROR(INDEX(세부시간표!$A$3:$L$1183,9*BA4,12))),"",INDEX(세부시간표!$A$3:$L$1183,9*BA4,12))</x:f>
        <x:v>양현수</x:v>
      </x:c>
      <x:c r="BB38" s="66" t="str">
        <x:f>IF(OR(BB4&lt;0,BB4=BA4,ISERROR(INDEX(세부시간표!$A$3:$L$1183,9*BB4,12))),"",INDEX(세부시간표!$A$3:$L$1183,9*BB4,12))</x:f>
        <x:v>양현수</x:v>
      </x:c>
      <x:c r="BC38" s="66" t="str">
        <x:f>IF(OR(BC4&lt;0,BC4=BB4,ISERROR(INDEX(세부시간표!$A$3:$L$1183,9*BC4,12))),"",INDEX(세부시간표!$A$3:$L$1183,9*BC4,12))</x:f>
        <x:v>양현수</x:v>
      </x:c>
      <x:c r="BD38" s="66" t="str">
        <x:f>IF(OR(BD4&lt;0,BD4=BC4,ISERROR(INDEX(세부시간표!$A$3:$L$1183,9*BD4,12))),"",INDEX(세부시간표!$A$3:$L$1183,9*BD4,12))</x:f>
        <x:v>양현수</x:v>
      </x:c>
      <x:c r="BE38" s="66" t="str">
        <x:f>IF(OR(BE4&lt;0,BE4=BD4,ISERROR(INDEX(세부시간표!$A$3:$L$1183,9*BE4,12))),"",INDEX(세부시간표!$A$3:$L$1183,9*BE4,12))</x:f>
        <x:v>양현수</x:v>
      </x:c>
      <x:c r="BF38" s="66" t="str">
        <x:f>IF(OR(BF4&lt;0,BF4=BE4,ISERROR(INDEX(세부시간표!$A$3:$L$1183,9*BF4,12))),"",INDEX(세부시간표!$A$3:$L$1183,9*BF4,12))</x:f>
        <x:v>양현수</x:v>
      </x:c>
      <x:c r="BG38" s="66" t="str">
        <x:f>IF(OR(BG4&lt;0,BG4=BF4,ISERROR(INDEX(세부시간표!$A$3:$L$1183,9*BG4,12))),"",INDEX(세부시간표!$A$3:$L$1183,9*BG4,12))</x:f>
        <x:v>양현수</x:v>
      </x:c>
      <x:c r="BH38" s="66" t="str">
        <x:f>IF(OR(BH4&lt;0,BH4=BG4,ISERROR(INDEX(세부시간표!$A$3:$L$1183,9*BH4,12))),"",INDEX(세부시간표!$A$3:$L$1183,9*BH4,12))</x:f>
        <x:v>양현수</x:v>
      </x:c>
      <x:c r="BI38" s="66" t="str">
        <x:f>IF(OR(BI4&lt;0,BI4=BH4,ISERROR(INDEX(세부시간표!$A$3:$L$1183,9*BI4,12))),"",INDEX(세부시간표!$A$3:$L$1183,9*BI4,12))</x:f>
        <x:v>양현수</x:v>
      </x:c>
      <x:c r="BJ38" s="66" t="str">
        <x:f>IF(OR(BJ4&lt;0,BJ4=BI4,ISERROR(INDEX(세부시간표!$A$3:$L$1183,9*BJ4,12))),"",INDEX(세부시간표!$A$3:$L$1183,9*BJ4,12))</x:f>
        <x:v>양현수</x:v>
      </x:c>
      <x:c r="BK38" s="66" t="str">
        <x:f>IF(OR(BK4&lt;0,BK4=BJ4,ISERROR(INDEX(세부시간표!$A$3:$L$1183,9*BK4,12))),"",INDEX(세부시간표!$A$3:$L$1183,9*BK4,12))</x:f>
        <x:v>양현수</x:v>
      </x:c>
      <x:c r="BL38" s="66" t="str">
        <x:f>IF(OR(BL4&lt;0,BL4=BK4,ISERROR(INDEX(세부시간표!$A$3:$L$1183,9*BL4,12))),"",INDEX(세부시간표!$A$3:$L$1183,9*BL4,12))</x:f>
        <x:v>양현수</x:v>
      </x:c>
      <x:c r="BM38" s="66" t="str">
        <x:f>IF(OR(BM4&lt;0,BM4=BL4,ISERROR(INDEX(세부시간표!$A$3:$L$1183,9*BM4,12))),"",INDEX(세부시간표!$A$3:$L$1183,9*BM4,12))</x:f>
        <x:v>양현수</x:v>
      </x:c>
      <x:c r="BN38" s="66" t="str">
        <x:f>IF(OR(BN4&lt;0,BN4=BM4,ISERROR(INDEX(세부시간표!$A$3:$L$1183,9*BN4,12))),"",INDEX(세부시간표!$A$3:$L$1183,9*BN4,12))</x:f>
        <x:v>양현수</x:v>
      </x:c>
      <x:c r="BO38" s="66" t="str">
        <x:f>IF(OR(BO4&lt;0,BO4=BN4,ISERROR(INDEX(세부시간표!$A$3:$L$1183,9*BO4,12))),"",INDEX(세부시간표!$A$3:$L$1183,9*BO4,12))</x:f>
        <x:v>양현수</x:v>
      </x:c>
      <x:c r="BP38" s="66" t="str">
        <x:f>IF(OR(BP4&lt;0,BP4=BO4,ISERROR(INDEX(세부시간표!$A$3:$L$1183,9*BP4,12))),"",INDEX(세부시간표!$A$3:$L$1183,9*BP4,12))</x:f>
        <x:v>양현수</x:v>
      </x:c>
      <x:c r="BQ38" s="66" t="str">
        <x:f>IF(OR(BQ4&lt;0,BQ4=BP4,ISERROR(INDEX(세부시간표!$A$3:$L$1183,9*BQ4,12))),"",INDEX(세부시간표!$A$3:$L$1183,9*BQ4,12))</x:f>
        <x:v>양현수</x:v>
      </x:c>
      <x:c r="BR38" s="66" t="str">
        <x:f>IF(OR(BR4&lt;0,BR4=BQ4,ISERROR(INDEX(세부시간표!$A$3:$L$1183,9*BR4,12))),"",INDEX(세부시간표!$A$3:$L$1183,9*BR4,12))</x:f>
        <x:v/>
      </x:c>
      <x:c r="BS38" s="66" t="str">
        <x:f>IF(OR(BS4&lt;0,BS4=BR4,ISERROR(INDEX(세부시간표!$A$3:$L$1183,9*BS4,12))),"",INDEX(세부시간표!$A$3:$L$1183,9*BS4,12))</x:f>
        <x:v>양현수</x:v>
      </x:c>
      <x:c r="BT38" s="66" t="str">
        <x:f>IF(OR(BT4&lt;0,BT4=BS4,ISERROR(INDEX(세부시간표!$A$3:$L$1183,9*BT4,12))),"",INDEX(세부시간표!$A$3:$L$1183,9*BT4,12))</x:f>
        <x:v>양현수</x:v>
      </x:c>
      <x:c r="BU38" s="66" t="str">
        <x:f>IF(OR(BU4&lt;0,BU4=BT4,ISERROR(INDEX(세부시간표!$A$3:$L$1183,9*BU4,12))),"",INDEX(세부시간표!$A$3:$L$1183,9*BU4,12))</x:f>
        <x:v>양현수</x:v>
      </x:c>
      <x:c r="BV38" s="66" t="str">
        <x:f>IF(OR(BV4&lt;0,BV4=BU4,ISERROR(INDEX(세부시간표!$A$3:$L$1183,9*BV4,12))),"",INDEX(세부시간표!$A$3:$L$1183,9*BV4,12))</x:f>
        <x:v>양현수</x:v>
      </x:c>
      <x:c r="BW38" s="66" t="str">
        <x:f>IF(OR(BW4&lt;0,BW4=BV4,ISERROR(INDEX(세부시간표!$A$3:$L$1183,9*BW4,12))),"",INDEX(세부시간표!$A$3:$L$1183,9*BW4,12))</x:f>
        <x:v/>
      </x:c>
      <x:c r="BX38" s="66" t="str">
        <x:f>IF(OR(BX4&lt;0,BX4=BW4,ISERROR(INDEX(세부시간표!$A$3:$L$1183,9*BX4,12))),"",INDEX(세부시간표!$A$3:$L$1183,9*BX4,12))</x:f>
        <x:v>양현수</x:v>
      </x:c>
      <x:c r="BY38" s="66" t="str">
        <x:f>IF(OR(BY4&lt;0,BY4=BX4,ISERROR(INDEX(세부시간표!$A$3:$L$1183,9*BY4,12))),"",INDEX(세부시간표!$A$3:$L$1183,9*BY4,12))</x:f>
        <x:v>양현수</x:v>
      </x:c>
      <x:c r="BZ38" s="66" t="str">
        <x:f>IF(OR(BZ4&lt;0,BZ4=BY4,ISERROR(INDEX(세부시간표!$A$3:$L$1183,9*BZ4,12))),"",INDEX(세부시간표!$A$3:$L$1183,9*BZ4,12))</x:f>
        <x:v>양현수</x:v>
      </x:c>
      <x:c r="CA38" s="66" t="str">
        <x:f>IF(OR(CA4&lt;0,CA4=BZ4,ISERROR(INDEX(세부시간표!$A$3:$L$1183,9*CA4,12))),"",INDEX(세부시간표!$A$3:$L$1183,9*CA4,12))</x:f>
        <x:v>양현수</x:v>
      </x:c>
      <x:c r="CB38" s="66" t="str">
        <x:f>IF(OR(CB4&lt;0,CB4=CA4,ISERROR(INDEX(세부시간표!$A$3:$L$1183,9*CB4,12))),"",INDEX(세부시간표!$A$3:$L$1183,9*CB4,12))</x:f>
        <x:v>양현수</x:v>
      </x:c>
      <x:c r="CC38" s="66" t="str">
        <x:f>IF(OR(CC4&lt;0,CC4=CB4,ISERROR(INDEX(세부시간표!$A$3:$L$1183,9*CC4,12))),"",INDEX(세부시간표!$A$3:$L$1183,9*CC4,12))</x:f>
        <x:v>양현수</x:v>
      </x:c>
      <x:c r="CD38" s="66" t="str">
        <x:f>IF(OR(CD4&lt;0,CD4=CC4,ISERROR(INDEX(세부시간표!$A$3:$L$1183,9*CD4,12))),"",INDEX(세부시간표!$A$3:$L$1183,9*CD4,12))</x:f>
        <x:v>양현수</x:v>
      </x:c>
      <x:c r="CE38" s="66" t="str">
        <x:f>IF(OR(CE4&lt;0,CE4=CD4,ISERROR(INDEX(세부시간표!$A$3:$L$1183,9*CE4,12))),"",INDEX(세부시간표!$A$3:$L$1183,9*CE4,12))</x:f>
        <x:v>양현수</x:v>
      </x:c>
      <x:c r="CF38" s="66" t="str">
        <x:f>IF(OR(CF4&lt;0,CF4=CE4,ISERROR(INDEX(세부시간표!$A$3:$L$1183,9*CF4,12))),"",INDEX(세부시간표!$A$3:$L$1183,9*CF4,12))</x:f>
        <x:v>양현수</x:v>
      </x:c>
      <x:c r="CG38" s="66" t="str">
        <x:f>IF(OR(CG4&lt;0,CG4=CF4,ISERROR(INDEX(세부시간표!$A$3:$L$1183,9*CG4,12))),"",INDEX(세부시간표!$A$3:$L$1183,9*CG4,12))</x:f>
        <x:v>양현수</x:v>
      </x:c>
      <x:c r="CH38" s="66" t="str">
        <x:f>IF(OR(CH4&lt;0,CH4=CG4,ISERROR(INDEX(세부시간표!$A$3:$L$1183,9*CH4,12))),"",INDEX(세부시간표!$A$3:$L$1183,9*CH4,12))</x:f>
        <x:v>양현수</x:v>
      </x:c>
      <x:c r="CI38" s="66" t="str">
        <x:f>IF(OR(CI4&lt;0,CI4=CH4,ISERROR(INDEX(세부시간표!$A$3:$L$1183,9*CI4,12))),"",INDEX(세부시간표!$A$3:$L$1183,9*CI4,12))</x:f>
        <x:v>양현수</x:v>
      </x:c>
      <x:c r="CJ38" s="66" t="str">
        <x:f>IF(OR(CJ4&lt;0,CJ4=CI4,ISERROR(INDEX(세부시간표!$A$3:$L$1183,9*CJ4,12))),"",INDEX(세부시간표!$A$3:$L$1183,9*CJ4,12))</x:f>
        <x:v>양현수</x:v>
      </x:c>
      <x:c r="CK38" s="66" t="str">
        <x:f>IF(OR(CK4&lt;0,CK4=CJ4,ISERROR(INDEX(세부시간표!$A$3:$L$1183,9*CK4,12))),"",INDEX(세부시간표!$A$3:$L$1183,9*CK4,12))</x:f>
        <x:v>양현수</x:v>
      </x:c>
      <x:c r="CL38" s="66" t="str">
        <x:f>IF(OR(CL4&lt;0,CL4=CK4,ISERROR(INDEX(세부시간표!$A$3:$L$1183,9*CL4,12))),"",INDEX(세부시간표!$A$3:$L$1183,9*CL4,12))</x:f>
        <x:v>양현수</x:v>
      </x:c>
      <x:c r="CM38" s="66" t="str">
        <x:f>IF(OR(CM4&lt;0,CM4=CL4,ISERROR(INDEX(세부시간표!$A$3:$L$1183,9*CM4,12))),"",INDEX(세부시간표!$A$3:$L$1183,9*CM4,12))</x:f>
        <x:v>양현수</x:v>
      </x:c>
      <x:c r="CN38" s="66" t="str">
        <x:f>IF(OR(CN4&lt;0,CN4=CM4,ISERROR(INDEX(세부시간표!$A$3:$L$1183,9*CN4,12))),"",INDEX(세부시간표!$A$3:$L$1183,9*CN4,12))</x:f>
        <x:v>양현수</x:v>
      </x:c>
      <x:c r="CO38" s="66" t="str">
        <x:f>IF(OR(CO4&lt;0,CO4=CN4,ISERROR(INDEX(세부시간표!$A$3:$L$1183,9*CO4,12))),"",INDEX(세부시간표!$A$3:$L$1183,9*CO4,12))</x:f>
        <x:v>양현수</x:v>
      </x:c>
      <x:c r="CP38" s="66" t="str">
        <x:f>IF(OR(CP4&lt;0,CP4=CO4,ISERROR(INDEX(세부시간표!$A$3:$L$1183,9*CP4,12))),"",INDEX(세부시간표!$A$3:$L$1183,9*CP4,12))</x:f>
        <x:v>양현수</x:v>
      </x:c>
      <x:c r="CQ38" s="66" t="str">
        <x:f>IF(OR(CQ4&lt;0,CQ4=CP4,ISERROR(INDEX(세부시간표!$A$3:$L$1183,9*CQ4,12))),"",INDEX(세부시간표!$A$3:$L$1183,9*CQ4,12))</x:f>
        <x:v>양현수</x:v>
      </x:c>
      <x:c r="CR38" s="66" t="str">
        <x:f>IF(OR(CR4&lt;0,CR4=CQ4,ISERROR(INDEX(세부시간표!$A$3:$L$1183,9*CR4,12))),"",INDEX(세부시간표!$A$3:$L$1183,9*CR4,12))</x:f>
        <x:v>양현수</x:v>
      </x:c>
      <x:c r="CS38" s="66" t="str">
        <x:f>IF(OR(CS4&lt;0,CS4=CR4,ISERROR(INDEX(세부시간표!$A$3:$L$1183,9*CS4,12))),"",INDEX(세부시간표!$A$3:$L$1183,9*CS4,12))</x:f>
        <x:v>양현수</x:v>
      </x:c>
      <x:c r="CT38" s="66" t="str">
        <x:f>IF(OR(CT4&lt;0,CT4=CS4,ISERROR(INDEX(세부시간표!$A$3:$L$1183,9*CT4,12))),"",INDEX(세부시간표!$A$3:$L$1183,9*CT4,12))</x:f>
        <x:v>양현수</x:v>
      </x:c>
      <x:c r="CU38" s="66" t="str">
        <x:f>IF(OR(CU4&lt;0,CU4=CT4,ISERROR(INDEX(세부시간표!$A$3:$L$1183,9*CU4,12))),"",INDEX(세부시간표!$A$3:$L$1183,9*CU4,12))</x:f>
        <x:v>양현수</x:v>
      </x:c>
      <x:c r="CV38" s="66" t="str">
        <x:f>IF(OR(CV4&lt;0,CV4=CU4,ISERROR(INDEX(세부시간표!$A$3:$L$1183,9*CV4,12))),"",INDEX(세부시간표!$A$3:$L$1183,9*CV4,12))</x:f>
        <x:v>양현수</x:v>
      </x:c>
      <x:c r="CW38" s="66" t="str">
        <x:f>IF(OR(CW4&lt;0,CW4=CV4,ISERROR(INDEX(세부시간표!$A$3:$L$1183,9*CW4,12))),"",INDEX(세부시간표!$A$3:$L$1183,9*CW4,12))</x:f>
        <x:v>양현수</x:v>
      </x:c>
      <x:c r="CX38" s="66" t="str">
        <x:f>IF(OR(CX4&lt;0,CX4=CW4,ISERROR(INDEX(세부시간표!$A$3:$L$1183,9*CX4,12))),"",INDEX(세부시간표!$A$3:$L$1183,9*CX4,12))</x:f>
        <x:v>양현수</x:v>
      </x:c>
      <x:c r="CY38" s="66" t="str">
        <x:f>IF(OR(CY4&lt;0,CY4=CX4,ISERROR(INDEX(세부시간표!$A$3:$L$1183,9*CY4,12))),"",INDEX(세부시간표!$A$3:$L$1183,9*CY4,12))</x:f>
        <x:v>양현수</x:v>
      </x:c>
      <x:c r="CZ38" s="66" t="str">
        <x:f>IF(OR(CZ4&lt;0,CZ4=CY4,ISERROR(INDEX(세부시간표!$A$3:$L$1183,9*CZ4,12))),"",INDEX(세부시간표!$A$3:$L$1183,9*CZ4,12))</x:f>
        <x:v>양현수</x:v>
      </x:c>
      <x:c r="DA38" s="66" t="str">
        <x:f>IF(OR(DA4&lt;0,DA4=CZ4,ISERROR(INDEX(세부시간표!$A$3:$L$1183,9*DA4,12))),"",INDEX(세부시간표!$A$3:$L$1183,9*DA4,12))</x:f>
        <x:v>양현수</x:v>
      </x:c>
      <x:c r="DB38" s="66" t="str">
        <x:f>IF(OR(DB4&lt;0,DB4=DA4,ISERROR(INDEX(세부시간표!$A$3:$L$1183,9*DB4,12))),"",INDEX(세부시간표!$A$3:$L$1183,9*DB4,12))</x:f>
        <x:v>양현수</x:v>
      </x:c>
      <x:c r="DC38" s="66" t="str">
        <x:f>IF(OR(DC4&lt;0,DC4=DB4,ISERROR(INDEX(세부시간표!$A$3:$L$1183,9*DC4,12))),"",INDEX(세부시간표!$A$3:$L$1183,9*DC4,12))</x:f>
        <x:v/>
      </x:c>
      <x:c r="DD38" s="66" t="str">
        <x:f>IF(OR(DD4&lt;0,DD4=DC4,ISERROR(INDEX(세부시간표!$A$3:$L$1183,9*DD4,12))),"",INDEX(세부시간표!$A$3:$L$1183,9*DD4,12))</x:f>
        <x:v/>
      </x:c>
      <x:c r="DE38" s="66" t="str">
        <x:f>IF(OR(DE4&lt;0,DE4=DD4,ISERROR(INDEX(세부시간표!$A$3:$L$1183,9*DE4,12))),"",INDEX(세부시간표!$A$3:$L$1183,9*DE4,12))</x:f>
        <x:v/>
      </x:c>
      <x:c r="DF38" s="66" t="str">
        <x:f>IF(OR(DF4&lt;0,DF4=DE4,ISERROR(INDEX(세부시간표!$A$3:$L$1183,9*DF4,12))),"",INDEX(세부시간표!$A$3:$L$1183,9*DF4,12))</x:f>
        <x:v>양현수</x:v>
      </x:c>
      <x:c r="DG38" s="66" t="str">
        <x:f>IF(OR(DG4&lt;0,DG4=DF4,ISERROR(INDEX(세부시간표!$A$3:$L$1183,9*DG4,12))),"",INDEX(세부시간표!$A$3:$L$1183,9*DG4,12))</x:f>
        <x:v>양현수</x:v>
      </x:c>
      <x:c r="DH38" s="66" t="str">
        <x:f>IF(OR(DH4&lt;0,DH4=DG4,ISERROR(INDEX(세부시간표!$A$3:$L$1183,9*DH4,12))),"",INDEX(세부시간표!$A$3:$L$1183,9*DH4,12))</x:f>
        <x:v>양현수</x:v>
      </x:c>
      <x:c r="DI38" s="66" t="str">
        <x:f>IF(OR(DI4&lt;0,DI4=DH4,ISERROR(INDEX(세부시간표!$A$3:$L$1183,9*DI4,12))),"",INDEX(세부시간표!$A$3:$L$1183,9*DI4,12))</x:f>
        <x:v>양현수</x:v>
      </x:c>
      <x:c r="DJ38" s="66" t="str">
        <x:f>IF(OR(DJ4&lt;0,DJ4=DI4,ISERROR(INDEX(세부시간표!$A$3:$L$1183,9*DJ4,12))),"",INDEX(세부시간표!$A$3:$L$1183,9*DJ4,12))</x:f>
        <x:v>양현수</x:v>
      </x:c>
      <x:c r="DK38" s="66" t="str">
        <x:f>IF(OR(DK4&lt;0,DK4=DJ4,ISERROR(INDEX(세부시간표!$A$3:$L$1183,9*DK4,12))),"",INDEX(세부시간표!$A$3:$L$1183,9*DK4,12))</x:f>
        <x:v>양현수</x:v>
      </x:c>
      <x:c r="DL38" s="66" t="str">
        <x:f>IF(OR(DL4&lt;0,DL4=DK4,ISERROR(INDEX(세부시간표!$A$3:$L$1183,9*DL4,12))),"",INDEX(세부시간표!$A$3:$L$1183,9*DL4,12))</x:f>
        <x:v>양현수</x:v>
      </x:c>
      <x:c r="DM38" s="66" t="str">
        <x:f>IF(OR(DM4&lt;0,DM4=DL4,ISERROR(INDEX(세부시간표!$A$3:$L$1183,9*DM4,12))),"",INDEX(세부시간표!$A$3:$L$1183,9*DM4,12))</x:f>
        <x:v/>
      </x:c>
      <x:c r="DN38" s="66" t="str">
        <x:f>IF(OR(DN4&lt;0,DN4=DM4,ISERROR(INDEX(세부시간표!$A$3:$L$1183,9*DN4,12))),"",INDEX(세부시간표!$A$3:$L$1183,9*DN4,12))</x:f>
        <x:v>양현수</x:v>
      </x:c>
      <x:c r="DO38" s="66" t="str">
        <x:f>IF(OR(DO4&lt;0,DO4=DN4,ISERROR(INDEX(세부시간표!$A$3:$L$1183,9*DO4,12))),"",INDEX(세부시간표!$A$3:$L$1183,9*DO4,12))</x:f>
        <x:v>양현수</x:v>
      </x:c>
      <x:c r="DP38" s="66" t="str">
        <x:f>IF(OR(DP4&lt;0,DP4=DO4,ISERROR(INDEX(세부시간표!$A$3:$L$1183,9*DP4,12))),"",INDEX(세부시간표!$A$3:$L$1183,9*DP4,12))</x:f>
        <x:v>양현수</x:v>
      </x:c>
      <x:c r="DQ38" s="66" t="str">
        <x:f>IF(OR(DQ4&lt;0,DQ4=DP4,ISERROR(INDEX(세부시간표!$A$3:$L$1183,9*DQ4,12))),"",INDEX(세부시간표!$A$3:$L$1183,9*DQ4,12))</x:f>
        <x:v>양현수</x:v>
      </x:c>
      <x:c r="DR38" s="66" t="str">
        <x:f>IF(OR(DR4&lt;0,DR4=DQ4,ISERROR(INDEX(세부시간표!$A$3:$L$1183,9*DR4,12))),"",INDEX(세부시간표!$A$3:$L$1183,9*DR4,12))</x:f>
        <x:v>양현수</x:v>
      </x:c>
      <x:c r="DS38" s="66" t="str">
        <x:f>IF(OR(DS4&lt;0,DS4=DR4,ISERROR(INDEX(세부시간표!$A$3:$L$1183,9*DS4,12))),"",INDEX(세부시간표!$A$3:$L$1183,9*DS4,12))</x:f>
        <x:v>양현수</x:v>
      </x:c>
      <x:c r="DT38" s="66" t="str">
        <x:f>IF(OR(DT4&lt;0,DT4=DS4,ISERROR(INDEX(세부시간표!$A$3:$L$1183,9*DT4,12))),"",INDEX(세부시간표!$A$3:$L$1183,9*DT4,12))</x:f>
        <x:v>양현수</x:v>
      </x:c>
      <x:c r="DU38" s="66" t="str">
        <x:f>IF(OR(DU4&lt;0,DU4=DT4,ISERROR(INDEX(세부시간표!$A$3:$L$1183,9*DU4,12))),"",INDEX(세부시간표!$A$3:$L$1183,9*DU4,12))</x:f>
        <x:v>양현수</x:v>
      </x:c>
      <x:c r="DV38" s="66" t="str">
        <x:f>IF(OR(DV4&lt;0,DV4=DU4,ISERROR(INDEX(세부시간표!$A$3:$L$1183,9*DV4,12))),"",INDEX(세부시간표!$A$3:$L$1183,9*DV4,12))</x:f>
        <x:v>양현수</x:v>
      </x:c>
      <x:c r="DW38" s="66" t="str">
        <x:f>IF(OR(DW4&lt;0,DW4=DV4,ISERROR(INDEX(세부시간표!$A$3:$L$1183,9*DW4,12))),"",INDEX(세부시간표!$A$3:$L$1183,9*DW4,12))</x:f>
        <x:v>양현수</x:v>
      </x:c>
      <x:c r="DX38" s="66" t="str">
        <x:f>IF(OR(DX4&lt;0,DX4=DW4,ISERROR(INDEX(세부시간표!$A$3:$L$1183,9*DX4,12))),"",INDEX(세부시간표!$A$3:$L$1183,9*DX4,12))</x:f>
        <x:v>양현수</x:v>
      </x:c>
      <x:c r="DY38" s="66" t="str">
        <x:f>IF(OR(DY4&lt;0,DY4=DX4,ISERROR(INDEX(세부시간표!$A$3:$L$1183,9*DY4,12))),"",INDEX(세부시간표!$A$3:$L$1183,9*DY4,12))</x:f>
        <x:v>양현수</x:v>
      </x:c>
      <x:c r="DZ38" s="66" t="str">
        <x:f>IF(OR(DZ4&lt;0,DZ4=DY4,ISERROR(INDEX(세부시간표!$A$3:$L$1183,9*DZ4,12))),"",INDEX(세부시간표!$A$3:$L$1183,9*DZ4,12))</x:f>
        <x:v>양현수</x:v>
      </x:c>
      <x:c r="EA38" s="66" t="str">
        <x:f>IF(OR(EA4&lt;0,EA4=DZ4,ISERROR(INDEX(세부시간표!$A$3:$L$1183,9*EA4,12))),"",INDEX(세부시간표!$A$3:$L$1183,9*EA4,12))</x:f>
        <x:v>양현수</x:v>
      </x:c>
      <x:c r="EB38" s="66" t="str">
        <x:f>IF(OR(EB4&lt;0,EB4=EA4,ISERROR(INDEX(세부시간표!$A$3:$L$1183,9*EB4,12))),"",INDEX(세부시간표!$A$3:$L$1183,9*EB4,12))</x:f>
        <x:v>양현수</x:v>
      </x:c>
      <x:c r="EC38" s="66" t="str">
        <x:f>IF(OR(EC4&lt;0,EC4=EB4,ISERROR(INDEX(세부시간표!$A$3:$L$1183,9*EC4,12))),"",INDEX(세부시간표!$A$3:$L$1183,9*EC4,12))</x:f>
        <x:v>양현수</x:v>
      </x:c>
      <x:c r="ED38" s="66" t="str">
        <x:f>IF(OR(ED4&lt;0,ED4=EC4,ISERROR(INDEX(세부시간표!$A$3:$L$1183,9*ED4,12))),"",INDEX(세부시간표!$A$3:$L$1183,9*ED4,12))</x:f>
        <x:v>양현수</x:v>
      </x:c>
      <x:c r="EE38" s="66" t="str">
        <x:f>IF(OR(EE4&lt;0,EE4=ED4,ISERROR(INDEX(세부시간표!$A$3:$L$1183,9*EE4,12))),"",INDEX(세부시간표!$A$3:$L$1183,9*EE4,12))</x:f>
        <x:v/>
      </x:c>
      <x:c r="EF38" s="66" t="str">
        <x:f>IF(OR(EF4&lt;0,EF4=EE4,ISERROR(INDEX(세부시간표!$A$3:$L$1183,9*EF4,12))),"",INDEX(세부시간표!$A$3:$L$1183,9*EF4,12))</x:f>
        <x:v/>
      </x:c>
      <x:c r="EG38" s="66" t="str">
        <x:f>IF(OR(EG4&lt;0,EG4=EF4,ISERROR(INDEX(세부시간표!$A$3:$L$1183,9*EG4,12))),"",INDEX(세부시간표!$A$3:$L$1183,9*EG4,12))</x:f>
        <x:v/>
      </x:c>
      <x:c r="EH38" s="66" t="str">
        <x:f>IF(OR(EH4&lt;0,EH4=EG4,ISERROR(INDEX(세부시간표!$A$3:$L$1183,9*EH4,12))),"",INDEX(세부시간표!$A$3:$L$1183,9*EH4,12))</x:f>
        <x:v/>
      </x:c>
      <x:c r="EI38" s="66" t="str">
        <x:f>IF(OR(EI4&lt;0,EI4=EH4,ISERROR(INDEX(세부시간표!$A$3:$L$1183,9*EI4,12))),"",INDEX(세부시간표!$A$3:$L$1183,9*EI4,12))</x:f>
        <x:v/>
      </x:c>
      <x:c r="EJ38" s="66" t="str">
        <x:f>IF(OR(EJ4&lt;0,EJ4=EI4,ISERROR(INDEX(세부시간표!$A$3:$L$1183,9*EJ4,12))),"",INDEX(세부시간표!$A$3:$L$1183,9*EJ4,12))</x:f>
        <x:v/>
      </x:c>
      <x:c r="EK38" s="66" t="str">
        <x:f>IF(OR(EK4&lt;0,EK4=EJ4,ISERROR(INDEX(세부시간표!$A$3:$L$1183,9*EK4,12))),"",INDEX(세부시간표!$A$3:$L$1183,9*EK4,12))</x:f>
        <x:v/>
      </x:c>
      <x:c r="EL38" s="57" t="str">
        <x:f>IF(OR(EL4&lt;0,EL4=EK4,ISERROR(INDEX(세부시간표!$A$3:$L$1183,9*EL4,12))),"",INDEX(세부시간표!$A$3:$L$1183,9*EL4,12))</x:f>
        <x:v/>
      </x:c>
      <x:c r="EM38" s="55" t="str">
        <x:f>IF(OR(EM4&lt;0,EM4=EL4,ISERROR(INDEX(세부시간표!$A$3:$L$1183,9*EM4,12))),"",INDEX(세부시간표!$A$3:$L$1183,9*EM4,12))</x:f>
        <x:v/>
      </x:c>
      <x:c r="EN38" s="55" t="str">
        <x:f>IF(OR(EN4&lt;0,EN4=EM4,ISERROR(INDEX(세부시간표!$A$3:$L$1183,9*EN4,12))),"",INDEX(세부시간표!$A$3:$L$1183,9*EN4,12))</x:f>
        <x:v/>
      </x:c>
      <x:c r="EO38" s="55" t="str">
        <x:f>IF(OR(EO4&lt;0,EO4=EN4,ISERROR(INDEX(세부시간표!$A$3:$L$1183,9*EO4,12))),"",INDEX(세부시간표!$A$3:$L$1183,9*EO4,12))</x:f>
        <x:v/>
      </x:c>
      <x:c r="EP38" s="56" t="str">
        <x:f>IF(OR(EP4&lt;0,EP4=EO4,ISERROR(INDEX(세부시간표!$A$3:$L$1183,9*EP4,12))),"",INDEX(세부시간표!$A$3:$L$1183,9*EP4,12))</x:f>
        <x:v/>
      </x:c>
    </x:row>
    <x:row r="39" spans="2:142" s="34" customFormat="1">
      <x:c r="B39" s="34" t="str">
        <x:f>IF(B7="","x","")</x:f>
        <x:v/>
      </x:c>
      <x:c r="C39" s="34" t="str">
        <x:f t="shared" ref="C39:BN39" si="40">IF(C7="","x","")</x:f>
        <x:v/>
      </x:c>
      <x:c r="D39" s="34" t="str">
        <x:f t="shared" si="40"/>
        <x:v/>
      </x:c>
      <x:c r="E39" s="34" t="str">
        <x:f t="shared" si="40"/>
        <x:v/>
      </x:c>
      <x:c r="F39" s="34" t="str">
        <x:f t="shared" si="40"/>
        <x:v/>
      </x:c>
      <x:c r="G39" s="34" t="str">
        <x:f t="shared" si="40"/>
        <x:v/>
      </x:c>
      <x:c r="H39" s="34" t="str">
        <x:f t="shared" si="40"/>
        <x:v/>
      </x:c>
      <x:c r="I39" s="34" t="str">
        <x:f t="shared" si="40"/>
        <x:v/>
      </x:c>
      <x:c r="J39" s="34" t="str">
        <x:f t="shared" si="40"/>
        <x:v/>
      </x:c>
      <x:c r="K39" s="34" t="str">
        <x:f t="shared" si="40"/>
        <x:v>x</x:v>
      </x:c>
      <x:c r="L39" s="34" t="str">
        <x:f t="shared" si="40"/>
        <x:v>x</x:v>
      </x:c>
      <x:c r="M39" s="34" t="str">
        <x:f t="shared" si="40"/>
        <x:v>x</x:v>
      </x:c>
      <x:c r="N39" s="34" t="str">
        <x:f t="shared" si="40"/>
        <x:v>x</x:v>
      </x:c>
      <x:c r="O39" s="34" t="str">
        <x:f t="shared" si="40"/>
        <x:v>x</x:v>
      </x:c>
      <x:c r="P39" s="34" t="str">
        <x:f t="shared" si="40"/>
        <x:v/>
      </x:c>
      <x:c r="Q39" s="34" t="str">
        <x:f t="shared" si="40"/>
        <x:v/>
      </x:c>
      <x:c r="R39" s="34" t="str">
        <x:f t="shared" si="40"/>
        <x:v/>
      </x:c>
      <x:c r="S39" s="34" t="str">
        <x:f t="shared" si="40"/>
        <x:v/>
      </x:c>
      <x:c r="T39" s="34" t="str">
        <x:f t="shared" si="40"/>
        <x:v/>
      </x:c>
      <x:c r="U39" s="34" t="str">
        <x:f t="shared" si="40"/>
        <x:v/>
      </x:c>
      <x:c r="V39" s="34" t="str">
        <x:f t="shared" si="40"/>
        <x:v/>
      </x:c>
      <x:c r="W39" s="34" t="str">
        <x:f t="shared" si="40"/>
        <x:v/>
      </x:c>
      <x:c r="X39" s="34" t="str">
        <x:f t="shared" si="40"/>
        <x:v/>
      </x:c>
      <x:c r="Y39" s="34" t="str">
        <x:f t="shared" si="40"/>
        <x:v/>
      </x:c>
      <x:c r="Z39" s="34" t="str">
        <x:f t="shared" si="40"/>
        <x:v/>
      </x:c>
      <x:c r="AA39" s="34" t="str">
        <x:f t="shared" si="40"/>
        <x:v/>
      </x:c>
      <x:c r="AB39" s="34" t="str">
        <x:f t="shared" si="40"/>
        <x:v/>
      </x:c>
      <x:c r="AC39" s="34" t="str">
        <x:f t="shared" si="40"/>
        <x:v/>
      </x:c>
      <x:c r="AD39" s="34" t="str">
        <x:f t="shared" si="40"/>
        <x:v/>
      </x:c>
      <x:c r="AE39" s="34" t="str">
        <x:f t="shared" si="40"/>
        <x:v/>
      </x:c>
      <x:c r="AF39" s="34" t="str">
        <x:f t="shared" si="40"/>
        <x:v/>
      </x:c>
      <x:c r="AG39" s="34" t="str">
        <x:f t="shared" si="40"/>
        <x:v/>
      </x:c>
      <x:c r="AH39" s="34" t="str">
        <x:f t="shared" si="40"/>
        <x:v/>
      </x:c>
      <x:c r="AI39" s="34" t="str">
        <x:f t="shared" si="40"/>
        <x:v/>
      </x:c>
      <x:c r="AJ39" s="34" t="str">
        <x:f t="shared" si="40"/>
        <x:v/>
      </x:c>
      <x:c r="AK39" s="34" t="str">
        <x:f t="shared" si="40"/>
        <x:v/>
      </x:c>
      <x:c r="AL39" s="34" t="str">
        <x:f t="shared" si="40"/>
        <x:v/>
      </x:c>
      <x:c r="AM39" s="34" t="str">
        <x:f t="shared" si="40"/>
        <x:v/>
      </x:c>
      <x:c r="AN39" s="34" t="str">
        <x:f t="shared" si="40"/>
        <x:v/>
      </x:c>
      <x:c r="AO39" s="34" t="str">
        <x:f t="shared" si="40"/>
        <x:v/>
      </x:c>
      <x:c r="AP39" s="34" t="str">
        <x:f t="shared" si="40"/>
        <x:v/>
      </x:c>
      <x:c r="AQ39" s="34" t="str">
        <x:f t="shared" si="40"/>
        <x:v/>
      </x:c>
      <x:c r="AR39" s="34" t="str">
        <x:f t="shared" si="40"/>
        <x:v/>
      </x:c>
      <x:c r="AS39" s="34" t="str">
        <x:f t="shared" si="40"/>
        <x:v/>
      </x:c>
      <x:c r="AT39" s="34" t="str">
        <x:f t="shared" si="40"/>
        <x:v/>
      </x:c>
      <x:c r="AU39" s="34" t="str">
        <x:f t="shared" si="40"/>
        <x:v/>
      </x:c>
      <x:c r="AV39" s="34" t="str">
        <x:f t="shared" si="40"/>
        <x:v/>
      </x:c>
      <x:c r="AW39" s="34" t="str">
        <x:f t="shared" si="40"/>
        <x:v/>
      </x:c>
      <x:c r="AX39" s="34" t="str">
        <x:f t="shared" si="40"/>
        <x:v/>
      </x:c>
      <x:c r="AY39" s="34" t="str">
        <x:f t="shared" si="40"/>
        <x:v/>
      </x:c>
      <x:c r="AZ39" s="44" t="str">
        <x:f t="shared" si="40"/>
        <x:v/>
      </x:c>
      <x:c r="BA39" s="45" t="str">
        <x:f t="shared" si="40"/>
        <x:v/>
      </x:c>
      <x:c r="BB39" s="45" t="str">
        <x:f t="shared" si="40"/>
        <x:v/>
      </x:c>
      <x:c r="BC39" s="45" t="str">
        <x:f t="shared" si="40"/>
        <x:v/>
      </x:c>
      <x:c r="BD39" s="45" t="str">
        <x:f t="shared" si="40"/>
        <x:v/>
      </x:c>
      <x:c r="BE39" s="45" t="str">
        <x:f t="shared" si="40"/>
        <x:v/>
      </x:c>
      <x:c r="BF39" s="45" t="str">
        <x:f t="shared" si="40"/>
        <x:v/>
      </x:c>
      <x:c r="BG39" s="45" t="str">
        <x:f t="shared" si="40"/>
        <x:v/>
      </x:c>
      <x:c r="BH39" s="45" t="str">
        <x:f t="shared" si="40"/>
        <x:v/>
      </x:c>
      <x:c r="BI39" s="45" t="str">
        <x:f t="shared" si="40"/>
        <x:v/>
      </x:c>
      <x:c r="BJ39" s="45" t="str">
        <x:f t="shared" si="40"/>
        <x:v/>
      </x:c>
      <x:c r="BK39" s="45" t="str">
        <x:f t="shared" si="40"/>
        <x:v/>
      </x:c>
      <x:c r="BL39" s="45" t="str">
        <x:f t="shared" si="40"/>
        <x:v/>
      </x:c>
      <x:c r="BM39" s="45" t="str">
        <x:f t="shared" si="40"/>
        <x:v/>
      </x:c>
      <x:c r="BN39" s="45" t="str">
        <x:f t="shared" si="40"/>
        <x:v/>
      </x:c>
      <x:c r="BO39" s="45" t="str">
        <x:f t="shared" ref="BO39:DZ39" si="41">IF(BO7="","x","")</x:f>
        <x:v/>
      </x:c>
      <x:c r="BP39" s="45" t="str">
        <x:f t="shared" si="41"/>
        <x:v/>
      </x:c>
      <x:c r="BQ39" s="45" t="str">
        <x:f t="shared" si="41"/>
        <x:v/>
      </x:c>
      <x:c r="BR39" s="45" t="str">
        <x:f t="shared" si="41"/>
        <x:v>x</x:v>
      </x:c>
      <x:c r="BS39" s="45" t="str">
        <x:f t="shared" si="41"/>
        <x:v/>
      </x:c>
      <x:c r="BT39" s="45" t="str">
        <x:f t="shared" si="41"/>
        <x:v/>
      </x:c>
      <x:c r="BU39" s="45" t="str">
        <x:f t="shared" si="41"/>
        <x:v/>
      </x:c>
      <x:c r="BV39" s="45" t="str">
        <x:f t="shared" si="41"/>
        <x:v/>
      </x:c>
      <x:c r="BW39" s="45" t="str">
        <x:f t="shared" si="41"/>
        <x:v>x</x:v>
      </x:c>
      <x:c r="BX39" s="45" t="str">
        <x:f t="shared" si="41"/>
        <x:v/>
      </x:c>
      <x:c r="BY39" s="45" t="str">
        <x:f t="shared" si="41"/>
        <x:v/>
      </x:c>
      <x:c r="BZ39" s="45" t="str">
        <x:f t="shared" si="41"/>
        <x:v/>
      </x:c>
      <x:c r="CA39" s="45" t="str">
        <x:f t="shared" si="41"/>
        <x:v/>
      </x:c>
      <x:c r="CB39" s="45" t="str">
        <x:f t="shared" si="41"/>
        <x:v/>
      </x:c>
      <x:c r="CC39" s="45" t="str">
        <x:f t="shared" si="41"/>
        <x:v/>
      </x:c>
      <x:c r="CD39" s="45" t="str">
        <x:f t="shared" si="41"/>
        <x:v/>
      </x:c>
      <x:c r="CE39" s="45" t="str">
        <x:f t="shared" si="41"/>
        <x:v/>
      </x:c>
      <x:c r="CF39" s="45" t="str">
        <x:f t="shared" si="41"/>
        <x:v/>
      </x:c>
      <x:c r="CG39" s="45" t="str">
        <x:f t="shared" si="41"/>
        <x:v/>
      </x:c>
      <x:c r="CH39" s="45" t="str">
        <x:f t="shared" si="41"/>
        <x:v/>
      </x:c>
      <x:c r="CI39" s="45" t="str">
        <x:f t="shared" si="41"/>
        <x:v/>
      </x:c>
      <x:c r="CJ39" s="45" t="str">
        <x:f t="shared" si="41"/>
        <x:v/>
      </x:c>
      <x:c r="CK39" s="45" t="str">
        <x:f t="shared" si="41"/>
        <x:v/>
      </x:c>
      <x:c r="CL39" s="45" t="str">
        <x:f t="shared" si="41"/>
        <x:v/>
      </x:c>
      <x:c r="CM39" s="45" t="str">
        <x:f t="shared" si="41"/>
        <x:v/>
      </x:c>
      <x:c r="CN39" s="45" t="str">
        <x:f t="shared" si="41"/>
        <x:v/>
      </x:c>
      <x:c r="CO39" s="45" t="str">
        <x:f t="shared" si="41"/>
        <x:v/>
      </x:c>
      <x:c r="CP39" s="45" t="str">
        <x:f t="shared" si="41"/>
        <x:v/>
      </x:c>
      <x:c r="CQ39" s="45" t="str">
        <x:f t="shared" si="41"/>
        <x:v/>
      </x:c>
      <x:c r="CR39" s="45" t="str">
        <x:f t="shared" si="41"/>
        <x:v/>
      </x:c>
      <x:c r="CS39" s="45" t="str">
        <x:f t="shared" si="41"/>
        <x:v/>
      </x:c>
      <x:c r="CT39" s="45" t="str">
        <x:f t="shared" si="41"/>
        <x:v/>
      </x:c>
      <x:c r="CU39" s="45" t="str">
        <x:f t="shared" si="41"/>
        <x:v/>
      </x:c>
      <x:c r="CV39" s="45" t="str">
        <x:f t="shared" si="41"/>
        <x:v/>
      </x:c>
      <x:c r="CW39" s="45" t="str">
        <x:f t="shared" si="41"/>
        <x:v/>
      </x:c>
      <x:c r="CX39" s="45" t="str">
        <x:f t="shared" si="41"/>
        <x:v/>
      </x:c>
      <x:c r="CY39" s="45" t="str">
        <x:f t="shared" si="41"/>
        <x:v/>
      </x:c>
      <x:c r="CZ39" s="45" t="str">
        <x:f t="shared" si="41"/>
        <x:v/>
      </x:c>
      <x:c r="DA39" s="45" t="str">
        <x:f t="shared" si="41"/>
        <x:v/>
      </x:c>
      <x:c r="DB39" s="45" t="str">
        <x:f t="shared" si="41"/>
        <x:v/>
      </x:c>
      <x:c r="DC39" s="45" t="str">
        <x:f t="shared" si="41"/>
        <x:v>x</x:v>
      </x:c>
      <x:c r="DD39" s="45" t="str">
        <x:f t="shared" si="41"/>
        <x:v>x</x:v>
      </x:c>
      <x:c r="DE39" s="45" t="str">
        <x:f t="shared" si="41"/>
        <x:v>x</x:v>
      </x:c>
      <x:c r="DF39" s="45" t="str">
        <x:f t="shared" si="41"/>
        <x:v/>
      </x:c>
      <x:c r="DG39" s="45" t="str">
        <x:f t="shared" si="41"/>
        <x:v/>
      </x:c>
      <x:c r="DH39" s="45" t="str">
        <x:f t="shared" si="41"/>
        <x:v/>
      </x:c>
      <x:c r="DI39" s="45" t="str">
        <x:f t="shared" si="41"/>
        <x:v/>
      </x:c>
      <x:c r="DJ39" s="45" t="str">
        <x:f t="shared" si="41"/>
        <x:v/>
      </x:c>
      <x:c r="DK39" s="45" t="str">
        <x:f t="shared" si="41"/>
        <x:v/>
      </x:c>
      <x:c r="DL39" s="45" t="str">
        <x:f t="shared" si="41"/>
        <x:v/>
      </x:c>
      <x:c r="DM39" s="45" t="str">
        <x:f t="shared" si="41"/>
        <x:v>x</x:v>
      </x:c>
      <x:c r="DN39" s="45" t="str">
        <x:f t="shared" si="41"/>
        <x:v/>
      </x:c>
      <x:c r="DO39" s="45" t="str">
        <x:f t="shared" si="41"/>
        <x:v/>
      </x:c>
      <x:c r="DP39" s="45" t="str">
        <x:f t="shared" si="41"/>
        <x:v/>
      </x:c>
      <x:c r="DQ39" s="45" t="str">
        <x:f t="shared" si="41"/>
        <x:v/>
      </x:c>
      <x:c r="DR39" s="45" t="str">
        <x:f t="shared" si="41"/>
        <x:v/>
      </x:c>
      <x:c r="DS39" s="45" t="str">
        <x:f t="shared" si="41"/>
        <x:v/>
      </x:c>
      <x:c r="DT39" s="45" t="str">
        <x:f t="shared" si="41"/>
        <x:v/>
      </x:c>
      <x:c r="DU39" s="45" t="str">
        <x:f t="shared" si="41"/>
        <x:v/>
      </x:c>
      <x:c r="DV39" s="45" t="str">
        <x:f t="shared" si="41"/>
        <x:v/>
      </x:c>
      <x:c r="DW39" s="45" t="str">
        <x:f t="shared" si="41"/>
        <x:v/>
      </x:c>
      <x:c r="DX39" s="45" t="str">
        <x:f t="shared" si="41"/>
        <x:v/>
      </x:c>
      <x:c r="DY39" s="45" t="str">
        <x:f t="shared" si="41"/>
        <x:v/>
      </x:c>
      <x:c r="DZ39" s="45" t="str">
        <x:f t="shared" si="41"/>
        <x:v/>
      </x:c>
      <x:c r="EA39" s="45" t="str">
        <x:f t="shared" ref="EA39:EL39" si="42">IF(EA7="","x","")</x:f>
        <x:v/>
      </x:c>
      <x:c r="EB39" s="45" t="str">
        <x:f t="shared" si="42"/>
        <x:v/>
      </x:c>
      <x:c r="EC39" s="45" t="str">
        <x:f t="shared" si="42"/>
        <x:v/>
      </x:c>
      <x:c r="ED39" s="45" t="str">
        <x:f t="shared" si="42"/>
        <x:v/>
      </x:c>
      <x:c r="EE39" s="45" t="str">
        <x:f t="shared" si="42"/>
        <x:v>x</x:v>
      </x:c>
      <x:c r="EF39" s="45" t="str">
        <x:f t="shared" si="42"/>
        <x:v>x</x:v>
      </x:c>
      <x:c r="EG39" s="45" t="str">
        <x:f t="shared" si="42"/>
        <x:v>x</x:v>
      </x:c>
      <x:c r="EH39" s="45" t="str">
        <x:f t="shared" si="42"/>
        <x:v>x</x:v>
      </x:c>
      <x:c r="EI39" s="45" t="str">
        <x:f t="shared" si="42"/>
        <x:v>x</x:v>
      </x:c>
      <x:c r="EJ39" s="45" t="str">
        <x:f t="shared" si="42"/>
        <x:v>x</x:v>
      </x:c>
      <x:c r="EK39" s="46" t="str">
        <x:f t="shared" si="42"/>
        <x:v>x</x:v>
      </x:c>
      <x:c r="EL39" s="34" t="str">
        <x:f t="shared" si="42"/>
        <x:v>x</x:v>
      </x:c>
    </x:row>
  </x:sheetData>
  <x:mergeCells count="67">
    <x:mergeCell ref="DW3:EA3"/>
    <x:mergeCell ref="EB3:EF3"/>
    <x:mergeCell ref="EG3:EK3"/>
    <x:mergeCell ref="EL3:EP3"/>
    <x:mergeCell ref="CX3:DB3"/>
    <x:mergeCell ref="DC3:DG3"/>
    <x:mergeCell ref="DH3:DL3"/>
    <x:mergeCell ref="DM3:DQ3"/>
    <x:mergeCell ref="DR3:DV3"/>
    <x:mergeCell ref="BY3:CC3"/>
    <x:mergeCell ref="CD3:CH3"/>
    <x:mergeCell ref="CI3:CM3"/>
    <x:mergeCell ref="CN3:CR3"/>
    <x:mergeCell ref="CS3:CW3"/>
    <x:mergeCell ref="EL2:EP2"/>
    <x:mergeCell ref="B3:F3"/>
    <x:mergeCell ref="G3:K3"/>
    <x:mergeCell ref="L3:P3"/>
    <x:mergeCell ref="Q3:U3"/>
    <x:mergeCell ref="V3:Z3"/>
    <x:mergeCell ref="AA3:AE3"/>
    <x:mergeCell ref="AF3:AJ3"/>
    <x:mergeCell ref="AK3:AO3"/>
    <x:mergeCell ref="AP3:AT3"/>
    <x:mergeCell ref="AU3:AY3"/>
    <x:mergeCell ref="AZ3:BD3"/>
    <x:mergeCell ref="BE3:BI3"/>
    <x:mergeCell ref="BJ3:BN3"/>
    <x:mergeCell ref="BO3:BS3"/>
    <x:mergeCell ref="BT3:BX3"/>
    <x:mergeCell ref="EG2:EK2"/>
    <x:mergeCell ref="DC2:DG2"/>
    <x:mergeCell ref="DH2:DL2"/>
    <x:mergeCell ref="DM2:DQ2"/>
    <x:mergeCell ref="DR2:DV2"/>
    <x:mergeCell ref="DW2:EA2"/>
    <x:mergeCell ref="EB2:EF2"/>
    <x:mergeCell ref="AF2:AJ2"/>
    <x:mergeCell ref="AK2:AO2"/>
    <x:mergeCell ref="CX2:DB2"/>
    <x:mergeCell ref="AU2:AY2"/>
    <x:mergeCell ref="AZ2:BD2"/>
    <x:mergeCell ref="BE2:BI2"/>
    <x:mergeCell ref="BJ2:BN2"/>
    <x:mergeCell ref="BO2:BS2"/>
    <x:mergeCell ref="BT2:BX2"/>
    <x:mergeCell ref="BY2:CC2"/>
    <x:mergeCell ref="CD2:CH2"/>
    <x:mergeCell ref="CI2:CM2"/>
    <x:mergeCell ref="CN2:CR2"/>
    <x:mergeCell ref="CS2:CW2"/>
    <x:mergeCell ref="AP2:AT2"/>
    <x:mergeCell ref="A11:A14"/>
    <x:mergeCell ref="A15:A18"/>
    <x:mergeCell ref="A19:A22"/>
    <x:mergeCell ref="A31:A34"/>
    <x:mergeCell ref="A35:A38"/>
    <x:mergeCell ref="A23:A26"/>
    <x:mergeCell ref="A27:A30"/>
    <x:mergeCell ref="Q2:U2"/>
    <x:mergeCell ref="V2:Z2"/>
    <x:mergeCell ref="AA2:AE2"/>
    <x:mergeCell ref="L2:P2"/>
    <x:mergeCell ref="A7:A10"/>
    <x:mergeCell ref="A5:A6"/>
    <x:mergeCell ref="B2:F2"/>
    <x:mergeCell ref="G2:K2"/>
  </x:mergeCells>
  <x:conditionalFormatting sqref="B7:EP38">
    <x:cfRule type="expression" dxfId="12" priority="1">
      <x:formula>B$39="x"</x:formula>
    </x:cfRule>
  </x:conditionalFormatting>
  <x:printOptions horizontalCentered="1" verticalCentered="1" headings="0" gridLines="1" gridLinesSet="1"/>
  <x:pageMargins left="0.70861113071441650391" right="0.70861113071441650391" top="0.55097222328186035156" bottom="0.55097222328186035156" header="0" footer="0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Q28"/>
  <x:sheetViews>
    <x:sheetView tabSelected="1" view="pageBreakPreview" topLeftCell="A16" zoomScaleNormal="85" zoomScaleSheetLayoutView="100" workbookViewId="0">
      <x:selection activeCell="J24" activeCellId="0" sqref="J24:J24"/>
    </x:sheetView>
  </x:sheetViews>
  <x:sheetFormatPr defaultColWidth="9" defaultRowHeight="16.39999999999999857891"/>
  <x:cols>
    <x:col min="1" max="15" width="6.625" customWidth="1"/>
    <x:col min="17" max="17" width="6.5" bestFit="1" customWidth="1"/>
  </x:cols>
  <x:sheetData>
    <x:row r="1" spans="1:15" ht="63" customHeight="1">
      <x:c r="A1" s="242" t="s">
        <x:v>15</x:v>
      </x:c>
      <x:c r="B1" s="242"/>
      <x:c r="C1" s="242"/>
      <x:c r="D1" s="242"/>
      <x:c r="E1" s="242"/>
      <x:c r="F1" s="242"/>
      <x:c r="G1" s="242"/>
      <x:c r="H1" s="242"/>
      <x:c r="I1" s="242"/>
      <x:c r="J1" s="242"/>
      <x:c r="K1" s="242"/>
      <x:c r="L1" s="242"/>
      <x:c r="M1" s="242"/>
      <x:c r="N1" s="242"/>
      <x:c r="O1" s="242"/>
    </x:row>
    <x:row r="2" spans="1:8" ht="7.5" customHeight="1">
      <x:c r="A2" s="89"/>
      <x:c r="B2" s="89"/>
      <x:c r="C2" s="89"/>
      <x:c r="D2" s="89"/>
      <x:c r="E2" s="89"/>
      <x:c r="F2" s="89"/>
      <x:c r="G2" s="89"/>
      <x:c r="H2" s="89"/>
    </x:row>
    <x:row r="3" spans="1:9" ht="24.94999999999999928946" customHeight="1">
      <x:c r="A3" s="94" t="s">
        <x:v>261</x:v>
      </x:c>
      <x:c r="C3" s="94" t="s">
        <x:v>56</x:v>
      </x:c>
      <x:c r="D3" s="116"/>
      <x:c r="E3" s="94"/>
      <x:c r="F3" s="94"/>
      <x:c r="G3" s="94"/>
      <x:c r="H3" s="94"/>
      <x:c r="I3" s="94"/>
    </x:row>
    <x:row r="4" spans="1:9" ht="24.94999999999999928946" customHeight="1">
      <x:c r="A4" s="94" t="s">
        <x:v>216</x:v>
      </x:c>
      <x:c r="C4" s="239" t="str">
        <x:f>기본입력!C1</x:f>
        <x:v>인공지능(AI),빅데이터 활용 웹솔루션 개발자 양성(Python, Java)</x:v>
      </x:c>
      <x:c r="D4" s="239"/>
      <x:c r="E4" s="239"/>
      <x:c r="F4" s="239"/>
      <x:c r="G4" s="239"/>
      <x:c r="H4" s="239"/>
      <x:c r="I4" s="239"/>
    </x:row>
    <x:row r="5" spans="1:9" ht="24.94999999999999928946" customHeight="1">
      <x:c r="A5" s="94" t="s">
        <x:v>281</x:v>
      </x:c>
      <x:c r="C5" s="116" t="str">
        <x:f>기본입력!C2</x:f>
        <x:v>2025.09.22~2026.03.25</x:v>
      </x:c>
      <x:c r="D5" s="90"/>
      <x:c r="E5" s="90"/>
      <x:c r="F5" s="91"/>
      <x:c r="G5" s="92"/>
      <x:c r="H5" s="92"/>
      <x:c r="I5" s="93"/>
    </x:row>
    <x:row r="6" spans="3:3">
      <x:c r="C6" s="36" t="str">
        <x:f>기본입력!C3</x:f>
        <x:v xml:space="preserve">(6개월. 122일. 976시간. 일 8.0시간) </x:v>
      </x:c>
    </x:row>
    <x:row r="7" spans="1:15" ht="30.75" customHeight="1">
      <x:c r="A7" s="105" t="s">
        <x:v>266</x:v>
      </x:c>
      <x:c r="B7" s="106"/>
      <x:c r="C7" s="240">
        <x:v>46017</x:v>
      </x:c>
      <x:c r="D7" s="240"/>
      <x:c r="E7" s="240"/>
      <x:c r="F7" s="107"/>
      <x:c r="G7" s="106"/>
      <x:c r="H7" s="241">
        <x:f>C7</x:f>
        <x:v>46017</x:v>
      </x:c>
      <x:c r="I7" s="241"/>
      <x:c r="J7" s="106"/>
      <x:c r="K7" s="106"/>
      <x:c r="L7" s="108" t="str">
        <x:f>"("&amp;NETWORKDAYS(시작일,C7,공휴일)&amp;"일"</x:f>
        <x:v>(64일</x:v>
      </x:c>
      <x:c r="M7" s="108" t="str">
        <x:f>"/ "&amp;NETWORKDAYS(시작일,종료일,공휴일)&amp;"일)"</x:f>
        <x:v>/ 122일)</x:v>
      </x:c>
      <x:c r="N7" s="106"/>
      <x:c r="O7" s="106"/>
    </x:row>
    <x:row r="8" ht="9.94999999999999928946" customHeight="1"/>
    <x:row r="9" spans="1:15" ht="24.75" customHeight="1">
      <x:c r="A9" s="98" t="s">
        <x:v>130</x:v>
      </x:c>
      <x:c r="B9" s="99">
        <x:v>16</x:v>
      </x:c>
      <x:c r="C9" s="96" t="s">
        <x:v>144</x:v>
      </x:c>
      <x:c r="D9" s="98" t="s">
        <x:v>129</x:v>
      </x:c>
      <x:c r="E9" s="99">
        <x:f>B9-H9</x:f>
        <x:v>11</x:v>
      </x:c>
      <x:c r="F9" s="96" t="s">
        <x:v>144</x:v>
      </x:c>
      <x:c r="G9" s="98" t="s">
        <x:v>157</x:v>
      </x:c>
      <x:c r="H9" s="99">
        <x:f>COUNTA(결석훈련생명단)</x:f>
        <x:v>5</x:v>
      </x:c>
      <x:c r="I9" s="96" t="s">
        <x:v>144</x:v>
      </x:c>
      <x:c r="J9" s="98" t="s">
        <x:v>137</x:v>
      </x:c>
      <x:c r="K9" s="99">
        <x:f>COUNTA(지각훈련생명단)</x:f>
        <x:v>0</x:v>
      </x:c>
      <x:c r="L9" s="96" t="s">
        <x:v>144</x:v>
      </x:c>
      <x:c r="M9" s="98" t="s">
        <x:v>127</x:v>
      </x:c>
      <x:c r="N9" s="99">
        <x:f>COUNTA(조퇴훈련생명단)</x:f>
        <x:v>0</x:v>
      </x:c>
      <x:c r="O9" s="96" t="s">
        <x:v>144</x:v>
      </x:c>
    </x:row>
    <x:row r="10" ht="9.94999999999999928946" customHeight="1"/>
    <x:row r="11" spans="1:15" ht="24.94999999999999928946" customHeight="1">
      <x:c r="A11" s="238" t="s">
        <x:v>97</x:v>
      </x:c>
      <x:c r="B11" s="238"/>
      <x:c r="C11" s="238"/>
      <x:c r="D11" s="238"/>
      <x:c r="E11" s="238"/>
      <x:c r="F11" s="238"/>
      <x:c r="G11" s="238"/>
      <x:c r="H11" s="238"/>
      <x:c r="I11" s="238"/>
      <x:c r="J11" s="238"/>
      <x:c r="K11" s="238"/>
      <x:c r="L11" s="238"/>
      <x:c r="M11" s="238"/>
      <x:c r="N11" s="238"/>
      <x:c r="O11" s="238"/>
    </x:row>
    <x:row r="12" spans="1:16" ht="36" customHeight="1">
      <x:c r="A12" s="97" t="s">
        <x:v>149</x:v>
      </x:c>
      <x:c r="B12" s="238" t="s">
        <x:v>22</x:v>
      </x:c>
      <x:c r="C12" s="238"/>
      <x:c r="D12" s="238"/>
      <x:c r="E12" s="238" t="s">
        <x:v>2</x:v>
      </x:c>
      <x:c r="F12" s="238"/>
      <x:c r="G12" s="215" t="s">
        <x:v>293</x:v>
      </x:c>
      <x:c r="H12" s="216"/>
      <x:c r="I12" s="216"/>
      <x:c r="J12" s="216"/>
      <x:c r="K12" s="216"/>
      <x:c r="L12" s="205" t="s">
        <x:v>198</x:v>
      </x:c>
      <x:c r="M12" s="206"/>
      <x:c r="N12" s="206"/>
      <x:c r="O12" s="207"/>
      <x:c r="P12" s="114">
        <x:v>9</x:v>
      </x:c>
    </x:row>
    <x:row r="13" spans="1:17" s="34" customFormat="1" ht="50.10000000000000142109" customHeight="1">
      <x:c r="A13" s="115" t="s">
        <x:v>108</x:v>
      </x:c>
      <x:c r="B13" s="237" t="str">
        <x:f>HLOOKUP(C7,'시간표(상용)'!$B$6:$EP$38,2,FALSE)</x:f>
        <x:v>Advanced 프로젝트</x:v>
      </x:c>
      <x:c r="C13" s="237"/>
      <x:c r="D13" s="237"/>
      <x:c r="E13" s="236" t="str">
        <x:f>HLOOKUP(C7,'시간표(상용)'!$B$6:$EP$38,5,FALSE)</x:f>
        <x:v>양현수</x:v>
      </x:c>
      <x:c r="F13" s="236"/>
      <x:c r="G13" s="213" t="str">
        <x:f>HLOOKUP(C7,'시간표(상용)'!$B$6:$EP$38,3,FALSE)</x:f>
        <x:v>Advanced 프로젝트</x:v>
      </x:c>
      <x:c r="H13" s="214"/>
      <x:c r="I13" s="214"/>
      <x:c r="J13" s="214"/>
      <x:c r="K13" s="214"/>
      <x:c r="L13" s="208" t="str">
        <x:f>IF(IF($E$23="",1,VALUE(LEFT($E$23,2)))&gt;=P12,$E$22,"")&amp;IF(IF($F$23="",1,VALUE(LEFT($F$23,2)))&gt;=P12,","&amp;$F$22,"")&amp;IF(IF($G$23="",1,VALUE(LEFT($G$23,2)))&gt;=P12,","&amp;$G$22,"")&amp;IF(IF($H$23="",1,VALUE(LEFT($H$23,2)))&gt;=P12,","&amp;$H$22,"")&amp;IF(IF($I$23="",1,VALUE(LEFT($I$23,2)))&gt;=P12,","&amp;$I$22,"")&amp;IF(IF($J$23="",1,VALUE(LEFT($J$23,2)))&gt;=P12,","&amp;$J$22,"")&amp;IF(IF($K$23="",1,VALUE(LEFT($K$23,2)))&gt;=P12,","&amp;$K$22,"")&amp;IF(IF($L$23="",1,VALUE(LEFT($L$23,2)))&gt;=P12,","&amp;$L$22,"")&amp;IF(IF($M$23="",1,VALUE(LEFT($M$23,2)))&gt;=P12,","&amp;$M$22,"")&amp;IF(IF($N$23="",1,VALUE(LEFT($N$23,2)))&gt;=P12,","&amp;$N$22,"")&amp;IF(IF($O$23="",1,VALUE(LEFT($O$23,2)))&gt;=P12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,이준오,김담현,김용,박성준,임동주</x:v>
      </x:c>
      <x:c r="M13" s="209"/>
      <x:c r="N13" s="209"/>
      <x:c r="O13" s="210"/>
      <x:c r="P13" s="113">
        <x:v>10</x:v>
      </x:c>
      <x:c r="Q13" s="30" t="s">
        <x:v>245</x:v>
      </x:c>
    </x:row>
    <x:row r="14" spans="1:17" s="34" customFormat="1" ht="50.10000000000000142109" customHeight="1">
      <x:c r="A14" s="115" t="s">
        <x:v>104</x:v>
      </x:c>
      <x:c r="B14" s="237" t="str">
        <x:f>HLOOKUP(C7,'시간표(상용)'!$B$6:$EP$387,6,FALSE)</x:f>
        <x:v>Advanced 프로젝트</x:v>
      </x:c>
      <x:c r="C14" s="237"/>
      <x:c r="D14" s="237"/>
      <x:c r="E14" s="236" t="str">
        <x:f>HLOOKUP(C7,'시간표(상용)'!$B$6:$EP$38,9,FALSE)</x:f>
        <x:v>양현수</x:v>
      </x:c>
      <x:c r="F14" s="236"/>
      <x:c r="G14" s="213" t="str">
        <x:f>HLOOKUP(C7,'시간표(상용)'!$B$6:$EP$387,7,FALSE)</x:f>
        <x:v>Advanced 프로젝트</x:v>
      </x:c>
      <x:c r="H14" s="214"/>
      <x:c r="I14" s="214"/>
      <x:c r="J14" s="214"/>
      <x:c r="K14" s="214"/>
      <x:c r="L14" s="208" t="str">
        <x:f>IF(IF($E$23="",1,VALUE(LEFT($E$23,2)))&gt;=P13,$E$22,"")&amp;IF(IF($F$23="",1,VALUE(LEFT($F$23,2)))&gt;=P13,","&amp;$F$22,"")&amp;IF(IF($G$23="",1,VALUE(LEFT($G$23,2)))&gt;=P13,","&amp;$G$22,"")&amp;IF(IF($H$23="",1,VALUE(LEFT($H$23,2)))&gt;=P13,","&amp;$H$22,"")&amp;IF(IF($I$23="",1,VALUE(LEFT($I$23,2)))&gt;=P13,","&amp;$I$22,"")&amp;IF(IF($J$23="",1,VALUE(LEFT($J$23,2)))&gt;=P13,","&amp;$J$22,"")&amp;IF(IF($K$23="",1,VALUE(LEFT($K$23,2)))&gt;=P13,","&amp;$K$22,"")&amp;IF(IF($L$23="",1,VALUE(LEFT($L$23,2)))&gt;=P13,","&amp;$L$22,"")&amp;IF(IF($M$23="",1,VALUE(LEFT($M$23,2)))&gt;=P13,","&amp;$M$22,"")&amp;IF(IF($N$23="",1,VALUE(LEFT($N$23,2)))&gt;=P13,","&amp;$N$22,"")&amp;IF(IF($O$23="",1,VALUE(LEFT($O$23,2)))&gt;=P13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,이준오,김담현,김용,박성준,임동주</x:v>
      </x:c>
      <x:c r="M14" s="209"/>
      <x:c r="N14" s="209"/>
      <x:c r="O14" s="210"/>
      <x:c r="P14" s="95">
        <x:v>11</x:v>
      </x:c>
      <x:c r="Q14" s="30" t="s">
        <x:v>294</x:v>
      </x:c>
    </x:row>
    <x:row r="15" spans="1:17" s="34" customFormat="1" ht="50.10000000000000142109" customHeight="1">
      <x:c r="A15" s="115" t="s">
        <x:v>102</x:v>
      </x:c>
      <x:c r="B15" s="237" t="str">
        <x:f>HLOOKUP(C7,'시간표(상용)'!$B$6:$EP$387,10,FALSE)</x:f>
        <x:v>Advanced 프로젝트</x:v>
      </x:c>
      <x:c r="C15" s="237"/>
      <x:c r="D15" s="237"/>
      <x:c r="E15" s="236" t="str">
        <x:f>HLOOKUP(C7,'시간표(상용)'!$B$6:$EP$38,13,FALSE)</x:f>
        <x:v>양현수</x:v>
      </x:c>
      <x:c r="F15" s="236"/>
      <x:c r="G15" s="213" t="str">
        <x:f>HLOOKUP(C7,'시간표(상용)'!$B$6:$EP$387,11,FALSE)</x:f>
        <x:v>Advanced 프로젝트</x:v>
      </x:c>
      <x:c r="H15" s="214"/>
      <x:c r="I15" s="214"/>
      <x:c r="J15" s="214"/>
      <x:c r="K15" s="214"/>
      <x:c r="L15" s="208" t="str">
        <x:f>IF(IF($E$23="",1,VALUE(LEFT($E$23,2)))&gt;=P14,$E$22,"")&amp;IF(IF($F$23="",1,VALUE(LEFT($F$23,2)))&gt;=P14,","&amp;$F$22,"")&amp;IF(IF($G$23="",1,VALUE(LEFT($G$23,2)))&gt;=P14,","&amp;$G$22,"")&amp;IF(IF($H$23="",1,VALUE(LEFT($H$23,2)))&gt;=P14,","&amp;$H$22,"")&amp;IF(IF($I$23="",1,VALUE(LEFT($I$23,2)))&gt;=P14,","&amp;$I$22,"")&amp;IF(IF($J$23="",1,VALUE(LEFT($J$23,2)))&gt;=P14,","&amp;$J$22,"")&amp;IF(IF($K$23="",1,VALUE(LEFT($K$23,2)))&gt;=P14,","&amp;$K$22,"")&amp;IF(IF($L$23="",1,VALUE(LEFT($L$23,2)))&gt;=P14,","&amp;$L$22,"")&amp;IF(IF($M$23="",1,VALUE(LEFT($M$23,2)))&gt;=P14,","&amp;$M$22,"")&amp;IF(IF($N$23="",1,VALUE(LEFT($N$23,2)))&gt;=P14,","&amp;$N$22,"")&amp;IF(IF($O$23="",1,VALUE(LEFT($O$23,2)))&gt;=P14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,이준오,김담현,김용,박성준,임동주</x:v>
      </x:c>
      <x:c r="M15" s="209"/>
      <x:c r="N15" s="209"/>
      <x:c r="O15" s="210"/>
      <x:c r="P15" s="95">
        <x:v>12</x:v>
      </x:c>
      <x:c r="Q15" s="30" t="s">
        <x:v>233</x:v>
      </x:c>
    </x:row>
    <x:row r="16" spans="1:17" s="34" customFormat="1" ht="50.10000000000000142109" customHeight="1">
      <x:c r="A16" s="115" t="s">
        <x:v>109</x:v>
      </x:c>
      <x:c r="B16" s="237" t="str">
        <x:f>HLOOKUP(C7,'시간표(상용)'!$B$6:$EP$387,14,FALSE)</x:f>
        <x:v>Advanced 프로젝트</x:v>
      </x:c>
      <x:c r="C16" s="237"/>
      <x:c r="D16" s="237"/>
      <x:c r="E16" s="236" t="str">
        <x:f>HLOOKUP(C7,'시간표(상용)'!$B$6:$EP$38,17,FALSE)</x:f>
        <x:v>양현수</x:v>
      </x:c>
      <x:c r="F16" s="236"/>
      <x:c r="G16" s="213" t="str">
        <x:f>HLOOKUP(C7,'시간표(상용)'!$B$6:$EP$387,15,FALSE)</x:f>
        <x:v>Advanced 프로젝트</x:v>
      </x:c>
      <x:c r="H16" s="214"/>
      <x:c r="I16" s="214"/>
      <x:c r="J16" s="214"/>
      <x:c r="K16" s="214"/>
      <x:c r="L16" s="208" t="str">
        <x:f>IF(IF($E$23="",1,VALUE(LEFT($E$23,2)))&gt;=P15,$E$22,"")&amp;IF(IF($F$23="",1,VALUE(LEFT($F$23,2)))&gt;=P15,","&amp;$F$22,"")&amp;IF(IF($G$23="",1,VALUE(LEFT($G$23,2)))&gt;=P15,","&amp;$G$22,"")&amp;IF(IF($H$23="",1,VALUE(LEFT($H$23,2)))&gt;=P15,","&amp;$H$22,"")&amp;IF(IF($I$23="",1,VALUE(LEFT($I$23,2)))&gt;=P15,","&amp;$I$22,"")&amp;IF(IF($J$23="",1,VALUE(LEFT($J$23,2)))&gt;=P15,","&amp;$J$22,"")&amp;IF(IF($K$23="",1,VALUE(LEFT($K$23,2)))&gt;=P15,","&amp;$K$22,"")&amp;IF(IF($L$23="",1,VALUE(LEFT($L$23,2)))&gt;=P15,","&amp;$L$22,"")&amp;IF(IF($M$23="",1,VALUE(LEFT($M$23,2)))&gt;=P15,","&amp;$M$22,"")&amp;IF(IF($N$23="",1,VALUE(LEFT($N$23,2)))&gt;=P15,","&amp;$N$22,"")&amp;IF(IF($O$23="",1,VALUE(LEFT($O$23,2)))&gt;=P15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,이준오,김담현,김용,박성준,임동주</x:v>
      </x:c>
      <x:c r="M16" s="209"/>
      <x:c r="N16" s="209"/>
      <x:c r="O16" s="210"/>
      <x:c r="P16" s="95"/>
      <x:c r="Q16" s="30" t="s">
        <x:v>256</x:v>
      </x:c>
    </x:row>
    <x:row r="17" spans="1:17" s="34" customFormat="1" ht="50.10000000000000142109" customHeight="1">
      <x:c r="A17" s="115" t="s">
        <x:v>100</x:v>
      </x:c>
      <x:c r="B17" s="237" t="str">
        <x:f>HLOOKUP(C7,'시간표(상용)'!$B$6:$EP$387,18,FALSE)</x:f>
        <x:v>Advanced 프로젝트</x:v>
      </x:c>
      <x:c r="C17" s="237"/>
      <x:c r="D17" s="237"/>
      <x:c r="E17" s="236" t="str">
        <x:f>HLOOKUP(C7,'시간표(상용)'!$B$6:$EP$38,21,FALSE)</x:f>
        <x:v>양현수</x:v>
      </x:c>
      <x:c r="F17" s="236"/>
      <x:c r="G17" s="213" t="str">
        <x:f>HLOOKUP(C7,'시간표(상용)'!$B$6:$EP$387,19,FALSE)</x:f>
        <x:v>Advanced 프로젝트</x:v>
      </x:c>
      <x:c r="H17" s="214"/>
      <x:c r="I17" s="214"/>
      <x:c r="J17" s="214"/>
      <x:c r="K17" s="214"/>
      <x:c r="L17" s="208" t="str">
        <x:f>IF(B17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17,","&amp;$E$26,"")&amp;IF(IF($F$27="","",VALUE(LEFT($F$27,2)))&lt;P17,","&amp;$F$26,"")&amp;IF(IF($G$27="","",VALUE(LEFT($G$27,2)))&lt;P17,","&amp;$G$26,"")&amp;IF(IF($H$27="","",VALUE(LEFT($H$27,2)))&lt;P17,","&amp;$H$26,"")&amp;IF(IF($I$27="","",VALUE(LEFT($I$27,2)))&lt;P17,","&amp;$I$26,"")&amp;IF(IF($J$27="","",VALUE(LEFT($J$27,2)))&lt;P17,","&amp;$J$26,"")&amp;IF(IF($K$27="","",VALUE(LEFT($K$27,2)))&lt;P17,","&amp;$K$26,"")&amp;IF(IF($L$27="","",VALUE(LEFT($L$27,2)))&lt;P17,","&amp;$L$26,"")&amp;IF(IF($M$27="","",VALUE(LEFT($M$27,2)))&lt;P17,","&amp;$M$26,"")&amp;IF(IF($N$27="","",VALUE(LEFT($N$27,2)))&lt;P17,","&amp;$N$26,"")&amp;IF(IF($O$27="","",VALUE(LEFT($O$27,2)))&lt;P17,","&amp;$O$26,""))</x:f>
        <x:v>이준오,김담현,김용,박성준,임동주</x:v>
      </x:c>
      <x:c r="M17" s="209"/>
      <x:c r="N17" s="209"/>
      <x:c r="O17" s="210"/>
      <x:c r="P17" s="95">
        <x:v>14</x:v>
      </x:c>
      <x:c r="Q17" s="30" t="s">
        <x:v>168</x:v>
      </x:c>
    </x:row>
    <x:row r="18" spans="1:17" s="34" customFormat="1" ht="50.10000000000000142109" customHeight="1">
      <x:c r="A18" s="115" t="s">
        <x:v>110</x:v>
      </x:c>
      <x:c r="B18" s="237" t="str">
        <x:f>HLOOKUP(C7,'시간표(상용)'!$B$6:$EP$387,22,FALSE)</x:f>
        <x:v>Advanced 프로젝트</x:v>
      </x:c>
      <x:c r="C18" s="237"/>
      <x:c r="D18" s="237"/>
      <x:c r="E18" s="236" t="str">
        <x:f>HLOOKUP(C7,'시간표(상용)'!$B$6:$EP$38,25,FALSE)</x:f>
        <x:v>양현수</x:v>
      </x:c>
      <x:c r="F18" s="236"/>
      <x:c r="G18" s="213" t="str">
        <x:f>HLOOKUP(C7,'시간표(상용)'!$B$6:$EP$387,23,FALSE)</x:f>
        <x:v>Advanced 프로젝트</x:v>
      </x:c>
      <x:c r="H18" s="214"/>
      <x:c r="I18" s="214"/>
      <x:c r="J18" s="214"/>
      <x:c r="K18" s="214"/>
      <x:c r="L18" s="208" t="str">
        <x:f>IF(B18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18,","&amp;$E$26,"")&amp;IF(IF($F$27="","",VALUE(LEFT($F$27,2)))&lt;P18,","&amp;$F$26,"")&amp;IF(IF($G$27="","",VALUE(LEFT($G$27,2)))&lt;P18,","&amp;$G$26,"")&amp;IF(IF($H$27="","",VALUE(LEFT($H$27,2)))&lt;P18,","&amp;$H$26,"")&amp;IF(IF($I$27="","",VALUE(LEFT($I$27,2)))&lt;P18,","&amp;$I$26,"")&amp;IF(IF($J$27="","",VALUE(LEFT($J$27,2)))&lt;P18,","&amp;$J$26,"")&amp;IF(IF($K$27="","",VALUE(LEFT($K$27,2)))&lt;P18,","&amp;$K$26,"")&amp;IF(IF($L$27="","",VALUE(LEFT($L$27,2)))&lt;P18,","&amp;$L$26,"")&amp;IF(IF($M$27="","",VALUE(LEFT($M$27,2)))&lt;P18,","&amp;$M$26,"")&amp;IF(IF($N$27="","",VALUE(LEFT($N$27,2)))&lt;P18,","&amp;$N$26,"")&amp;IF(IF($O$27="","",VALUE(LEFT($O$27,2)))&lt;P18,","&amp;$O$26,""))</x:f>
        <x:v>이준오,김담현,김용,박성준,임동주</x:v>
      </x:c>
      <x:c r="M18" s="209"/>
      <x:c r="N18" s="209"/>
      <x:c r="O18" s="210"/>
      <x:c r="P18" s="95">
        <x:v>15</x:v>
      </x:c>
      <x:c r="Q18" s="30" t="s">
        <x:v>222</x:v>
      </x:c>
    </x:row>
    <x:row r="19" spans="1:17" s="34" customFormat="1" ht="50.10000000000000142109" customHeight="1">
      <x:c r="A19" s="115" t="s">
        <x:v>113</x:v>
      </x:c>
      <x:c r="B19" s="237" t="str">
        <x:f>HLOOKUP(C7,'시간표(상용)'!$B$6:$EP$387,26,FALSE)</x:f>
        <x:v>Advanced 프로젝트</x:v>
      </x:c>
      <x:c r="C19" s="237"/>
      <x:c r="D19" s="237"/>
      <x:c r="E19" s="236" t="str">
        <x:f>HLOOKUP(C7,'시간표(상용)'!$B$6:$EP$38,29,FALSE)</x:f>
        <x:v>양현수</x:v>
      </x:c>
      <x:c r="F19" s="236"/>
      <x:c r="G19" s="213" t="str">
        <x:f>HLOOKUP(C7,'시간표(상용)'!$B$6:$EP$387,27,FALSE)</x:f>
        <x:v>Advanced 프로젝트</x:v>
      </x:c>
      <x:c r="H19" s="214"/>
      <x:c r="I19" s="214"/>
      <x:c r="J19" s="214"/>
      <x:c r="K19" s="214"/>
      <x:c r="L19" s="208" t="str">
        <x:f>IF(B19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19,","&amp;$E$26,"")&amp;IF(IF($F$27="","",VALUE(LEFT($F$27,2)))&lt;P19,","&amp;$F$26,"")&amp;IF(IF($G$27="","",VALUE(LEFT($G$27,2)))&lt;P19,","&amp;$G$26,"")&amp;IF(IF($H$27="","",VALUE(LEFT($H$27,2)))&lt;P19,","&amp;$H$26,"")&amp;IF(IF($I$27="","",VALUE(LEFT($I$27,2)))&lt;P19,","&amp;$I$26,"")&amp;IF(IF($J$27="","",VALUE(LEFT($J$27,2)))&lt;P19,","&amp;$J$26,"")&amp;IF(IF($K$27="","",VALUE(LEFT($K$27,2)))&lt;P19,","&amp;$K$26,"")&amp;IF(IF($L$27="","",VALUE(LEFT($L$27,2)))&lt;P19,","&amp;$L$26,"")&amp;IF(IF($M$27="","",VALUE(LEFT($M$27,2)))&lt;P19,","&amp;$M$26,"")&amp;IF(IF($N$27="","",VALUE(LEFT($N$27,2)))&lt;P19,","&amp;$N$26,"")&amp;IF(IF($O$27="","",VALUE(LEFT($O$27,2)))&lt;P19,","&amp;$O$26,""))</x:f>
        <x:v>이준오,김담현,김용,박성준,임동주</x:v>
      </x:c>
      <x:c r="M19" s="209"/>
      <x:c r="N19" s="209"/>
      <x:c r="O19" s="210"/>
      <x:c r="P19" s="95">
        <x:v>16</x:v>
      </x:c>
      <x:c r="Q19" s="30" t="s">
        <x:v>243</x:v>
      </x:c>
    </x:row>
    <x:row r="20" spans="1:17" s="34" customFormat="1" ht="50.10000000000000142109" customHeight="1">
      <x:c r="A20" s="115" t="s">
        <x:v>101</x:v>
      </x:c>
      <x:c r="B20" s="237" t="str">
        <x:f>HLOOKUP(C7,'시간표(상용)'!$B$6:$EP$387,30,FALSE)</x:f>
        <x:v>Advanced 프로젝트</x:v>
      </x:c>
      <x:c r="C20" s="237"/>
      <x:c r="D20" s="237"/>
      <x:c r="E20" s="236" t="str">
        <x:f>HLOOKUP(C7,'시간표(상용)'!$B$6:$EP$38,33,FALSE)</x:f>
        <x:v>양현수</x:v>
      </x:c>
      <x:c r="F20" s="236"/>
      <x:c r="G20" s="211" t="str">
        <x:f>HLOOKUP(C7,'시간표(상용)'!$B$6:$EP$387,31,FALSE)</x:f>
        <x:v>Advanced 프로젝트</x:v>
      </x:c>
      <x:c r="H20" s="212"/>
      <x:c r="I20" s="212"/>
      <x:c r="J20" s="212"/>
      <x:c r="K20" s="212"/>
      <x:c r="L20" s="202" t="str">
        <x:f>IF(B20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20,","&amp;$E$26,"")&amp;IF(IF($F$27="","",VALUE(LEFT($F$27,2)))&lt;P20,","&amp;$F$26,"")&amp;IF(IF($G$27="","",VALUE(LEFT($G$27,2)))&lt;P20,","&amp;$G$26,"")&amp;IF(IF($H$27="","",VALUE(LEFT($H$27,2)))&lt;P20,","&amp;$H$26,"")&amp;IF(IF($I$27="","",VALUE(LEFT($I$27,2)))&lt;P20,","&amp;$I$26,"")&amp;IF(IF($J$27="","",VALUE(LEFT($J$27,2)))&lt;P20,","&amp;$J$26,"")&amp;IF(IF($K$27="","",VALUE(LEFT($K$27,2)))&lt;P20,","&amp;$K$26,"")&amp;IF(IF($L$27="","",VALUE(LEFT($L$27,2)))&lt;P20,","&amp;$L$26,"")&amp;IF(IF($M$27="","",VALUE(LEFT($M$27,2)))&lt;P20,","&amp;$M$26,"")&amp;IF(IF($N$27="","",VALUE(LEFT($N$27,2)))&lt;P20,","&amp;$N$26,"")&amp;IF(IF($O$27="","",VALUE(LEFT($O$27,2)))&lt;P20,","&amp;$O$26,""))</x:f>
        <x:v>이준오,김담현,김용,박성준,임동주</x:v>
      </x:c>
      <x:c r="M20" s="203"/>
      <x:c r="N20" s="203"/>
      <x:c r="O20" s="204"/>
      <x:c r="P20" s="95">
        <x:v>17</x:v>
      </x:c>
      <x:c r="Q20" s="30" t="s">
        <x:v>229</x:v>
      </x:c>
    </x:row>
    <x:row r="21" spans="1:15" ht="36.75" customHeight="1">
      <x:c r="A21" s="217" t="s">
        <x:v>33</x:v>
      </x:c>
      <x:c r="B21" s="218"/>
      <x:c r="C21" s="218"/>
      <x:c r="D21" s="218"/>
      <x:c r="E21" s="219"/>
      <x:c r="F21" s="220"/>
      <x:c r="G21" s="220"/>
      <x:c r="H21" s="220"/>
      <x:c r="I21" s="220"/>
      <x:c r="J21" s="220"/>
      <x:c r="K21" s="220"/>
      <x:c r="L21" s="220"/>
      <x:c r="M21" s="220"/>
      <x:c r="N21" s="220"/>
      <x:c r="O21" s="221"/>
    </x:row>
    <x:row r="22" spans="1:15" ht="20.25" customHeight="1">
      <x:c r="A22" s="222" t="s">
        <x:v>37</x:v>
      </x:c>
      <x:c r="B22" s="225" t="s">
        <x:v>140</x:v>
      </x:c>
      <x:c r="C22" s="225"/>
      <x:c r="D22" s="226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10"/>
    </x:row>
    <x:row r="23" spans="1:15" ht="20.25" customHeight="1">
      <x:c r="A23" s="223"/>
      <x:c r="B23" s="227"/>
      <x:c r="C23" s="227"/>
      <x:c r="D23" s="228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1"/>
    </x:row>
    <x:row r="24" spans="1:15" ht="20.25" customHeight="1">
      <x:c r="A24" s="223"/>
      <x:c r="B24" s="229" t="s">
        <x:v>154</x:v>
      </x:c>
      <x:c r="C24" s="229"/>
      <x:c r="D24" s="230"/>
      <x:c r="E24" s="109" t="s">
        <x:v>145</x:v>
      </x:c>
      <x:c r="F24" s="109" t="s">
        <x:v>148</x:v>
      </x:c>
      <x:c r="G24" s="109" t="s">
        <x:v>158</x:v>
      </x:c>
      <x:c r="H24" s="109" t="s">
        <x:v>120</x:v>
      </x:c>
      <x:c r="I24" s="102" t="s">
        <x:v>159</x:v>
      </x:c>
      <x:c r="J24" s="102"/>
      <x:c r="K24" s="102"/>
      <x:c r="L24" s="102"/>
      <x:c r="M24" s="102"/>
      <x:c r="N24" s="102"/>
      <x:c r="O24" s="103"/>
    </x:row>
    <x:row r="25" spans="1:15" ht="20.25" customHeight="1">
      <x:c r="A25" s="223"/>
      <x:c r="B25" s="229"/>
      <x:c r="C25" s="229"/>
      <x:c r="D25" s="230"/>
      <x:c r="E25" s="104"/>
      <x:c r="F25" s="104"/>
      <x:c r="G25" s="111"/>
      <x:c r="H25" s="111"/>
      <x:c r="I25" s="111"/>
      <x:c r="J25" s="111"/>
      <x:c r="K25" s="111"/>
      <x:c r="L25" s="111"/>
      <x:c r="M25" s="111"/>
      <x:c r="N25" s="111"/>
      <x:c r="O25" s="112"/>
    </x:row>
    <x:row r="26" spans="1:15" ht="20.25" customHeight="1">
      <x:c r="A26" s="223"/>
      <x:c r="B26" s="225" t="s">
        <x:v>141</x:v>
      </x:c>
      <x:c r="C26" s="225"/>
      <x:c r="D26" s="226"/>
      <x:c r="E26" s="109"/>
      <x:c r="F26" s="183"/>
      <x:c r="G26" s="109"/>
      <x:c r="H26" s="109"/>
      <x:c r="I26" s="109"/>
      <x:c r="J26" s="109"/>
      <x:c r="K26" s="109"/>
      <x:c r="L26" s="109"/>
      <x:c r="M26" s="109"/>
      <x:c r="N26" s="109"/>
      <x:c r="O26" s="110"/>
    </x:row>
    <x:row r="27" spans="1:15" ht="20.25" customHeight="1">
      <x:c r="A27" s="223"/>
      <x:c r="B27" s="227"/>
      <x:c r="C27" s="227"/>
      <x:c r="D27" s="228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1"/>
    </x:row>
    <x:row r="28" spans="1:15" ht="76.5" customHeight="1">
      <x:c r="A28" s="224"/>
      <x:c r="B28" s="231" t="s">
        <x:v>61</x:v>
      </x:c>
      <x:c r="C28" s="232"/>
      <x:c r="D28" s="232"/>
      <x:c r="E28" s="233"/>
      <x:c r="F28" s="234"/>
      <x:c r="G28" s="234"/>
      <x:c r="H28" s="234"/>
      <x:c r="I28" s="234"/>
      <x:c r="J28" s="234"/>
      <x:c r="K28" s="234"/>
      <x:c r="L28" s="234"/>
      <x:c r="M28" s="234"/>
      <x:c r="N28" s="234"/>
      <x:c r="O28" s="235"/>
    </x:row>
  </x:sheetData>
  <x:mergeCells count="49">
    <x:mergeCell ref="L20:O20"/>
    <x:mergeCell ref="L12:O12"/>
    <x:mergeCell ref="L13:O13"/>
    <x:mergeCell ref="L14:O14"/>
    <x:mergeCell ref="L15:O15"/>
    <x:mergeCell ref="L16:O16"/>
    <x:mergeCell ref="L17:O17"/>
    <x:mergeCell ref="L18:O18"/>
    <x:mergeCell ref="L19:O19"/>
    <x:mergeCell ref="G20:K20"/>
    <x:mergeCell ref="G19:K19"/>
    <x:mergeCell ref="G12:K12"/>
    <x:mergeCell ref="G13:K13"/>
    <x:mergeCell ref="G14:K14"/>
    <x:mergeCell ref="G15:K15"/>
    <x:mergeCell ref="G16:K16"/>
    <x:mergeCell ref="G17:K17"/>
    <x:mergeCell ref="G18:K18"/>
    <x:mergeCell ref="A21:D21"/>
    <x:mergeCell ref="E21:O21"/>
    <x:mergeCell ref="A22:A28"/>
    <x:mergeCell ref="B22:D23"/>
    <x:mergeCell ref="B24:D25"/>
    <x:mergeCell ref="B26:D27"/>
    <x:mergeCell ref="B28:D28"/>
    <x:mergeCell ref="E28:O28"/>
    <x:mergeCell ref="E20:F20"/>
    <x:mergeCell ref="B15:D15"/>
    <x:mergeCell ref="B16:D16"/>
    <x:mergeCell ref="B17:D17"/>
    <x:mergeCell ref="B18:D18"/>
    <x:mergeCell ref="B19:D19"/>
    <x:mergeCell ref="B20:D20"/>
    <x:mergeCell ref="E15:F15"/>
    <x:mergeCell ref="E16:F16"/>
    <x:mergeCell ref="E17:F17"/>
    <x:mergeCell ref="E18:F18"/>
    <x:mergeCell ref="E19:F19"/>
    <x:mergeCell ref="B12:D12"/>
    <x:mergeCell ref="E12:F12"/>
    <x:mergeCell ref="B13:D13"/>
    <x:mergeCell ref="B14:D14"/>
    <x:mergeCell ref="E13:F13"/>
    <x:mergeCell ref="E14:F14"/>
    <x:mergeCell ref="C4:I4"/>
    <x:mergeCell ref="C7:E7"/>
    <x:mergeCell ref="H7:I7"/>
    <x:mergeCell ref="A11:O11"/>
    <x:mergeCell ref="A1:O1"/>
  </x:mergeCells>
  <x:dataValidations count="2">
    <x:dataValidation type="list" allowBlank="1" showInputMessage="1" showErrorMessage="1" sqref="C7:E7">
      <x:formula1>'시간표(상용)'!$B$6:$EP$6</x:formula1>
    </x:dataValidation>
    <x:dataValidation type="list" allowBlank="1" showInputMessage="1" showErrorMessage="1" sqref="C7:E7">
      <x:formula1>훈련일!A1:A140</x:formula1>
    </x:dataValidation>
  </x:dataValidations>
  <x:printOptions horizontalCentered="1" verticalCentered="1" headings="0" gridLines="0" gridLinesSet="1"/>
  <x:pageMargins left="0.70861113071441650391" right="0.70861113071441650391" top="0.74750000238418579102" bottom="0.74750000238418579102" header="0" footer="0"/>
  <x:pageSetup paperSize="9" scale="78" firstPageNumber="1" fitToWidth="1" fitToHeight="1" orientation="portrait" usePrinterDefaults="1" blackAndWhite="0" draft="0" useFirstPageNumber="0" horizontalDpi="4294967293" verticalDpi="300" copies="1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Q27"/>
  <x:sheetViews>
    <x:sheetView view="pageBreakPreview" topLeftCell="A1" zoomScaleNormal="85" zoomScaleSheetLayoutView="100" workbookViewId="0">
      <x:selection activeCell="E28" activeCellId="0" sqref="E28:O28"/>
    </x:sheetView>
  </x:sheetViews>
  <x:sheetFormatPr defaultColWidth="9" defaultRowHeight="16.5"/>
  <x:cols>
    <x:col min="1" max="15" width="6.625" customWidth="1"/>
    <x:col min="17" max="17" width="11.125" bestFit="1" customWidth="1"/>
  </x:cols>
  <x:sheetData>
    <x:row r="1" spans="1:15" ht="57.75" customHeight="1">
      <x:c r="A1" s="272" t="s">
        <x:v>15</x:v>
      </x:c>
      <x:c r="B1" s="272"/>
      <x:c r="C1" s="272"/>
      <x:c r="D1" s="272"/>
      <x:c r="E1" s="272"/>
      <x:c r="F1" s="272"/>
      <x:c r="G1" s="272"/>
      <x:c r="H1" s="272"/>
      <x:c r="I1" s="272"/>
      <x:c r="J1" s="272"/>
      <x:c r="K1" s="272"/>
      <x:c r="L1" s="272"/>
      <x:c r="M1" s="272"/>
      <x:c r="N1" s="272"/>
      <x:c r="O1" s="272"/>
    </x:row>
    <x:row r="2" spans="1:8" ht="6.75" customHeight="1">
      <x:c r="A2" s="89"/>
      <x:c r="B2" s="89"/>
      <x:c r="C2" s="89"/>
      <x:c r="D2" s="89"/>
      <x:c r="E2" s="89"/>
      <x:c r="F2" s="89"/>
      <x:c r="G2" s="89"/>
      <x:c r="H2" s="89"/>
    </x:row>
    <x:row r="3" spans="1:17" ht="24.94999999999999928946" customHeight="1">
      <x:c r="A3" s="118" t="s">
        <x:v>106</x:v>
      </x:c>
      <x:c r="C3" s="243" t="s">
        <x:v>264</x:v>
      </x:c>
      <x:c r="D3" s="243"/>
      <x:c r="E3" s="243"/>
      <x:c r="F3" s="118"/>
      <x:c r="G3" s="118"/>
      <x:c r="H3" s="118"/>
      <x:c r="I3" s="118"/>
      <x:c r="Q3" s="131"/>
    </x:row>
    <x:row r="4" spans="1:9" ht="24.94999999999999928946" customHeight="1">
      <x:c r="A4" s="118" t="s">
        <x:v>115</x:v>
      </x:c>
      <x:c r="C4" s="273" t="str">
        <x:f>기본입력!C1</x:f>
        <x:v>인공지능(AI),빅데이터 활용 웹솔루션 개발자 양성(Python, Java)</x:v>
      </x:c>
      <x:c r="D4" s="273"/>
      <x:c r="E4" s="273"/>
      <x:c r="F4" s="273"/>
      <x:c r="G4" s="273"/>
      <x:c r="H4" s="273"/>
      <x:c r="I4" s="273"/>
    </x:row>
    <x:row r="5" spans="1:9" ht="24.94999999999999928946" customHeight="1">
      <x:c r="A5" s="118" t="s">
        <x:v>99</x:v>
      </x:c>
      <x:c r="C5" s="147" t="str">
        <x:f>기본입력!C2</x:f>
        <x:v>2025.09.22~2026.03.25</x:v>
      </x:c>
      <x:c r="D5" s="119"/>
      <x:c r="E5" s="119"/>
      <x:c r="F5" s="146" t="str">
        <x:f>"("&amp;기본입력!C3&amp;")"</x:f>
        <x:v>((6개월. 122일. 976시간. 일 8.0시간) )</x:v>
      </x:c>
      <x:c r="G5" s="117"/>
      <x:c r="H5" s="120"/>
      <x:c r="I5" s="121"/>
    </x:row>
    <x:row r="6" spans="1:15" ht="30.75" customHeight="1">
      <x:c r="A6" s="105" t="s">
        <x:v>266</x:v>
      </x:c>
      <x:c r="B6" s="106"/>
      <x:c r="C6" s="274">
        <x:v>44951</x:v>
      </x:c>
      <x:c r="D6" s="274"/>
      <x:c r="E6" s="274"/>
      <x:c r="F6" s="107"/>
      <x:c r="G6" s="106"/>
      <x:c r="H6" s="241">
        <x:f>C6</x:f>
        <x:v>44951</x:v>
      </x:c>
      <x:c r="I6" s="241"/>
      <x:c r="J6" s="106"/>
      <x:c r="K6" s="106"/>
      <x:c r="L6" s="108" t="str">
        <x:f>"("&amp;NETWORKDAYS(시작일,C6,공휴일)&amp;"일"</x:f>
        <x:v>(-693일</x:v>
      </x:c>
      <x:c r="M6" s="108" t="str">
        <x:f>"/ "&amp;NETWORKDAYS(시작일,종료일,공휴일)&amp;"일)"</x:f>
        <x:v>/ 122일)</x:v>
      </x:c>
      <x:c r="N6" s="106"/>
      <x:c r="O6" s="106"/>
    </x:row>
    <x:row r="7" ht="9.94999999999999928946" customHeight="1"/>
    <x:row r="8" spans="1:15" ht="24.75" customHeight="1">
      <x:c r="A8" s="98" t="s">
        <x:v>130</x:v>
      </x:c>
      <x:c r="B8" s="99">
        <x:v>30</x:v>
      </x:c>
      <x:c r="C8" s="96" t="s">
        <x:v>144</x:v>
      </x:c>
      <x:c r="D8" s="98" t="s">
        <x:v>129</x:v>
      </x:c>
      <x:c r="E8" s="99">
        <x:f>B8-H8</x:f>
        <x:v>29</x:v>
      </x:c>
      <x:c r="F8" s="96" t="s">
        <x:v>144</x:v>
      </x:c>
      <x:c r="G8" s="98" t="s">
        <x:v>157</x:v>
      </x:c>
      <x:c r="H8" s="99">
        <x:f>COUNTA(결석훈련생명단)</x:f>
        <x:v>1</x:v>
      </x:c>
      <x:c r="I8" s="96" t="s">
        <x:v>144</x:v>
      </x:c>
      <x:c r="J8" s="98" t="s">
        <x:v>137</x:v>
      </x:c>
      <x:c r="K8" s="99">
        <x:f>COUNTA(지각훈련생명단)</x:f>
        <x:v>2</x:v>
      </x:c>
      <x:c r="L8" s="96" t="s">
        <x:v>144</x:v>
      </x:c>
      <x:c r="M8" s="98" t="s">
        <x:v>127</x:v>
      </x:c>
      <x:c r="N8" s="99">
        <x:f>COUNTA(조퇴훈련생명단)</x:f>
        <x:v>3</x:v>
      </x:c>
      <x:c r="O8" s="96" t="s">
        <x:v>144</x:v>
      </x:c>
    </x:row>
    <x:row r="9" ht="9.94999999999999928946" customHeight="1"/>
    <x:row r="10" spans="1:15" ht="24.94999999999999928946" customHeight="1">
      <x:c r="A10" s="238" t="s">
        <x:v>97</x:v>
      </x:c>
      <x:c r="B10" s="238"/>
      <x:c r="C10" s="238"/>
      <x:c r="D10" s="238"/>
      <x:c r="E10" s="238"/>
      <x:c r="F10" s="238"/>
      <x:c r="G10" s="238"/>
      <x:c r="H10" s="238"/>
      <x:c r="I10" s="238"/>
      <x:c r="J10" s="238"/>
      <x:c r="K10" s="238"/>
      <x:c r="L10" s="238"/>
      <x:c r="M10" s="238"/>
      <x:c r="N10" s="238"/>
      <x:c r="O10" s="238"/>
    </x:row>
    <x:row r="11" spans="1:16" ht="36" customHeight="1">
      <x:c r="A11" s="97" t="s">
        <x:v>149</x:v>
      </x:c>
      <x:c r="B11" s="238" t="s">
        <x:v>22</x:v>
      </x:c>
      <x:c r="C11" s="238"/>
      <x:c r="D11" s="238"/>
      <x:c r="E11" s="238" t="s">
        <x:v>2</x:v>
      </x:c>
      <x:c r="F11" s="238"/>
      <x:c r="G11" s="215" t="s">
        <x:v>293</x:v>
      </x:c>
      <x:c r="H11" s="216"/>
      <x:c r="I11" s="216"/>
      <x:c r="J11" s="244"/>
      <x:c r="K11" s="206" t="s">
        <x:v>198</x:v>
      </x:c>
      <x:c r="L11" s="206"/>
      <x:c r="M11" s="206"/>
      <x:c r="N11" s="206"/>
      <x:c r="O11" s="207"/>
      <x:c r="P11" s="114">
        <x:v>9</x:v>
      </x:c>
    </x:row>
    <x:row r="12" spans="1:17" s="34" customFormat="1" ht="50.10000000000000142109" customHeight="1">
      <x:c r="A12" s="115" t="s">
        <x:v>108</x:v>
      </x:c>
      <x:c r="B12" s="267" t="e">
        <x:f>HLOOKUP(C6,'시간표(상용)'!$B$6:$EP$38,2,FALSE)</x:f>
        <x:v>#N/A</x:v>
      </x:c>
      <x:c r="C12" s="267"/>
      <x:c r="D12" s="267"/>
      <x:c r="E12" s="268" t="e">
        <x:f>HLOOKUP(C6,'시간표(상용)'!$B$6:$EP$38,5,FALSE)</x:f>
        <x:v>#N/A</x:v>
      </x:c>
      <x:c r="F12" s="268"/>
      <x:c r="G12" s="245" t="e">
        <x:f>HLOOKUP(C6,'시간표(상용)'!$B$6:$EP$38,3,FALSE)</x:f>
        <x:v>#N/A</x:v>
      </x:c>
      <x:c r="H12" s="246"/>
      <x:c r="I12" s="246"/>
      <x:c r="J12" s="247"/>
      <x:c r="K12" s="209" t="str">
        <x:f>IF(IF($E$22="",1,VALUE(LEFT($E$22,2)))&gt;=P11,$E$21,"")&amp;IF(IF($F$22="",1,VALUE(LEFT($F$22,2)))&gt;=P11,","&amp;$F$21,"")&amp;IF(IF($G$22="",1,VALUE(LEFT($G$22,2)))&gt;=P11,","&amp;$G$21,"")&amp;IF(IF($H$22="",1,VALUE(LEFT($H$22,2)))&gt;=P11,","&amp;$H$21,"")&amp;IF(IF($I$22="",1,VALUE(LEFT($I$22,2)))&gt;=P11,","&amp;$I$21,"")&amp;IF(IF($J$22="",1,VALUE(LEFT($J$22,2)))&gt;=P11,","&amp;$J$21,"")&amp;IF(IF($K$22="",1,VALUE(LEFT($K$22,2)))&gt;=P11,","&amp;$K$21,"")&amp;IF(IF($L$22="",1,VALUE(LEFT($L$22,2)))&gt;=P11,","&amp;$L$21,"")&amp;IF(IF($M$22="",1,VALUE(LEFT($M$22,2)))&gt;=P11,","&amp;$M$21,"")&amp;IF(IF($N$22="",1,VALUE(LEFT($N$22,2)))&gt;=P11,","&amp;$N$21,"")&amp;IF(IF($O$22="",1,VALUE(LEFT($O$22,2)))&gt;=P11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미어캣,고릴라,코알라</x:v>
      </x:c>
      <x:c r="L12" s="209"/>
      <x:c r="M12" s="209"/>
      <x:c r="N12" s="209"/>
      <x:c r="O12" s="210"/>
      <x:c r="P12" s="113">
        <x:v>10</x:v>
      </x:c>
      <x:c r="Q12" s="30" t="s">
        <x:v>245</x:v>
      </x:c>
    </x:row>
    <x:row r="13" spans="1:17" s="34" customFormat="1" ht="50.10000000000000142109" customHeight="1">
      <x:c r="A13" s="115" t="s">
        <x:v>104</x:v>
      </x:c>
      <x:c r="B13" s="267" t="e">
        <x:f>HLOOKUP(C6,'시간표(상용)'!$B$6:$EP$387,6,FALSE)</x:f>
        <x:v>#N/A</x:v>
      </x:c>
      <x:c r="C13" s="267"/>
      <x:c r="D13" s="267"/>
      <x:c r="E13" s="268" t="e">
        <x:f>HLOOKUP(C6,'시간표(상용)'!$B$6:$EP$38,9,FALSE)</x:f>
        <x:v>#N/A</x:v>
      </x:c>
      <x:c r="F13" s="268"/>
      <x:c r="G13" s="245" t="e">
        <x:f>HLOOKUP(C6,'시간표(상용)'!$B$6:$EP$387,7,FALSE)</x:f>
        <x:v>#N/A</x:v>
      </x:c>
      <x:c r="H13" s="246"/>
      <x:c r="I13" s="246"/>
      <x:c r="J13" s="247"/>
      <x:c r="K13" s="209" t="str">
        <x:f>IF(IF($E$22="",1,VALUE(LEFT($E$22,2)))&gt;=P12,$E$21,"")&amp;IF(IF($F$22="",1,VALUE(LEFT($F$22,2)))&gt;=P12,","&amp;$F$21,"")&amp;IF(IF($G$22="",1,VALUE(LEFT($G$22,2)))&gt;=P12,","&amp;$G$21,"")&amp;IF(IF($H$22="",1,VALUE(LEFT($H$22,2)))&gt;=P12,","&amp;$H$21,"")&amp;IF(IF($I$22="",1,VALUE(LEFT($I$22,2)))&gt;=P12,","&amp;$I$21,"")&amp;IF(IF($J$22="",1,VALUE(LEFT($J$22,2)))&gt;=P12,","&amp;$J$21,"")&amp;IF(IF($K$22="",1,VALUE(LEFT($K$22,2)))&gt;=P12,","&amp;$K$21,"")&amp;IF(IF($L$22="",1,VALUE(LEFT($L$22,2)))&gt;=P12,","&amp;$L$21,"")&amp;IF(IF($M$22="",1,VALUE(LEFT($M$22,2)))&gt;=P12,","&amp;$M$21,"")&amp;IF(IF($N$22="",1,VALUE(LEFT($N$22,2)))&gt;=P12,","&amp;$N$21,"")&amp;IF(IF($O$22="",1,VALUE(LEFT($O$22,2)))&gt;=P12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,고릴라,코알라</x:v>
      </x:c>
      <x:c r="L13" s="209"/>
      <x:c r="M13" s="209"/>
      <x:c r="N13" s="209"/>
      <x:c r="O13" s="210"/>
      <x:c r="P13" s="95">
        <x:v>11</x:v>
      </x:c>
      <x:c r="Q13" s="30" t="s">
        <x:v>294</x:v>
      </x:c>
    </x:row>
    <x:row r="14" spans="1:17" s="34" customFormat="1" ht="50.10000000000000142109" customHeight="1">
      <x:c r="A14" s="115" t="s">
        <x:v>102</x:v>
      </x:c>
      <x:c r="B14" s="267" t="e">
        <x:f>HLOOKUP(C6,'시간표(상용)'!$B$6:$EP$387,10,FALSE)</x:f>
        <x:v>#N/A</x:v>
      </x:c>
      <x:c r="C14" s="267"/>
      <x:c r="D14" s="267"/>
      <x:c r="E14" s="268" t="e">
        <x:f>HLOOKUP(C6,'시간표(상용)'!$B$6:$EP$38,13,FALSE)</x:f>
        <x:v>#N/A</x:v>
      </x:c>
      <x:c r="F14" s="268"/>
      <x:c r="G14" s="245" t="e">
        <x:f>HLOOKUP(C6,'시간표(상용)'!$B$6:$EP$387,11,FALSE)</x:f>
        <x:v>#N/A</x:v>
      </x:c>
      <x:c r="H14" s="246"/>
      <x:c r="I14" s="246"/>
      <x:c r="J14" s="247"/>
      <x:c r="K14" s="209" t="str">
        <x:f>IF(IF($E$22="",1,VALUE(LEFT($E$22,2)))&gt;=P13,$E$21,"")&amp;IF(IF($F$22="",1,VALUE(LEFT($F$22,2)))&gt;=P13,","&amp;$F$21,"")&amp;IF(IF($G$22="",1,VALUE(LEFT($G$22,2)))&gt;=P13,","&amp;$G$21,"")&amp;IF(IF($H$22="",1,VALUE(LEFT($H$22,2)))&gt;=P13,","&amp;$H$21,"")&amp;IF(IF($I$22="",1,VALUE(LEFT($I$22,2)))&gt;=P13,","&amp;$I$21,"")&amp;IF(IF($J$22="",1,VALUE(LEFT($J$22,2)))&gt;=P13,","&amp;$J$21,"")&amp;IF(IF($K$22="",1,VALUE(LEFT($K$22,2)))&gt;=P13,","&amp;$K$21,"")&amp;IF(IF($L$22="",1,VALUE(LEFT($L$22,2)))&gt;=P13,","&amp;$L$21,"")&amp;IF(IF($M$22="",1,VALUE(LEFT($M$22,2)))&gt;=P13,","&amp;$M$21,"")&amp;IF(IF($N$22="",1,VALUE(LEFT($N$22,2)))&gt;=P13,","&amp;$N$21,"")&amp;IF(IF($O$22="",1,VALUE(LEFT($O$22,2)))&gt;=P13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,고릴라,코알라</x:v>
      </x:c>
      <x:c r="L14" s="209"/>
      <x:c r="M14" s="209"/>
      <x:c r="N14" s="209"/>
      <x:c r="O14" s="210"/>
      <x:c r="P14" s="95">
        <x:v>12</x:v>
      </x:c>
      <x:c r="Q14" s="30" t="s">
        <x:v>233</x:v>
      </x:c>
    </x:row>
    <x:row r="15" spans="1:17" s="34" customFormat="1" ht="50.10000000000000142109" customHeight="1">
      <x:c r="A15" s="115" t="s">
        <x:v>109</x:v>
      </x:c>
      <x:c r="B15" s="267" t="e">
        <x:f>HLOOKUP(C6,'시간표(상용)'!$B$6:$EP$387,14,FALSE)</x:f>
        <x:v>#N/A</x:v>
      </x:c>
      <x:c r="C15" s="267"/>
      <x:c r="D15" s="267"/>
      <x:c r="E15" s="268" t="e">
        <x:f>HLOOKUP(C6,'시간표(상용)'!$B$6:$EP$38,17,FALSE)</x:f>
        <x:v>#N/A</x:v>
      </x:c>
      <x:c r="F15" s="268"/>
      <x:c r="G15" s="245" t="e">
        <x:f>HLOOKUP(C6,'시간표(상용)'!$B$6:$EP$387,15,FALSE)</x:f>
        <x:v>#N/A</x:v>
      </x:c>
      <x:c r="H15" s="246"/>
      <x:c r="I15" s="246"/>
      <x:c r="J15" s="247"/>
      <x:c r="K15" s="209" t="str">
        <x:f>IF(IF($E$22="",1,VALUE(LEFT($E$22,2)))&gt;=P14,$E$21,"")&amp;IF(IF($F$22="",1,VALUE(LEFT($F$22,2)))&gt;=P14,","&amp;$F$21,"")&amp;IF(IF($G$22="",1,VALUE(LEFT($G$22,2)))&gt;=P14,","&amp;$G$21,"")&amp;IF(IF($H$22="",1,VALUE(LEFT($H$22,2)))&gt;=P14,","&amp;$H$21,"")&amp;IF(IF($I$22="",1,VALUE(LEFT($I$22,2)))&gt;=P14,","&amp;$I$21,"")&amp;IF(IF($J$22="",1,VALUE(LEFT($J$22,2)))&gt;=P14,","&amp;$J$21,"")&amp;IF(IF($K$22="",1,VALUE(LEFT($K$22,2)))&gt;=P14,","&amp;$K$21,"")&amp;IF(IF($L$22="",1,VALUE(LEFT($L$22,2)))&gt;=P14,","&amp;$L$21,"")&amp;IF(IF($M$22="",1,VALUE(LEFT($M$22,2)))&gt;=P14,","&amp;$M$21,"")&amp;IF(IF($N$22="",1,VALUE(LEFT($N$22,2)))&gt;=P14,","&amp;$N$21,"")&amp;IF(IF($O$22="",1,VALUE(LEFT($O$22,2)))&gt;=P14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,코알라</x:v>
      </x:c>
      <x:c r="L15" s="209"/>
      <x:c r="M15" s="209"/>
      <x:c r="N15" s="209"/>
      <x:c r="O15" s="210"/>
      <x:c r="P15" s="95"/>
      <x:c r="Q15" s="30" t="s">
        <x:v>256</x:v>
      </x:c>
    </x:row>
    <x:row r="16" spans="1:17" s="34" customFormat="1" ht="50.10000000000000142109" customHeight="1">
      <x:c r="A16" s="115" t="s">
        <x:v>100</x:v>
      </x:c>
      <x:c r="B16" s="267" t="e">
        <x:f>HLOOKUP(C6,'시간표(상용)'!$B$6:$EP$387,18,FALSE)</x:f>
        <x:v>#N/A</x:v>
      </x:c>
      <x:c r="C16" s="267"/>
      <x:c r="D16" s="267"/>
      <x:c r="E16" s="268" t="e">
        <x:f>HLOOKUP(C6,'시간표(상용)'!$B$6:$EP$38,21,FALSE)</x:f>
        <x:v>#N/A</x:v>
      </x:c>
      <x:c r="F16" s="268"/>
      <x:c r="G16" s="245" t="e">
        <x:f>HLOOKUP(C6,'시간표(상용)'!$B$6:$EP$387,19,FALSE)</x:f>
        <x:v>#N/A</x:v>
      </x:c>
      <x:c r="H16" s="246"/>
      <x:c r="I16" s="246"/>
      <x:c r="J16" s="247"/>
      <x:c r="K16" s="209" t="e">
        <x:f>IF(B16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16,","&amp;$E$25,"")&amp;IF(IF($F$26="","",VALUE(LEFT($F$26,2)))&lt;P16,","&amp;$F$25,"")&amp;IF(IF($G$26="","",VALUE(LEFT($G$26,2)))&lt;P16,","&amp;$G$25,"")&amp;IF(IF($H$26="","",VALUE(LEFT($H$26,2)))&lt;P16,","&amp;$H$25,"")&amp;IF(IF($I$26="","",VALUE(LEFT($I$26,2)))&lt;P16,","&amp;$I$25,"")&amp;IF(IF($J$26="","",VALUE(LEFT($J$26,2)))&lt;P16,","&amp;$J$25,"")&amp;IF(IF($K$26="","",VALUE(LEFT($K$26,2)))&lt;P16,","&amp;$K$25,"")&amp;IF(IF($L$26="","",VALUE(LEFT($L$26,2)))&lt;P16,","&amp;$L$25,"")&amp;IF(IF($M$26="","",VALUE(LEFT($M$26,2)))&lt;P16,","&amp;$M$25,"")&amp;IF(IF($N$26="","",VALUE(LEFT($N$26,2)))&lt;P16,","&amp;$N$25,"")&amp;IF(IF($O$26="","",VALUE(LEFT($O$26,2)))&lt;P16,","&amp;$O$25,""))</x:f>
        <x:v>#N/A</x:v>
      </x:c>
      <x:c r="L16" s="209"/>
      <x:c r="M16" s="209"/>
      <x:c r="N16" s="209"/>
      <x:c r="O16" s="210"/>
      <x:c r="P16" s="95">
        <x:v>14</x:v>
      </x:c>
      <x:c r="Q16" s="30" t="s">
        <x:v>168</x:v>
      </x:c>
    </x:row>
    <x:row r="17" spans="1:17" s="34" customFormat="1" ht="50.10000000000000142109" customHeight="1">
      <x:c r="A17" s="115" t="s">
        <x:v>110</x:v>
      </x:c>
      <x:c r="B17" s="267" t="e">
        <x:f>HLOOKUP(C6,'시간표(상용)'!$B$6:$EP$387,22,FALSE)</x:f>
        <x:v>#N/A</x:v>
      </x:c>
      <x:c r="C17" s="267"/>
      <x:c r="D17" s="267"/>
      <x:c r="E17" s="268" t="e">
        <x:f>HLOOKUP(C6,'시간표(상용)'!$B$6:$EP$38,25,FALSE)</x:f>
        <x:v>#N/A</x:v>
      </x:c>
      <x:c r="F17" s="268"/>
      <x:c r="G17" s="245" t="e">
        <x:f>HLOOKUP(C6,'시간표(상용)'!$B$6:$EP$387,23,FALSE)</x:f>
        <x:v>#N/A</x:v>
      </x:c>
      <x:c r="H17" s="246"/>
      <x:c r="I17" s="246"/>
      <x:c r="J17" s="247"/>
      <x:c r="K17" s="209" t="e">
        <x:f>IF(B17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17,","&amp;$E$25,"")&amp;IF(IF($F$26="","",VALUE(LEFT($F$26,2)))&lt;P17,","&amp;$F$25,"")&amp;IF(IF($G$26="","",VALUE(LEFT($G$26,2)))&lt;P17,","&amp;$G$25,"")&amp;IF(IF($H$26="","",VALUE(LEFT($H$26,2)))&lt;P17,","&amp;$H$25,"")&amp;IF(IF($I$26="","",VALUE(LEFT($I$26,2)))&lt;P17,","&amp;$I$25,"")&amp;IF(IF($J$26="","",VALUE(LEFT($J$26,2)))&lt;P17,","&amp;$J$25,"")&amp;IF(IF($K$26="","",VALUE(LEFT($K$26,2)))&lt;P17,","&amp;$K$25,"")&amp;IF(IF($L$26="","",VALUE(LEFT($L$26,2)))&lt;P17,","&amp;$L$25,"")&amp;IF(IF($M$26="","",VALUE(LEFT($M$26,2)))&lt;P17,","&amp;$M$25,"")&amp;IF(IF($N$26="","",VALUE(LEFT($N$26,2)))&lt;P17,","&amp;$N$25,"")&amp;IF(IF($O$26="","",VALUE(LEFT($O$26,2)))&lt;P17,","&amp;$O$25,""))</x:f>
        <x:v>#N/A</x:v>
      </x:c>
      <x:c r="L17" s="209"/>
      <x:c r="M17" s="209"/>
      <x:c r="N17" s="209"/>
      <x:c r="O17" s="210"/>
      <x:c r="P17" s="95">
        <x:v>15</x:v>
      </x:c>
      <x:c r="Q17" s="30" t="s">
        <x:v>222</x:v>
      </x:c>
    </x:row>
    <x:row r="18" spans="1:17" s="34" customFormat="1" ht="50.10000000000000142109" customHeight="1">
      <x:c r="A18" s="115" t="s">
        <x:v>113</x:v>
      </x:c>
      <x:c r="B18" s="267" t="e">
        <x:f>HLOOKUP(C6,'시간표(상용)'!$B$6:$EP$387,26,FALSE)</x:f>
        <x:v>#N/A</x:v>
      </x:c>
      <x:c r="C18" s="267"/>
      <x:c r="D18" s="267"/>
      <x:c r="E18" s="268" t="e">
        <x:f>HLOOKUP(C6,'시간표(상용)'!$B$6:$EP$38,29,FALSE)</x:f>
        <x:v>#N/A</x:v>
      </x:c>
      <x:c r="F18" s="268"/>
      <x:c r="G18" s="245" t="e">
        <x:f>HLOOKUP(C6,'시간표(상용)'!$B$6:$EP$387,27,FALSE)</x:f>
        <x:v>#N/A</x:v>
      </x:c>
      <x:c r="H18" s="246"/>
      <x:c r="I18" s="246"/>
      <x:c r="J18" s="247"/>
      <x:c r="K18" s="209" t="e">
        <x:f>IF(B18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18,","&amp;$E$25,"")&amp;IF(IF($F$26="","",VALUE(LEFT($F$26,2)))&lt;P18,","&amp;$F$25,"")&amp;IF(IF($G$26="","",VALUE(LEFT($G$26,2)))&lt;P18,","&amp;$G$25,"")&amp;IF(IF($H$26="","",VALUE(LEFT($H$26,2)))&lt;P18,","&amp;$H$25,"")&amp;IF(IF($I$26="","",VALUE(LEFT($I$26,2)))&lt;P18,","&amp;$I$25,"")&amp;IF(IF($J$26="","",VALUE(LEFT($J$26,2)))&lt;P18,","&amp;$J$25,"")&amp;IF(IF($K$26="","",VALUE(LEFT($K$26,2)))&lt;P18,","&amp;$K$25,"")&amp;IF(IF($L$26="","",VALUE(LEFT($L$26,2)))&lt;P18,","&amp;$L$25,"")&amp;IF(IF($M$26="","",VALUE(LEFT($M$26,2)))&lt;P18,","&amp;$M$25,"")&amp;IF(IF($N$26="","",VALUE(LEFT($N$26,2)))&lt;P18,","&amp;$N$25,"")&amp;IF(IF($O$26="","",VALUE(LEFT($O$26,2)))&lt;P18,","&amp;$O$25,""))</x:f>
        <x:v>#N/A</x:v>
      </x:c>
      <x:c r="L18" s="209"/>
      <x:c r="M18" s="209"/>
      <x:c r="N18" s="209"/>
      <x:c r="O18" s="210"/>
      <x:c r="P18" s="95">
        <x:v>16</x:v>
      </x:c>
      <x:c r="Q18" s="30" t="s">
        <x:v>243</x:v>
      </x:c>
    </x:row>
    <x:row r="19" spans="1:17" s="34" customFormat="1" ht="50.10000000000000142109" customHeight="1">
      <x:c r="A19" s="115" t="s">
        <x:v>101</x:v>
      </x:c>
      <x:c r="B19" s="267" t="e">
        <x:f>HLOOKUP(C6,'시간표(상용)'!$B$6:$EP$387,30,FALSE)</x:f>
        <x:v>#N/A</x:v>
      </x:c>
      <x:c r="C19" s="267"/>
      <x:c r="D19" s="267"/>
      <x:c r="E19" s="268" t="e">
        <x:f>HLOOKUP(C6,'시간표(상용)'!$B$6:$EP$38,33,FALSE)</x:f>
        <x:v>#N/A</x:v>
      </x:c>
      <x:c r="F19" s="268"/>
      <x:c r="G19" s="269" t="e">
        <x:f>HLOOKUP(C6,'시간표(상용)'!$B$6:$EP$387,31,FALSE)</x:f>
        <x:v>#N/A</x:v>
      </x:c>
      <x:c r="H19" s="270"/>
      <x:c r="I19" s="270"/>
      <x:c r="J19" s="271"/>
      <x:c r="K19" s="203" t="e">
        <x:f>IF(B19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19,","&amp;$E$25,"")&amp;IF(IF($F$26="","",VALUE(LEFT($F$26,2)))&lt;P19,","&amp;$F$25,"")&amp;IF(IF($G$26="","",VALUE(LEFT($G$26,2)))&lt;P19,","&amp;$G$25,"")&amp;IF(IF($H$26="","",VALUE(LEFT($H$26,2)))&lt;P19,","&amp;$H$25,"")&amp;IF(IF($I$26="","",VALUE(LEFT($I$26,2)))&lt;P19,","&amp;$I$25,"")&amp;IF(IF($J$26="","",VALUE(LEFT($J$26,2)))&lt;P19,","&amp;$J$25,"")&amp;IF(IF($K$26="","",VALUE(LEFT($K$26,2)))&lt;P19,","&amp;$K$25,"")&amp;IF(IF($L$26="","",VALUE(LEFT($L$26,2)))&lt;P19,","&amp;$L$25,"")&amp;IF(IF($M$26="","",VALUE(LEFT($M$26,2)))&lt;P19,","&amp;$M$25,"")&amp;IF(IF($N$26="","",VALUE(LEFT($N$26,2)))&lt;P19,","&amp;$N$25,"")&amp;IF(IF($O$26="","",VALUE(LEFT($O$26,2)))&lt;P19,","&amp;$O$25,""))</x:f>
        <x:v>#N/A</x:v>
      </x:c>
      <x:c r="L19" s="203"/>
      <x:c r="M19" s="203"/>
      <x:c r="N19" s="203"/>
      <x:c r="O19" s="204"/>
      <x:c r="P19" s="95">
        <x:v>17</x:v>
      </x:c>
      <x:c r="Q19" s="30" t="s">
        <x:v>229</x:v>
      </x:c>
    </x:row>
    <x:row r="20" spans="1:15" ht="37.5" customHeight="1">
      <x:c r="A20" s="248" t="s">
        <x:v>33</x:v>
      </x:c>
      <x:c r="B20" s="249"/>
      <x:c r="C20" s="249"/>
      <x:c r="D20" s="249"/>
      <x:c r="E20" s="250"/>
      <x:c r="F20" s="251"/>
      <x:c r="G20" s="251"/>
      <x:c r="H20" s="251"/>
      <x:c r="I20" s="251"/>
      <x:c r="J20" s="251"/>
      <x:c r="K20" s="251"/>
      <x:c r="L20" s="251"/>
      <x:c r="M20" s="251"/>
      <x:c r="N20" s="251"/>
      <x:c r="O20" s="252"/>
    </x:row>
    <x:row r="21" spans="1:15" ht="20.25" customHeight="1">
      <x:c r="A21" s="253" t="s">
        <x:v>37</x:v>
      </x:c>
      <x:c r="B21" s="256" t="s">
        <x:v>36</x:v>
      </x:c>
      <x:c r="C21" s="256"/>
      <x:c r="D21" s="257"/>
      <x:c r="E21" s="122" t="s">
        <x:v>131</x:v>
      </x:c>
      <x:c r="F21" s="122" t="s">
        <x:v>146</x:v>
      </x:c>
      <x:c r="G21" s="122"/>
      <x:c r="H21" s="122"/>
      <x:c r="I21" s="122"/>
      <x:c r="J21" s="122"/>
      <x:c r="K21" s="122"/>
      <x:c r="L21" s="122"/>
      <x:c r="M21" s="122"/>
      <x:c r="N21" s="122"/>
      <x:c r="O21" s="123"/>
    </x:row>
    <x:row r="22" spans="1:15" ht="20.25" customHeight="1">
      <x:c r="A22" s="254"/>
      <x:c r="B22" s="258"/>
      <x:c r="C22" s="258"/>
      <x:c r="D22" s="259"/>
      <x:c r="E22" s="124" t="s">
        <x:v>20</x:v>
      </x:c>
      <x:c r="F22" s="124" t="s">
        <x:v>14</x:v>
      </x:c>
      <x:c r="G22" s="124"/>
      <x:c r="H22" s="124"/>
      <x:c r="I22" s="124"/>
      <x:c r="J22" s="124"/>
      <x:c r="K22" s="124"/>
      <x:c r="L22" s="124"/>
      <x:c r="M22" s="124"/>
      <x:c r="N22" s="124"/>
      <x:c r="O22" s="125"/>
    </x:row>
    <x:row r="23" spans="1:15" ht="20.25" customHeight="1">
      <x:c r="A23" s="254"/>
      <x:c r="B23" s="260" t="s">
        <x:v>39</x:v>
      </x:c>
      <x:c r="C23" s="260"/>
      <x:c r="D23" s="261"/>
      <x:c r="E23" s="122" t="s">
        <x:v>143</x:v>
      </x:c>
      <x:c r="F23" s="122"/>
      <x:c r="G23" s="122"/>
      <x:c r="H23" s="122"/>
      <x:c r="I23" s="126"/>
      <x:c r="J23" s="126"/>
      <x:c r="K23" s="126"/>
      <x:c r="L23" s="126"/>
      <x:c r="M23" s="126"/>
      <x:c r="N23" s="126"/>
      <x:c r="O23" s="127"/>
    </x:row>
    <x:row r="24" spans="1:15" ht="20.25" customHeight="1">
      <x:c r="A24" s="254"/>
      <x:c r="B24" s="260"/>
      <x:c r="C24" s="260"/>
      <x:c r="D24" s="261"/>
      <x:c r="E24" s="128"/>
      <x:c r="F24" s="128"/>
      <x:c r="G24" s="129"/>
      <x:c r="H24" s="129"/>
      <x:c r="I24" s="129"/>
      <x:c r="J24" s="129"/>
      <x:c r="K24" s="129"/>
      <x:c r="L24" s="129"/>
      <x:c r="M24" s="129"/>
      <x:c r="N24" s="129"/>
      <x:c r="O24" s="130"/>
    </x:row>
    <x:row r="25" spans="1:15" ht="20.25" customHeight="1">
      <x:c r="A25" s="254"/>
      <x:c r="B25" s="256" t="s">
        <x:v>32</x:v>
      </x:c>
      <x:c r="C25" s="256"/>
      <x:c r="D25" s="257"/>
      <x:c r="E25" s="122" t="s">
        <x:v>138</x:v>
      </x:c>
      <x:c r="F25" s="122" t="s">
        <x:v>136</x:v>
      </x:c>
      <x:c r="G25" s="122" t="s">
        <x:v>132</x:v>
      </x:c>
      <x:c r="H25" s="122"/>
      <x:c r="I25" s="122"/>
      <x:c r="J25" s="122"/>
      <x:c r="K25" s="122"/>
      <x:c r="L25" s="122"/>
      <x:c r="M25" s="122"/>
      <x:c r="N25" s="122"/>
      <x:c r="O25" s="123"/>
    </x:row>
    <x:row r="26" spans="1:15" ht="20.25" customHeight="1">
      <x:c r="A26" s="254"/>
      <x:c r="B26" s="258"/>
      <x:c r="C26" s="258"/>
      <x:c r="D26" s="259"/>
      <x:c r="E26" s="124" t="s">
        <x:v>38</x:v>
      </x:c>
      <x:c r="F26" s="124" t="s">
        <x:v>12</x:v>
      </x:c>
      <x:c r="G26" s="124" t="s">
        <x:v>4</x:v>
      </x:c>
      <x:c r="H26" s="124"/>
      <x:c r="I26" s="124"/>
      <x:c r="J26" s="124"/>
      <x:c r="K26" s="124"/>
      <x:c r="L26" s="124"/>
      <x:c r="M26" s="124"/>
      <x:c r="N26" s="124"/>
      <x:c r="O26" s="125"/>
    </x:row>
    <x:row r="27" spans="1:15" ht="76.5" customHeight="1">
      <x:c r="A27" s="255"/>
      <x:c r="B27" s="262" t="s">
        <x:v>61</x:v>
      </x:c>
      <x:c r="C27" s="263"/>
      <x:c r="D27" s="263"/>
      <x:c r="E27" s="264"/>
      <x:c r="F27" s="265"/>
      <x:c r="G27" s="265"/>
      <x:c r="H27" s="265"/>
      <x:c r="I27" s="265"/>
      <x:c r="J27" s="265"/>
      <x:c r="K27" s="265"/>
      <x:c r="L27" s="265"/>
      <x:c r="M27" s="265"/>
      <x:c r="N27" s="265"/>
      <x:c r="O27" s="266"/>
    </x:row>
  </x:sheetData>
  <x:mergeCells count="50">
    <x:mergeCell ref="K17:O17"/>
    <x:mergeCell ref="K18:O18"/>
    <x:mergeCell ref="K19:O19"/>
    <x:mergeCell ref="C3:E3"/>
    <x:mergeCell ref="K11:O11"/>
    <x:mergeCell ref="K12:O12"/>
    <x:mergeCell ref="K13:O13"/>
    <x:mergeCell ref="K14:O14"/>
    <x:mergeCell ref="K15:O15"/>
    <x:mergeCell ref="K16:O16"/>
    <x:mergeCell ref="G11:J11"/>
    <x:mergeCell ref="G12:J12"/>
    <x:mergeCell ref="G13:J13"/>
    <x:mergeCell ref="G14:J14"/>
    <x:mergeCell ref="G15:J15"/>
    <x:mergeCell ref="G16:J16"/>
    <x:mergeCell ref="A20:D20"/>
    <x:mergeCell ref="E20:O20"/>
    <x:mergeCell ref="A21:A27"/>
    <x:mergeCell ref="B21:D22"/>
    <x:mergeCell ref="B23:D24"/>
    <x:mergeCell ref="B25:D26"/>
    <x:mergeCell ref="B27:D27"/>
    <x:mergeCell ref="E27:O27"/>
    <x:mergeCell ref="B18:D18"/>
    <x:mergeCell ref="E18:F18"/>
    <x:mergeCell ref="B19:D19"/>
    <x:mergeCell ref="E19:F19"/>
    <x:mergeCell ref="G18:J18"/>
    <x:mergeCell ref="G19:J19"/>
    <x:mergeCell ref="B16:D16"/>
    <x:mergeCell ref="E16:F16"/>
    <x:mergeCell ref="B17:D17"/>
    <x:mergeCell ref="E17:F17"/>
    <x:mergeCell ref="G17:J17"/>
    <x:mergeCell ref="B14:D14"/>
    <x:mergeCell ref="E14:F14"/>
    <x:mergeCell ref="B15:D15"/>
    <x:mergeCell ref="E15:F15"/>
    <x:mergeCell ref="B12:D12"/>
    <x:mergeCell ref="E12:F12"/>
    <x:mergeCell ref="B13:D13"/>
    <x:mergeCell ref="E13:F13"/>
    <x:mergeCell ref="B11:D11"/>
    <x:mergeCell ref="E11:F11"/>
    <x:mergeCell ref="A1:O1"/>
    <x:mergeCell ref="C4:I4"/>
    <x:mergeCell ref="C6:E6"/>
    <x:mergeCell ref="H6:I6"/>
    <x:mergeCell ref="A10:O10"/>
  </x:mergeCells>
  <x:dataValidations count="2">
    <x:dataValidation type="list" allowBlank="1" showInputMessage="1" showErrorMessage="1" sqref="C6:E6">
      <x:formula1>'시간표(상용)'!$B$6:$EP$6</x:formula1>
    </x:dataValidation>
    <x:dataValidation type="list" allowBlank="1" showInputMessage="1" showErrorMessage="1" sqref="C6:E6">
      <x:formula1>훈련일!A1:A140</x:formula1>
    </x:dataValidation>
  </x:dataValidations>
  <x:printOptions horizontalCentered="1" verticalCentered="1" headings="0" gridLines="0" gridLinesSet="1"/>
  <x:pageMargins left="0.70861113071441650391" right="0.70861113071441650391" top="0.74750000238418579102" bottom="0.74750000238418579102" header="0" footer="0"/>
  <x:pageSetup paperSize="9" scale="79" firstPageNumber="1" fitToWidth="1" fitToHeight="1" orientation="portrait" usePrinterDefaults="1" blackAndWhite="0" draft="0" useFirstPageNumber="0" horizontalDpi="300" verticalDpi="300" copies="1"/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758"/>
  <x:sheetViews>
    <x:sheetView topLeftCell="A106" zoomScaleNormal="100" zoomScaleSheetLayoutView="75" workbookViewId="0">
      <x:selection activeCell="A138" activeCellId="0" sqref="A138:A138"/>
    </x:sheetView>
  </x:sheetViews>
  <x:sheetFormatPr defaultColWidth="9" defaultRowHeight="16.5"/>
  <x:cols>
    <x:col min="1" max="1" width="11.125" bestFit="1" customWidth="1"/>
  </x:cols>
  <x:sheetData>
    <x:row r="1" spans="1:1">
      <x:c r="A1" s="131">
        <x:f t="shared" ref="A1:A32" si="0">WORKDAY(시작일,ROW()-1,공휴일)</x:f>
        <x:v>45922</x:v>
      </x:c>
    </x:row>
    <x:row r="2" spans="1:1">
      <x:c r="A2" s="131">
        <x:f t="shared" si="0"/>
        <x:v>45923</x:v>
      </x:c>
    </x:row>
    <x:row r="3" spans="1:1">
      <x:c r="A3" s="131">
        <x:f t="shared" si="0"/>
        <x:v>45924</x:v>
      </x:c>
    </x:row>
    <x:row r="4" spans="1:1">
      <x:c r="A4" s="131">
        <x:f t="shared" si="0"/>
        <x:v>45925</x:v>
      </x:c>
    </x:row>
    <x:row r="5" spans="1:1">
      <x:c r="A5" s="131">
        <x:f t="shared" si="0"/>
        <x:v>45926</x:v>
      </x:c>
    </x:row>
    <x:row r="6" spans="1:1">
      <x:c r="A6" s="131">
        <x:f t="shared" si="0"/>
        <x:v>45929</x:v>
      </x:c>
    </x:row>
    <x:row r="7" spans="1:1">
      <x:c r="A7" s="131">
        <x:f t="shared" si="0"/>
        <x:v>45930</x:v>
      </x:c>
    </x:row>
    <x:row r="8" spans="1:1">
      <x:c r="A8" s="131">
        <x:f t="shared" si="0"/>
        <x:v>45931</x:v>
      </x:c>
    </x:row>
    <x:row r="9" spans="1:1">
      <x:c r="A9" s="131">
        <x:f t="shared" si="0"/>
        <x:v>45932</x:v>
      </x:c>
    </x:row>
    <x:row r="10" spans="1:1">
      <x:c r="A10" s="131">
        <x:f t="shared" si="0"/>
        <x:v>45940</x:v>
      </x:c>
    </x:row>
    <x:row r="11" spans="1:1">
      <x:c r="A11" s="131">
        <x:f t="shared" si="0"/>
        <x:v>45943</x:v>
      </x:c>
    </x:row>
    <x:row r="12" spans="1:1">
      <x:c r="A12" s="131">
        <x:f t="shared" si="0"/>
        <x:v>45944</x:v>
      </x:c>
    </x:row>
    <x:row r="13" spans="1:1">
      <x:c r="A13" s="131">
        <x:f t="shared" si="0"/>
        <x:v>45945</x:v>
      </x:c>
    </x:row>
    <x:row r="14" spans="1:1">
      <x:c r="A14" s="131">
        <x:f t="shared" si="0"/>
        <x:v>45946</x:v>
      </x:c>
    </x:row>
    <x:row r="15" spans="1:1">
      <x:c r="A15" s="131">
        <x:f t="shared" si="0"/>
        <x:v>45947</x:v>
      </x:c>
    </x:row>
    <x:row r="16" spans="1:1">
      <x:c r="A16" s="131">
        <x:f t="shared" si="0"/>
        <x:v>45950</x:v>
      </x:c>
    </x:row>
    <x:row r="17" spans="1:1">
      <x:c r="A17" s="131">
        <x:f t="shared" si="0"/>
        <x:v>45951</x:v>
      </x:c>
    </x:row>
    <x:row r="18" spans="1:1">
      <x:c r="A18" s="131">
        <x:f t="shared" si="0"/>
        <x:v>45952</x:v>
      </x:c>
    </x:row>
    <x:row r="19" spans="1:1">
      <x:c r="A19" s="131">
        <x:f t="shared" si="0"/>
        <x:v>45953</x:v>
      </x:c>
    </x:row>
    <x:row r="20" spans="1:1">
      <x:c r="A20" s="131">
        <x:f t="shared" si="0"/>
        <x:v>45954</x:v>
      </x:c>
    </x:row>
    <x:row r="21" spans="1:1">
      <x:c r="A21" s="131">
        <x:f t="shared" si="0"/>
        <x:v>45957</x:v>
      </x:c>
    </x:row>
    <x:row r="22" spans="1:1">
      <x:c r="A22" s="131">
        <x:f t="shared" si="0"/>
        <x:v>45958</x:v>
      </x:c>
    </x:row>
    <x:row r="23" spans="1:1">
      <x:c r="A23" s="131">
        <x:f t="shared" si="0"/>
        <x:v>45959</x:v>
      </x:c>
    </x:row>
    <x:row r="24" spans="1:1">
      <x:c r="A24" s="131">
        <x:f t="shared" si="0"/>
        <x:v>45960</x:v>
      </x:c>
    </x:row>
    <x:row r="25" spans="1:1">
      <x:c r="A25" s="131">
        <x:f t="shared" si="0"/>
        <x:v>45961</x:v>
      </x:c>
    </x:row>
    <x:row r="26" spans="1:1">
      <x:c r="A26" s="131">
        <x:f t="shared" si="0"/>
        <x:v>45964</x:v>
      </x:c>
    </x:row>
    <x:row r="27" spans="1:1">
      <x:c r="A27" s="131">
        <x:f t="shared" si="0"/>
        <x:v>45965</x:v>
      </x:c>
    </x:row>
    <x:row r="28" spans="1:1">
      <x:c r="A28" s="131">
        <x:f t="shared" si="0"/>
        <x:v>45966</x:v>
      </x:c>
    </x:row>
    <x:row r="29" spans="1:1">
      <x:c r="A29" s="131">
        <x:f t="shared" si="0"/>
        <x:v>45967</x:v>
      </x:c>
    </x:row>
    <x:row r="30" spans="1:1">
      <x:c r="A30" s="131">
        <x:f t="shared" si="0"/>
        <x:v>45968</x:v>
      </x:c>
    </x:row>
    <x:row r="31" spans="1:1">
      <x:c r="A31" s="131">
        <x:f t="shared" si="0"/>
        <x:v>45971</x:v>
      </x:c>
    </x:row>
    <x:row r="32" spans="1:1">
      <x:c r="A32" s="131">
        <x:f t="shared" si="0"/>
        <x:v>45972</x:v>
      </x:c>
    </x:row>
    <x:row r="33" spans="1:1">
      <x:c r="A33" s="131">
        <x:f t="shared" ref="A33:A64" si="1">WORKDAY(시작일,ROW()-1,공휴일)</x:f>
        <x:v>45973</x:v>
      </x:c>
    </x:row>
    <x:row r="34" spans="1:1">
      <x:c r="A34" s="131">
        <x:f t="shared" si="1"/>
        <x:v>45974</x:v>
      </x:c>
    </x:row>
    <x:row r="35" spans="1:1">
      <x:c r="A35" s="131">
        <x:f t="shared" si="1"/>
        <x:v>45975</x:v>
      </x:c>
    </x:row>
    <x:row r="36" spans="1:1">
      <x:c r="A36" s="131">
        <x:f t="shared" si="1"/>
        <x:v>45978</x:v>
      </x:c>
    </x:row>
    <x:row r="37" spans="1:1">
      <x:c r="A37" s="131">
        <x:f t="shared" si="1"/>
        <x:v>45979</x:v>
      </x:c>
    </x:row>
    <x:row r="38" spans="1:1">
      <x:c r="A38" s="131">
        <x:f t="shared" si="1"/>
        <x:v>45980</x:v>
      </x:c>
    </x:row>
    <x:row r="39" spans="1:1">
      <x:c r="A39" s="131">
        <x:f t="shared" si="1"/>
        <x:v>45981</x:v>
      </x:c>
    </x:row>
    <x:row r="40" spans="1:1">
      <x:c r="A40" s="131">
        <x:f t="shared" si="1"/>
        <x:v>45982</x:v>
      </x:c>
    </x:row>
    <x:row r="41" spans="1:1">
      <x:c r="A41" s="131">
        <x:f t="shared" si="1"/>
        <x:v>45985</x:v>
      </x:c>
    </x:row>
    <x:row r="42" spans="1:1">
      <x:c r="A42" s="131">
        <x:f t="shared" si="1"/>
        <x:v>45986</x:v>
      </x:c>
    </x:row>
    <x:row r="43" spans="1:1">
      <x:c r="A43" s="131">
        <x:f t="shared" si="1"/>
        <x:v>45987</x:v>
      </x:c>
    </x:row>
    <x:row r="44" spans="1:1">
      <x:c r="A44" s="131">
        <x:f t="shared" si="1"/>
        <x:v>45988</x:v>
      </x:c>
    </x:row>
    <x:row r="45" spans="1:1">
      <x:c r="A45" s="131">
        <x:f t="shared" si="1"/>
        <x:v>45989</x:v>
      </x:c>
    </x:row>
    <x:row r="46" spans="1:1">
      <x:c r="A46" s="131">
        <x:f t="shared" si="1"/>
        <x:v>45992</x:v>
      </x:c>
    </x:row>
    <x:row r="47" spans="1:1">
      <x:c r="A47" s="131">
        <x:f t="shared" si="1"/>
        <x:v>45993</x:v>
      </x:c>
    </x:row>
    <x:row r="48" spans="1:1">
      <x:c r="A48" s="131">
        <x:f t="shared" si="1"/>
        <x:v>45994</x:v>
      </x:c>
    </x:row>
    <x:row r="49" spans="1:1">
      <x:c r="A49" s="131">
        <x:f t="shared" si="1"/>
        <x:v>45995</x:v>
      </x:c>
    </x:row>
    <x:row r="50" spans="1:1">
      <x:c r="A50" s="131">
        <x:f t="shared" si="1"/>
        <x:v>45996</x:v>
      </x:c>
    </x:row>
    <x:row r="51" spans="1:1">
      <x:c r="A51" s="131">
        <x:f t="shared" si="1"/>
        <x:v>45999</x:v>
      </x:c>
    </x:row>
    <x:row r="52" spans="1:1">
      <x:c r="A52" s="131">
        <x:f t="shared" si="1"/>
        <x:v>46000</x:v>
      </x:c>
    </x:row>
    <x:row r="53" spans="1:1">
      <x:c r="A53" s="131">
        <x:f t="shared" si="1"/>
        <x:v>46001</x:v>
      </x:c>
    </x:row>
    <x:row r="54" spans="1:1">
      <x:c r="A54" s="131">
        <x:f t="shared" si="1"/>
        <x:v>46002</x:v>
      </x:c>
    </x:row>
    <x:row r="55" spans="1:1">
      <x:c r="A55" s="131">
        <x:f t="shared" si="1"/>
        <x:v>46003</x:v>
      </x:c>
    </x:row>
    <x:row r="56" spans="1:1">
      <x:c r="A56" s="131">
        <x:f t="shared" si="1"/>
        <x:v>46006</x:v>
      </x:c>
    </x:row>
    <x:row r="57" spans="1:1">
      <x:c r="A57" s="131">
        <x:f t="shared" si="1"/>
        <x:v>46007</x:v>
      </x:c>
    </x:row>
    <x:row r="58" spans="1:1">
      <x:c r="A58" s="131">
        <x:f t="shared" si="1"/>
        <x:v>46008</x:v>
      </x:c>
    </x:row>
    <x:row r="59" spans="1:1">
      <x:c r="A59" s="131">
        <x:f t="shared" si="1"/>
        <x:v>46009</x:v>
      </x:c>
    </x:row>
    <x:row r="60" spans="1:1">
      <x:c r="A60" s="131">
        <x:f t="shared" si="1"/>
        <x:v>46010</x:v>
      </x:c>
    </x:row>
    <x:row r="61" spans="1:1">
      <x:c r="A61" s="131">
        <x:f t="shared" si="1"/>
        <x:v>46013</x:v>
      </x:c>
    </x:row>
    <x:row r="62" spans="1:1">
      <x:c r="A62" s="131">
        <x:f t="shared" si="1"/>
        <x:v>46014</x:v>
      </x:c>
    </x:row>
    <x:row r="63" spans="1:1">
      <x:c r="A63" s="131">
        <x:f t="shared" si="1"/>
        <x:v>46015</x:v>
      </x:c>
    </x:row>
    <x:row r="64" spans="1:1">
      <x:c r="A64" s="131">
        <x:f t="shared" si="1"/>
        <x:v>46017</x:v>
      </x:c>
    </x:row>
    <x:row r="65" spans="1:1">
      <x:c r="A65" s="131">
        <x:f t="shared" ref="A65:A96" si="2">WORKDAY(시작일,ROW()-1,공휴일)</x:f>
        <x:v>46020</x:v>
      </x:c>
    </x:row>
    <x:row r="66" spans="1:1">
      <x:c r="A66" s="131">
        <x:f t="shared" si="2"/>
        <x:v>46021</x:v>
      </x:c>
    </x:row>
    <x:row r="67" spans="1:1">
      <x:c r="A67" s="131">
        <x:f t="shared" si="2"/>
        <x:v>46022</x:v>
      </x:c>
    </x:row>
    <x:row r="68" spans="1:1">
      <x:c r="A68" s="131">
        <x:f t="shared" si="2"/>
        <x:v>46024</x:v>
      </x:c>
    </x:row>
    <x:row r="69" spans="1:1">
      <x:c r="A69" s="131">
        <x:f t="shared" si="2"/>
        <x:v>46027</x:v>
      </x:c>
    </x:row>
    <x:row r="70" spans="1:1">
      <x:c r="A70" s="131">
        <x:f t="shared" si="2"/>
        <x:v>46028</x:v>
      </x:c>
    </x:row>
    <x:row r="71" spans="1:1">
      <x:c r="A71" s="131">
        <x:f t="shared" si="2"/>
        <x:v>46029</x:v>
      </x:c>
    </x:row>
    <x:row r="72" spans="1:1">
      <x:c r="A72" s="131">
        <x:f t="shared" si="2"/>
        <x:v>46030</x:v>
      </x:c>
    </x:row>
    <x:row r="73" spans="1:1">
      <x:c r="A73" s="131">
        <x:f t="shared" si="2"/>
        <x:v>46031</x:v>
      </x:c>
    </x:row>
    <x:row r="74" spans="1:1">
      <x:c r="A74" s="131">
        <x:f t="shared" si="2"/>
        <x:v>46034</x:v>
      </x:c>
    </x:row>
    <x:row r="75" spans="1:1">
      <x:c r="A75" s="131">
        <x:f t="shared" si="2"/>
        <x:v>46035</x:v>
      </x:c>
    </x:row>
    <x:row r="76" spans="1:1">
      <x:c r="A76" s="131">
        <x:f t="shared" si="2"/>
        <x:v>46036</x:v>
      </x:c>
    </x:row>
    <x:row r="77" spans="1:1">
      <x:c r="A77" s="131">
        <x:f t="shared" si="2"/>
        <x:v>46037</x:v>
      </x:c>
    </x:row>
    <x:row r="78" spans="1:1">
      <x:c r="A78" s="131">
        <x:f t="shared" si="2"/>
        <x:v>46038</x:v>
      </x:c>
    </x:row>
    <x:row r="79" spans="1:1">
      <x:c r="A79" s="131">
        <x:f t="shared" si="2"/>
        <x:v>46041</x:v>
      </x:c>
    </x:row>
    <x:row r="80" spans="1:1">
      <x:c r="A80" s="131">
        <x:f t="shared" si="2"/>
        <x:v>46042</x:v>
      </x:c>
    </x:row>
    <x:row r="81" spans="1:1">
      <x:c r="A81" s="131">
        <x:f t="shared" si="2"/>
        <x:v>46043</x:v>
      </x:c>
    </x:row>
    <x:row r="82" spans="1:1">
      <x:c r="A82" s="131">
        <x:f t="shared" si="2"/>
        <x:v>46044</x:v>
      </x:c>
    </x:row>
    <x:row r="83" spans="1:1">
      <x:c r="A83" s="131">
        <x:f t="shared" si="2"/>
        <x:v>46045</x:v>
      </x:c>
    </x:row>
    <x:row r="84" spans="1:1">
      <x:c r="A84" s="131">
        <x:f t="shared" si="2"/>
        <x:v>46048</x:v>
      </x:c>
    </x:row>
    <x:row r="85" spans="1:1">
      <x:c r="A85" s="131">
        <x:f t="shared" si="2"/>
        <x:v>46049</x:v>
      </x:c>
    </x:row>
    <x:row r="86" spans="1:1">
      <x:c r="A86" s="131">
        <x:f t="shared" si="2"/>
        <x:v>46050</x:v>
      </x:c>
    </x:row>
    <x:row r="87" spans="1:1">
      <x:c r="A87" s="131">
        <x:f t="shared" si="2"/>
        <x:v>46051</x:v>
      </x:c>
    </x:row>
    <x:row r="88" spans="1:1">
      <x:c r="A88" s="131">
        <x:f t="shared" si="2"/>
        <x:v>46052</x:v>
      </x:c>
    </x:row>
    <x:row r="89" spans="1:1">
      <x:c r="A89" s="131">
        <x:f t="shared" si="2"/>
        <x:v>46055</x:v>
      </x:c>
    </x:row>
    <x:row r="90" spans="1:1">
      <x:c r="A90" s="131">
        <x:f t="shared" si="2"/>
        <x:v>46056</x:v>
      </x:c>
    </x:row>
    <x:row r="91" spans="1:1">
      <x:c r="A91" s="131">
        <x:f t="shared" si="2"/>
        <x:v>46057</x:v>
      </x:c>
    </x:row>
    <x:row r="92" spans="1:1">
      <x:c r="A92" s="131">
        <x:f t="shared" si="2"/>
        <x:v>46058</x:v>
      </x:c>
    </x:row>
    <x:row r="93" spans="1:1">
      <x:c r="A93" s="131">
        <x:f t="shared" si="2"/>
        <x:v>46059</x:v>
      </x:c>
    </x:row>
    <x:row r="94" spans="1:1">
      <x:c r="A94" s="131">
        <x:f t="shared" si="2"/>
        <x:v>46062</x:v>
      </x:c>
    </x:row>
    <x:row r="95" spans="1:1">
      <x:c r="A95" s="131">
        <x:f t="shared" si="2"/>
        <x:v>46063</x:v>
      </x:c>
    </x:row>
    <x:row r="96" spans="1:1">
      <x:c r="A96" s="131">
        <x:f t="shared" si="2"/>
        <x:v>46064</x:v>
      </x:c>
    </x:row>
    <x:row r="97" spans="1:1">
      <x:c r="A97" s="131">
        <x:f t="shared" ref="A97:A128" si="3">WORKDAY(시작일,ROW()-1,공휴일)</x:f>
        <x:v>46065</x:v>
      </x:c>
    </x:row>
    <x:row r="98" spans="1:1">
      <x:c r="A98" s="131">
        <x:f t="shared" si="3"/>
        <x:v>46066</x:v>
      </x:c>
    </x:row>
    <x:row r="99" spans="1:1">
      <x:c r="A99" s="131">
        <x:f t="shared" si="3"/>
        <x:v>46072</x:v>
      </x:c>
    </x:row>
    <x:row r="100" spans="1:1">
      <x:c r="A100" s="131">
        <x:f t="shared" si="3"/>
        <x:v>46073</x:v>
      </x:c>
    </x:row>
    <x:row r="101" spans="1:1">
      <x:c r="A101" s="131">
        <x:f t="shared" si="3"/>
        <x:v>46076</x:v>
      </x:c>
    </x:row>
    <x:row r="102" spans="1:1">
      <x:c r="A102" s="131">
        <x:f t="shared" si="3"/>
        <x:v>46077</x:v>
      </x:c>
    </x:row>
    <x:row r="103" spans="1:1">
      <x:c r="A103" s="131">
        <x:f t="shared" si="3"/>
        <x:v>46078</x:v>
      </x:c>
    </x:row>
    <x:row r="104" spans="1:1">
      <x:c r="A104" s="131">
        <x:f t="shared" si="3"/>
        <x:v>46079</x:v>
      </x:c>
    </x:row>
    <x:row r="105" spans="1:1">
      <x:c r="A105" s="131">
        <x:f t="shared" si="3"/>
        <x:v>46080</x:v>
      </x:c>
    </x:row>
    <x:row r="106" spans="1:1">
      <x:c r="A106" s="131">
        <x:f t="shared" si="3"/>
        <x:v>46084</x:v>
      </x:c>
    </x:row>
    <x:row r="107" spans="1:1">
      <x:c r="A107" s="131">
        <x:f t="shared" si="3"/>
        <x:v>46085</x:v>
      </x:c>
    </x:row>
    <x:row r="108" spans="1:1">
      <x:c r="A108" s="131">
        <x:f t="shared" si="3"/>
        <x:v>46086</x:v>
      </x:c>
    </x:row>
    <x:row r="109" spans="1:1">
      <x:c r="A109" s="131">
        <x:f t="shared" si="3"/>
        <x:v>46087</x:v>
      </x:c>
    </x:row>
    <x:row r="110" spans="1:1">
      <x:c r="A110" s="131">
        <x:f t="shared" si="3"/>
        <x:v>46090</x:v>
      </x:c>
    </x:row>
    <x:row r="111" spans="1:1">
      <x:c r="A111" s="131">
        <x:f t="shared" si="3"/>
        <x:v>46091</x:v>
      </x:c>
    </x:row>
    <x:row r="112" spans="1:1">
      <x:c r="A112" s="131">
        <x:f t="shared" si="3"/>
        <x:v>46092</x:v>
      </x:c>
    </x:row>
    <x:row r="113" spans="1:1">
      <x:c r="A113" s="131">
        <x:f t="shared" si="3"/>
        <x:v>46093</x:v>
      </x:c>
    </x:row>
    <x:row r="114" spans="1:1">
      <x:c r="A114" s="131">
        <x:f t="shared" si="3"/>
        <x:v>46094</x:v>
      </x:c>
    </x:row>
    <x:row r="115" spans="1:1">
      <x:c r="A115" s="131">
        <x:f t="shared" si="3"/>
        <x:v>46097</x:v>
      </x:c>
    </x:row>
    <x:row r="116" spans="1:1">
      <x:c r="A116" s="131">
        <x:f t="shared" si="3"/>
        <x:v>46098</x:v>
      </x:c>
    </x:row>
    <x:row r="117" spans="1:1">
      <x:c r="A117" s="131">
        <x:f t="shared" si="3"/>
        <x:v>46099</x:v>
      </x:c>
    </x:row>
    <x:row r="118" spans="1:1">
      <x:c r="A118" s="131">
        <x:f t="shared" si="3"/>
        <x:v>46100</x:v>
      </x:c>
    </x:row>
    <x:row r="119" spans="1:1">
      <x:c r="A119" s="131">
        <x:f t="shared" si="3"/>
        <x:v>46101</x:v>
      </x:c>
    </x:row>
    <x:row r="120" spans="1:1">
      <x:c r="A120" s="131">
        <x:f t="shared" si="3"/>
        <x:v>46104</x:v>
      </x:c>
    </x:row>
    <x:row r="121" spans="1:1">
      <x:c r="A121" s="131">
        <x:f t="shared" si="3"/>
        <x:v>46105</x:v>
      </x:c>
    </x:row>
    <x:row r="122" spans="1:1">
      <x:c r="A122" s="131">
        <x:f t="shared" si="3"/>
        <x:v>46106</x:v>
      </x:c>
    </x:row>
    <x:row r="123" spans="1:1">
      <x:c r="A123" s="131">
        <x:f t="shared" si="3"/>
        <x:v>46107</x:v>
      </x:c>
    </x:row>
    <x:row r="124" spans="1:1">
      <x:c r="A124" s="131">
        <x:f t="shared" si="3"/>
        <x:v>46108</x:v>
      </x:c>
    </x:row>
    <x:row r="125" spans="1:1">
      <x:c r="A125" s="131">
        <x:f t="shared" si="3"/>
        <x:v>46111</x:v>
      </x:c>
    </x:row>
    <x:row r="126" spans="1:1">
      <x:c r="A126" s="131">
        <x:f t="shared" si="3"/>
        <x:v>46112</x:v>
      </x:c>
    </x:row>
    <x:row r="127" spans="1:1">
      <x:c r="A127" s="131">
        <x:f t="shared" si="3"/>
        <x:v>46113</x:v>
      </x:c>
    </x:row>
    <x:row r="128" spans="1:1">
      <x:c r="A128" s="131">
        <x:f t="shared" si="3"/>
        <x:v>46114</x:v>
      </x:c>
    </x:row>
    <x:row r="129" spans="1:1">
      <x:c r="A129" s="131">
        <x:f t="shared" ref="A129:A140" si="4">WORKDAY(시작일,ROW()-1,공휴일)</x:f>
        <x:v>46115</x:v>
      </x:c>
    </x:row>
    <x:row r="130" spans="1:1">
      <x:c r="A130" s="131">
        <x:f t="shared" si="4"/>
        <x:v>46118</x:v>
      </x:c>
    </x:row>
    <x:row r="131" spans="1:1">
      <x:c r="A131" s="131">
        <x:f t="shared" si="4"/>
        <x:v>46119</x:v>
      </x:c>
    </x:row>
    <x:row r="132" spans="1:1">
      <x:c r="A132" s="131">
        <x:f t="shared" si="4"/>
        <x:v>46120</x:v>
      </x:c>
    </x:row>
    <x:row r="133" spans="1:1">
      <x:c r="A133" s="131">
        <x:f t="shared" si="4"/>
        <x:v>46121</x:v>
      </x:c>
    </x:row>
    <x:row r="134" spans="1:1">
      <x:c r="A134" s="131">
        <x:f t="shared" si="4"/>
        <x:v>46122</x:v>
      </x:c>
    </x:row>
    <x:row r="135" spans="1:1">
      <x:c r="A135" s="131">
        <x:f t="shared" si="4"/>
        <x:v>46125</x:v>
      </x:c>
    </x:row>
    <x:row r="136" spans="1:1">
      <x:c r="A136" s="131">
        <x:f t="shared" si="4"/>
        <x:v>46126</x:v>
      </x:c>
    </x:row>
    <x:row r="137" spans="1:1">
      <x:c r="A137" s="131">
        <x:f t="shared" si="4"/>
        <x:v>46127</x:v>
      </x:c>
    </x:row>
    <x:row r="138" spans="1:1">
      <x:c r="A138" s="131">
        <x:f t="shared" si="4"/>
        <x:v>46128</x:v>
      </x:c>
    </x:row>
    <x:row r="139" spans="1:1">
      <x:c r="A139" s="131">
        <x:f t="shared" si="4"/>
        <x:v>46129</x:v>
      </x:c>
    </x:row>
    <x:row r="140" spans="1:1">
      <x:c r="A140" s="131">
        <x:f t="shared" si="4"/>
        <x:v>46132</x:v>
      </x:c>
    </x:row>
    <x:row r="141" spans="1:1">
      <x:c r="A141" s="131"/>
    </x:row>
    <x:row r="142" spans="1:1">
      <x:c r="A142" s="131"/>
    </x:row>
    <x:row r="143" spans="1:1">
      <x:c r="A143" s="131"/>
    </x:row>
    <x:row r="144" spans="1:1">
      <x:c r="A144" s="131"/>
    </x:row>
    <x:row r="145" spans="1:1">
      <x:c r="A145" s="131"/>
    </x:row>
    <x:row r="146" spans="1:1">
      <x:c r="A146" s="131"/>
    </x:row>
    <x:row r="147" spans="1:1">
      <x:c r="A147" s="131"/>
    </x:row>
    <x:row r="148" spans="1:1">
      <x:c r="A148" s="131"/>
    </x:row>
    <x:row r="149" spans="1:1">
      <x:c r="A149" s="131"/>
    </x:row>
    <x:row r="150" spans="1:1">
      <x:c r="A150" s="131"/>
    </x:row>
    <x:row r="151" spans="1:1">
      <x:c r="A151" s="131"/>
    </x:row>
    <x:row r="152" spans="1:1">
      <x:c r="A152" s="131"/>
    </x:row>
    <x:row r="153" spans="1:1">
      <x:c r="A153" s="131"/>
    </x:row>
    <x:row r="154" spans="1:1">
      <x:c r="A154" s="131"/>
    </x:row>
    <x:row r="155" spans="1:1">
      <x:c r="A155" s="131"/>
    </x:row>
    <x:row r="156" spans="1:1">
      <x:c r="A156" s="131"/>
    </x:row>
    <x:row r="157" spans="1:1">
      <x:c r="A157" s="131"/>
    </x:row>
    <x:row r="158" spans="1:1">
      <x:c r="A158" s="131"/>
    </x:row>
    <x:row r="159" spans="1:1">
      <x:c r="A159" s="131"/>
    </x:row>
    <x:row r="160" spans="1:1">
      <x:c r="A160" s="131"/>
    </x:row>
    <x:row r="161" spans="1:1">
      <x:c r="A161" s="131"/>
    </x:row>
    <x:row r="162" spans="1:1">
      <x:c r="A162" s="131"/>
    </x:row>
    <x:row r="163" spans="1:1">
      <x:c r="A163" s="131"/>
    </x:row>
    <x:row r="164" spans="1:1">
      <x:c r="A164" s="131"/>
    </x:row>
    <x:row r="165" spans="1:1">
      <x:c r="A165" s="131"/>
    </x:row>
    <x:row r="166" spans="1:1">
      <x:c r="A166" s="131"/>
    </x:row>
    <x:row r="167" spans="1:1">
      <x:c r="A167" s="131"/>
    </x:row>
    <x:row r="168" spans="1:1">
      <x:c r="A168" s="131"/>
    </x:row>
    <x:row r="169" spans="1:1">
      <x:c r="A169" s="131"/>
    </x:row>
    <x:row r="170" spans="1:1">
      <x:c r="A170" s="131"/>
    </x:row>
    <x:row r="171" spans="1:1">
      <x:c r="A171" s="131"/>
    </x:row>
    <x:row r="172" spans="1:1">
      <x:c r="A172" s="131"/>
    </x:row>
    <x:row r="173" spans="1:1">
      <x:c r="A173" s="131"/>
    </x:row>
    <x:row r="174" spans="1:1">
      <x:c r="A174" s="131"/>
    </x:row>
    <x:row r="175" spans="1:1">
      <x:c r="A175" s="131"/>
    </x:row>
    <x:row r="176" spans="1:1">
      <x:c r="A176" s="131"/>
    </x:row>
    <x:row r="177" spans="1:1">
      <x:c r="A177" s="131"/>
    </x:row>
    <x:row r="178" spans="1:1">
      <x:c r="A178" s="131"/>
    </x:row>
    <x:row r="179" spans="1:1">
      <x:c r="A179" s="131"/>
    </x:row>
    <x:row r="180" spans="1:1">
      <x:c r="A180" s="131"/>
    </x:row>
    <x:row r="181" spans="1:1">
      <x:c r="A181" s="131"/>
    </x:row>
    <x:row r="182" spans="1:1">
      <x:c r="A182" s="131"/>
    </x:row>
    <x:row r="183" spans="1:1">
      <x:c r="A183" s="131"/>
    </x:row>
    <x:row r="184" spans="1:1">
      <x:c r="A184" s="131"/>
    </x:row>
    <x:row r="185" spans="1:1">
      <x:c r="A185" s="131"/>
    </x:row>
    <x:row r="186" spans="1:1">
      <x:c r="A186" s="131"/>
    </x:row>
    <x:row r="187" spans="1:1">
      <x:c r="A187" s="131"/>
    </x:row>
    <x:row r="188" spans="1:1">
      <x:c r="A188" s="131"/>
    </x:row>
    <x:row r="189" spans="1:1">
      <x:c r="A189" s="131"/>
    </x:row>
    <x:row r="190" spans="1:1">
      <x:c r="A190" s="131"/>
    </x:row>
    <x:row r="191" spans="1:1">
      <x:c r="A191" s="131"/>
    </x:row>
    <x:row r="192" spans="1:1">
      <x:c r="A192" s="131"/>
    </x:row>
    <x:row r="193" spans="1:1">
      <x:c r="A193" s="131"/>
    </x:row>
    <x:row r="194" spans="1:1">
      <x:c r="A194" s="131"/>
    </x:row>
    <x:row r="195" spans="1:1">
      <x:c r="A195" s="131"/>
    </x:row>
    <x:row r="196" spans="1:1">
      <x:c r="A196" s="131"/>
    </x:row>
    <x:row r="197" spans="1:1">
      <x:c r="A197" s="131"/>
    </x:row>
    <x:row r="198" spans="1:1">
      <x:c r="A198" s="131"/>
    </x:row>
    <x:row r="199" spans="1:1">
      <x:c r="A199" s="131"/>
    </x:row>
    <x:row r="200" spans="1:1">
      <x:c r="A200" s="131"/>
    </x:row>
    <x:row r="201" spans="1:1">
      <x:c r="A201" s="131"/>
    </x:row>
    <x:row r="202" spans="1:1">
      <x:c r="A202" s="131"/>
    </x:row>
    <x:row r="203" spans="1:1">
      <x:c r="A203" s="131"/>
    </x:row>
    <x:row r="204" spans="1:1">
      <x:c r="A204" s="131"/>
    </x:row>
    <x:row r="205" spans="1:1">
      <x:c r="A205" s="131"/>
    </x:row>
    <x:row r="206" spans="1:1">
      <x:c r="A206" s="131"/>
    </x:row>
    <x:row r="207" spans="1:1">
      <x:c r="A207" s="131"/>
    </x:row>
    <x:row r="208" spans="1:1">
      <x:c r="A208" s="131"/>
    </x:row>
    <x:row r="209" spans="1:1">
      <x:c r="A209" s="131"/>
    </x:row>
    <x:row r="210" spans="1:1">
      <x:c r="A210" s="131"/>
    </x:row>
    <x:row r="211" spans="1:1">
      <x:c r="A211" s="131"/>
    </x:row>
    <x:row r="212" spans="1:1">
      <x:c r="A212" s="131"/>
    </x:row>
    <x:row r="213" spans="1:1">
      <x:c r="A213" s="131"/>
    </x:row>
    <x:row r="214" spans="1:1">
      <x:c r="A214" s="131"/>
    </x:row>
    <x:row r="215" spans="1:1">
      <x:c r="A215" s="131"/>
    </x:row>
    <x:row r="216" spans="1:1">
      <x:c r="A216" s="131"/>
    </x:row>
    <x:row r="217" spans="1:1">
      <x:c r="A217" s="131"/>
    </x:row>
    <x:row r="218" spans="1:1">
      <x:c r="A218" s="131"/>
    </x:row>
    <x:row r="219" spans="1:1">
      <x:c r="A219" s="131"/>
    </x:row>
    <x:row r="220" spans="1:1">
      <x:c r="A220" s="131"/>
    </x:row>
    <x:row r="221" spans="1:1">
      <x:c r="A221" s="131"/>
    </x:row>
    <x:row r="222" spans="1:1">
      <x:c r="A222" s="131"/>
    </x:row>
    <x:row r="223" spans="1:1">
      <x:c r="A223" s="131"/>
    </x:row>
    <x:row r="224" spans="1:1">
      <x:c r="A224" s="131"/>
    </x:row>
    <x:row r="225" spans="1:1">
      <x:c r="A225" s="131"/>
    </x:row>
    <x:row r="226" spans="1:1">
      <x:c r="A226" s="131"/>
    </x:row>
    <x:row r="227" spans="1:1">
      <x:c r="A227" s="131"/>
    </x:row>
    <x:row r="228" spans="1:1">
      <x:c r="A228" s="131"/>
    </x:row>
    <x:row r="229" spans="1:1">
      <x:c r="A229" s="131"/>
    </x:row>
    <x:row r="230" spans="1:1">
      <x:c r="A230" s="131"/>
    </x:row>
    <x:row r="231" spans="1:1">
      <x:c r="A231" s="131"/>
    </x:row>
    <x:row r="232" spans="1:1">
      <x:c r="A232" s="131"/>
    </x:row>
    <x:row r="233" spans="1:1">
      <x:c r="A233" s="131"/>
    </x:row>
    <x:row r="234" spans="1:1">
      <x:c r="A234" s="131"/>
    </x:row>
    <x:row r="235" spans="1:1">
      <x:c r="A235" s="131"/>
    </x:row>
    <x:row r="236" spans="1:1">
      <x:c r="A236" s="131"/>
    </x:row>
    <x:row r="237" spans="1:1">
      <x:c r="A237" s="131"/>
    </x:row>
    <x:row r="238" spans="1:1">
      <x:c r="A238" s="131"/>
    </x:row>
    <x:row r="239" spans="1:1">
      <x:c r="A239" s="131"/>
    </x:row>
    <x:row r="240" spans="1:1">
      <x:c r="A240" s="131"/>
    </x:row>
    <x:row r="241" spans="1:1">
      <x:c r="A241" s="131"/>
    </x:row>
    <x:row r="242" spans="1:1">
      <x:c r="A242" s="131"/>
    </x:row>
    <x:row r="243" spans="1:1">
      <x:c r="A243" s="131"/>
    </x:row>
    <x:row r="244" spans="1:1">
      <x:c r="A244" s="131"/>
    </x:row>
    <x:row r="245" spans="1:1">
      <x:c r="A245" s="131"/>
    </x:row>
    <x:row r="246" spans="1:1">
      <x:c r="A246" s="131"/>
    </x:row>
    <x:row r="247" spans="1:1">
      <x:c r="A247" s="131"/>
    </x:row>
    <x:row r="248" spans="1:1">
      <x:c r="A248" s="131"/>
    </x:row>
    <x:row r="249" spans="1:1">
      <x:c r="A249" s="131"/>
    </x:row>
    <x:row r="250" spans="1:1">
      <x:c r="A250" s="131"/>
    </x:row>
    <x:row r="251" spans="1:1">
      <x:c r="A251" s="131"/>
    </x:row>
    <x:row r="252" spans="1:1">
      <x:c r="A252" s="131"/>
    </x:row>
    <x:row r="253" spans="1:1">
      <x:c r="A253" s="131"/>
    </x:row>
    <x:row r="254" spans="1:1">
      <x:c r="A254" s="131"/>
    </x:row>
    <x:row r="255" spans="1:1">
      <x:c r="A255" s="131"/>
    </x:row>
    <x:row r="256" spans="1:1">
      <x:c r="A256" s="131"/>
    </x:row>
    <x:row r="257" spans="1:1">
      <x:c r="A257" s="131"/>
    </x:row>
    <x:row r="258" spans="1:1">
      <x:c r="A258" s="131"/>
    </x:row>
    <x:row r="259" spans="1:1">
      <x:c r="A259" s="131"/>
    </x:row>
    <x:row r="260" spans="1:1">
      <x:c r="A260" s="131"/>
    </x:row>
    <x:row r="261" spans="1:1">
      <x:c r="A261" s="131"/>
    </x:row>
    <x:row r="262" spans="1:1">
      <x:c r="A262" s="131"/>
    </x:row>
    <x:row r="263" spans="1:1">
      <x:c r="A263" s="131"/>
    </x:row>
    <x:row r="264" spans="1:1">
      <x:c r="A264" s="131"/>
    </x:row>
    <x:row r="265" spans="1:1">
      <x:c r="A265" s="131"/>
    </x:row>
    <x:row r="266" spans="1:1">
      <x:c r="A266" s="131"/>
    </x:row>
    <x:row r="267" spans="1:1">
      <x:c r="A267" s="131"/>
    </x:row>
    <x:row r="268" spans="1:1">
      <x:c r="A268" s="131"/>
    </x:row>
    <x:row r="269" spans="1:1">
      <x:c r="A269" s="131"/>
    </x:row>
    <x:row r="270" spans="1:1">
      <x:c r="A270" s="131"/>
    </x:row>
    <x:row r="271" spans="1:1">
      <x:c r="A271" s="131"/>
    </x:row>
    <x:row r="272" spans="1:1">
      <x:c r="A272" s="131"/>
    </x:row>
    <x:row r="273" spans="1:1">
      <x:c r="A273" s="131"/>
    </x:row>
    <x:row r="274" spans="1:1">
      <x:c r="A274" s="131"/>
    </x:row>
    <x:row r="275" spans="1:1">
      <x:c r="A275" s="131"/>
    </x:row>
    <x:row r="276" spans="1:1">
      <x:c r="A276" s="131"/>
    </x:row>
    <x:row r="277" spans="1:1">
      <x:c r="A277" s="131"/>
    </x:row>
    <x:row r="278" spans="1:1">
      <x:c r="A278" s="131"/>
    </x:row>
    <x:row r="279" spans="1:1">
      <x:c r="A279" s="131"/>
    </x:row>
    <x:row r="280" spans="1:1">
      <x:c r="A280" s="131"/>
    </x:row>
    <x:row r="281" spans="1:1">
      <x:c r="A281" s="131"/>
    </x:row>
    <x:row r="282" spans="1:1">
      <x:c r="A282" s="131"/>
    </x:row>
    <x:row r="283" spans="1:1">
      <x:c r="A283" s="131"/>
    </x:row>
    <x:row r="284" spans="1:1">
      <x:c r="A284" s="131"/>
    </x:row>
    <x:row r="285" spans="1:1">
      <x:c r="A285" s="131"/>
    </x:row>
    <x:row r="286" spans="1:1">
      <x:c r="A286" s="131"/>
    </x:row>
    <x:row r="287" spans="1:1">
      <x:c r="A287" s="131"/>
    </x:row>
    <x:row r="288" spans="1:1">
      <x:c r="A288" s="131"/>
    </x:row>
    <x:row r="289" spans="1:1">
      <x:c r="A289" s="131"/>
    </x:row>
    <x:row r="290" spans="1:1">
      <x:c r="A290" s="131"/>
    </x:row>
    <x:row r="291" spans="1:1">
      <x:c r="A291" s="131"/>
    </x:row>
    <x:row r="292" spans="1:1">
      <x:c r="A292" s="131"/>
    </x:row>
    <x:row r="293" spans="1:1">
      <x:c r="A293" s="131"/>
    </x:row>
    <x:row r="294" spans="1:1">
      <x:c r="A294" s="131"/>
    </x:row>
    <x:row r="295" spans="1:1">
      <x:c r="A295" s="131"/>
    </x:row>
    <x:row r="296" spans="1:1">
      <x:c r="A296" s="131"/>
    </x:row>
    <x:row r="297" spans="1:1">
      <x:c r="A297" s="131"/>
    </x:row>
    <x:row r="298" spans="1:1">
      <x:c r="A298" s="131"/>
    </x:row>
    <x:row r="299" spans="1:1">
      <x:c r="A299" s="131"/>
    </x:row>
    <x:row r="300" spans="1:1">
      <x:c r="A300" s="131"/>
    </x:row>
    <x:row r="301" spans="1:1">
      <x:c r="A301" s="131"/>
    </x:row>
    <x:row r="302" spans="1:1">
      <x:c r="A302" s="131"/>
    </x:row>
    <x:row r="303" spans="1:1">
      <x:c r="A303" s="131"/>
    </x:row>
    <x:row r="304" spans="1:1">
      <x:c r="A304" s="131"/>
    </x:row>
    <x:row r="305" spans="1:1">
      <x:c r="A305" s="131"/>
    </x:row>
    <x:row r="306" spans="1:1">
      <x:c r="A306" s="131"/>
    </x:row>
    <x:row r="307" spans="1:1">
      <x:c r="A307" s="131"/>
    </x:row>
    <x:row r="308" spans="1:1">
      <x:c r="A308" s="131"/>
    </x:row>
    <x:row r="309" spans="1:1">
      <x:c r="A309" s="131"/>
    </x:row>
    <x:row r="310" spans="1:1">
      <x:c r="A310" s="131"/>
    </x:row>
    <x:row r="311" spans="1:1">
      <x:c r="A311" s="131"/>
    </x:row>
    <x:row r="312" spans="1:1">
      <x:c r="A312" s="131"/>
    </x:row>
    <x:row r="313" spans="1:1">
      <x:c r="A313" s="131"/>
    </x:row>
    <x:row r="314" spans="1:1">
      <x:c r="A314" s="131"/>
    </x:row>
    <x:row r="315" spans="1:1">
      <x:c r="A315" s="131"/>
    </x:row>
    <x:row r="316" spans="1:1">
      <x:c r="A316" s="131"/>
    </x:row>
    <x:row r="317" spans="1:1">
      <x:c r="A317" s="131"/>
    </x:row>
    <x:row r="318" spans="1:1">
      <x:c r="A318" s="131"/>
    </x:row>
    <x:row r="319" spans="1:1">
      <x:c r="A319" s="131"/>
    </x:row>
    <x:row r="320" spans="1:1">
      <x:c r="A320" s="131"/>
    </x:row>
    <x:row r="321" spans="1:1">
      <x:c r="A321" s="131"/>
    </x:row>
    <x:row r="322" spans="1:1">
      <x:c r="A322" s="131"/>
    </x:row>
    <x:row r="323" spans="1:1">
      <x:c r="A323" s="131"/>
    </x:row>
    <x:row r="324" spans="1:1">
      <x:c r="A324" s="131"/>
    </x:row>
    <x:row r="325" spans="1:1">
      <x:c r="A325" s="131"/>
    </x:row>
    <x:row r="326" spans="1:1">
      <x:c r="A326" s="131"/>
    </x:row>
    <x:row r="327" spans="1:1">
      <x:c r="A327" s="131"/>
    </x:row>
    <x:row r="328" spans="1:1">
      <x:c r="A328" s="131"/>
    </x:row>
    <x:row r="329" spans="1:1">
      <x:c r="A329" s="131"/>
    </x:row>
    <x:row r="330" spans="1:1">
      <x:c r="A330" s="131"/>
    </x:row>
    <x:row r="331" spans="1:1">
      <x:c r="A331" s="131"/>
    </x:row>
    <x:row r="332" spans="1:1">
      <x:c r="A332" s="131"/>
    </x:row>
    <x:row r="333" spans="1:1">
      <x:c r="A333" s="131"/>
    </x:row>
    <x:row r="334" spans="1:1">
      <x:c r="A334" s="131"/>
    </x:row>
    <x:row r="335" spans="1:1">
      <x:c r="A335" s="131"/>
    </x:row>
    <x:row r="336" spans="1:1">
      <x:c r="A336" s="131"/>
    </x:row>
    <x:row r="337" spans="1:1">
      <x:c r="A337" s="131"/>
    </x:row>
    <x:row r="338" spans="1:1">
      <x:c r="A338" s="131"/>
    </x:row>
    <x:row r="339" spans="1:1">
      <x:c r="A339" s="131"/>
    </x:row>
    <x:row r="340" spans="1:1">
      <x:c r="A340" s="131"/>
    </x:row>
    <x:row r="341" spans="1:1">
      <x:c r="A341" s="131"/>
    </x:row>
    <x:row r="342" spans="1:1">
      <x:c r="A342" s="131"/>
    </x:row>
    <x:row r="343" spans="1:1">
      <x:c r="A343" s="131"/>
    </x:row>
    <x:row r="344" spans="1:1">
      <x:c r="A344" s="131"/>
    </x:row>
    <x:row r="345" spans="1:1">
      <x:c r="A345" s="131"/>
    </x:row>
    <x:row r="346" spans="1:1">
      <x:c r="A346" s="131"/>
    </x:row>
    <x:row r="347" spans="1:1">
      <x:c r="A347" s="131"/>
    </x:row>
    <x:row r="348" spans="1:1">
      <x:c r="A348" s="131"/>
    </x:row>
    <x:row r="349" spans="1:1">
      <x:c r="A349" s="131"/>
    </x:row>
    <x:row r="350" spans="1:1">
      <x:c r="A350" s="131"/>
    </x:row>
    <x:row r="351" spans="1:1">
      <x:c r="A351" s="131"/>
    </x:row>
    <x:row r="352" spans="1:1">
      <x:c r="A352" s="131"/>
    </x:row>
    <x:row r="353" spans="1:1">
      <x:c r="A353" s="131"/>
    </x:row>
    <x:row r="354" spans="1:1">
      <x:c r="A354" s="131"/>
    </x:row>
    <x:row r="355" spans="1:1">
      <x:c r="A355" s="131"/>
    </x:row>
    <x:row r="356" spans="1:1">
      <x:c r="A356" s="131"/>
    </x:row>
    <x:row r="357" spans="1:1">
      <x:c r="A357" s="131"/>
    </x:row>
    <x:row r="358" spans="1:1">
      <x:c r="A358" s="131"/>
    </x:row>
    <x:row r="359" spans="1:1">
      <x:c r="A359" s="131"/>
    </x:row>
    <x:row r="360" spans="1:1">
      <x:c r="A360" s="131"/>
    </x:row>
    <x:row r="361" spans="1:1">
      <x:c r="A361" s="131"/>
    </x:row>
    <x:row r="362" spans="1:1">
      <x:c r="A362" s="131"/>
    </x:row>
    <x:row r="363" spans="1:1">
      <x:c r="A363" s="131"/>
    </x:row>
    <x:row r="364" spans="1:1">
      <x:c r="A364" s="131"/>
    </x:row>
    <x:row r="365" spans="1:1">
      <x:c r="A365" s="131"/>
    </x:row>
    <x:row r="366" spans="1:1">
      <x:c r="A366" s="131"/>
    </x:row>
    <x:row r="367" spans="1:1">
      <x:c r="A367" s="131"/>
    </x:row>
    <x:row r="368" spans="1:1">
      <x:c r="A368" s="131"/>
    </x:row>
    <x:row r="369" spans="1:1">
      <x:c r="A369" s="131"/>
    </x:row>
    <x:row r="370" spans="1:1">
      <x:c r="A370" s="131"/>
    </x:row>
    <x:row r="371" spans="1:1">
      <x:c r="A371" s="131"/>
    </x:row>
    <x:row r="372" spans="1:1">
      <x:c r="A372" s="131"/>
    </x:row>
    <x:row r="373" spans="1:1">
      <x:c r="A373" s="131"/>
    </x:row>
    <x:row r="374" spans="1:1">
      <x:c r="A374" s="131"/>
    </x:row>
    <x:row r="375" spans="1:1">
      <x:c r="A375" s="131"/>
    </x:row>
    <x:row r="376" spans="1:1">
      <x:c r="A376" s="131"/>
    </x:row>
    <x:row r="377" spans="1:1">
      <x:c r="A377" s="131"/>
    </x:row>
    <x:row r="378" spans="1:1">
      <x:c r="A378" s="131"/>
    </x:row>
    <x:row r="379" spans="1:1">
      <x:c r="A379" s="131"/>
    </x:row>
    <x:row r="380" spans="1:1">
      <x:c r="A380" s="131"/>
    </x:row>
    <x:row r="381" spans="1:1">
      <x:c r="A381" s="131"/>
    </x:row>
    <x:row r="382" spans="1:1">
      <x:c r="A382" s="131"/>
    </x:row>
    <x:row r="383" spans="1:1">
      <x:c r="A383" s="131"/>
    </x:row>
    <x:row r="384" spans="1:1">
      <x:c r="A384" s="131"/>
    </x:row>
    <x:row r="385" spans="1:1">
      <x:c r="A385" s="131"/>
    </x:row>
    <x:row r="386" spans="1:1">
      <x:c r="A386" s="131"/>
    </x:row>
    <x:row r="387" spans="1:1">
      <x:c r="A387" s="131"/>
    </x:row>
    <x:row r="388" spans="1:1">
      <x:c r="A388" s="131"/>
    </x:row>
    <x:row r="389" spans="1:1">
      <x:c r="A389" s="131"/>
    </x:row>
    <x:row r="390" spans="1:1">
      <x:c r="A390" s="131"/>
    </x:row>
    <x:row r="391" spans="1:1">
      <x:c r="A391" s="131"/>
    </x:row>
    <x:row r="392" spans="1:1">
      <x:c r="A392" s="131"/>
    </x:row>
    <x:row r="393" spans="1:1">
      <x:c r="A393" s="131"/>
    </x:row>
    <x:row r="394" spans="1:1">
      <x:c r="A394" s="131"/>
    </x:row>
    <x:row r="395" spans="1:1">
      <x:c r="A395" s="131"/>
    </x:row>
    <x:row r="396" spans="1:1">
      <x:c r="A396" s="131"/>
    </x:row>
    <x:row r="397" spans="1:1">
      <x:c r="A397" s="131"/>
    </x:row>
    <x:row r="398" spans="1:1">
      <x:c r="A398" s="131"/>
    </x:row>
    <x:row r="399" spans="1:1">
      <x:c r="A399" s="131"/>
    </x:row>
    <x:row r="400" spans="1:1">
      <x:c r="A400" s="131"/>
    </x:row>
    <x:row r="401" spans="1:1">
      <x:c r="A401" s="131"/>
    </x:row>
    <x:row r="402" spans="1:1">
      <x:c r="A402" s="131"/>
    </x:row>
    <x:row r="403" spans="1:1">
      <x:c r="A403" s="131"/>
    </x:row>
    <x:row r="404" spans="1:1">
      <x:c r="A404" s="131"/>
    </x:row>
    <x:row r="405" spans="1:1">
      <x:c r="A405" s="131"/>
    </x:row>
    <x:row r="406" spans="1:1">
      <x:c r="A406" s="131"/>
    </x:row>
    <x:row r="407" spans="1:1">
      <x:c r="A407" s="131"/>
    </x:row>
    <x:row r="408" spans="1:1">
      <x:c r="A408" s="131"/>
    </x:row>
    <x:row r="409" spans="1:1">
      <x:c r="A409" s="131"/>
    </x:row>
    <x:row r="410" spans="1:1">
      <x:c r="A410" s="131"/>
    </x:row>
    <x:row r="411" spans="1:1">
      <x:c r="A411" s="131"/>
    </x:row>
    <x:row r="412" spans="1:1">
      <x:c r="A412" s="131"/>
    </x:row>
    <x:row r="413" spans="1:1">
      <x:c r="A413" s="131"/>
    </x:row>
    <x:row r="414" spans="1:1">
      <x:c r="A414" s="131"/>
    </x:row>
    <x:row r="415" spans="1:1">
      <x:c r="A415" s="131"/>
    </x:row>
    <x:row r="416" spans="1:1">
      <x:c r="A416" s="131"/>
    </x:row>
    <x:row r="417" spans="1:1">
      <x:c r="A417" s="131"/>
    </x:row>
    <x:row r="418" spans="1:1">
      <x:c r="A418" s="131"/>
    </x:row>
    <x:row r="419" spans="1:1">
      <x:c r="A419" s="131"/>
    </x:row>
    <x:row r="420" spans="1:1">
      <x:c r="A420" s="131"/>
    </x:row>
    <x:row r="421" spans="1:1">
      <x:c r="A421" s="131"/>
    </x:row>
    <x:row r="422" spans="1:1">
      <x:c r="A422" s="131"/>
    </x:row>
    <x:row r="423" spans="1:1">
      <x:c r="A423" s="131"/>
    </x:row>
    <x:row r="424" spans="1:1">
      <x:c r="A424" s="131"/>
    </x:row>
    <x:row r="425" spans="1:1">
      <x:c r="A425" s="131"/>
    </x:row>
    <x:row r="426" spans="1:1">
      <x:c r="A426" s="131"/>
    </x:row>
    <x:row r="427" spans="1:1">
      <x:c r="A427" s="131"/>
    </x:row>
    <x:row r="428" spans="1:1">
      <x:c r="A428" s="131"/>
    </x:row>
    <x:row r="429" spans="1:1">
      <x:c r="A429" s="131"/>
    </x:row>
    <x:row r="430" spans="1:1">
      <x:c r="A430" s="131"/>
    </x:row>
    <x:row r="431" spans="1:1">
      <x:c r="A431" s="131"/>
    </x:row>
    <x:row r="432" spans="1:1">
      <x:c r="A432" s="131"/>
    </x:row>
    <x:row r="433" spans="1:1">
      <x:c r="A433" s="131"/>
    </x:row>
    <x:row r="434" spans="1:1">
      <x:c r="A434" s="131"/>
    </x:row>
    <x:row r="435" spans="1:1">
      <x:c r="A435" s="131"/>
    </x:row>
    <x:row r="436" spans="1:1">
      <x:c r="A436" s="131"/>
    </x:row>
    <x:row r="437" spans="1:1">
      <x:c r="A437" s="131"/>
    </x:row>
    <x:row r="438" spans="1:1">
      <x:c r="A438" s="131"/>
    </x:row>
    <x:row r="439" spans="1:1">
      <x:c r="A439" s="131"/>
    </x:row>
    <x:row r="440" spans="1:1">
      <x:c r="A440" s="131"/>
    </x:row>
    <x:row r="441" spans="1:1">
      <x:c r="A441" s="131"/>
    </x:row>
    <x:row r="442" spans="1:1">
      <x:c r="A442" s="131"/>
    </x:row>
    <x:row r="443" spans="1:1">
      <x:c r="A443" s="131"/>
    </x:row>
    <x:row r="444" spans="1:1">
      <x:c r="A444" s="131"/>
    </x:row>
    <x:row r="445" spans="1:1">
      <x:c r="A445" s="131"/>
    </x:row>
    <x:row r="446" spans="1:1">
      <x:c r="A446" s="131"/>
    </x:row>
    <x:row r="447" spans="1:1">
      <x:c r="A447" s="131"/>
    </x:row>
    <x:row r="448" spans="1:1">
      <x:c r="A448" s="131"/>
    </x:row>
    <x:row r="449" spans="1:1">
      <x:c r="A449" s="131"/>
    </x:row>
    <x:row r="450" spans="1:1">
      <x:c r="A450" s="131"/>
    </x:row>
    <x:row r="451" spans="1:1">
      <x:c r="A451" s="131"/>
    </x:row>
    <x:row r="452" spans="1:1">
      <x:c r="A452" s="131"/>
    </x:row>
    <x:row r="453" spans="1:1">
      <x:c r="A453" s="131"/>
    </x:row>
    <x:row r="454" spans="1:1">
      <x:c r="A454" s="131"/>
    </x:row>
    <x:row r="455" spans="1:1">
      <x:c r="A455" s="131"/>
    </x:row>
    <x:row r="456" spans="1:1">
      <x:c r="A456" s="131"/>
    </x:row>
    <x:row r="457" spans="1:1">
      <x:c r="A457" s="131"/>
    </x:row>
    <x:row r="458" spans="1:1">
      <x:c r="A458" s="131"/>
    </x:row>
    <x:row r="459" spans="1:1">
      <x:c r="A459" s="131"/>
    </x:row>
    <x:row r="460" spans="1:1">
      <x:c r="A460" s="131"/>
    </x:row>
    <x:row r="461" spans="1:1">
      <x:c r="A461" s="131"/>
    </x:row>
    <x:row r="462" spans="1:1">
      <x:c r="A462" s="131"/>
    </x:row>
    <x:row r="463" spans="1:1">
      <x:c r="A463" s="131"/>
    </x:row>
    <x:row r="464" spans="1:1">
      <x:c r="A464" s="131"/>
    </x:row>
    <x:row r="465" spans="1:1">
      <x:c r="A465" s="131"/>
    </x:row>
    <x:row r="466" spans="1:1">
      <x:c r="A466" s="131"/>
    </x:row>
    <x:row r="467" spans="1:1">
      <x:c r="A467" s="131"/>
    </x:row>
    <x:row r="468" spans="1:1">
      <x:c r="A468" s="131"/>
    </x:row>
    <x:row r="469" spans="1:1">
      <x:c r="A469" s="131"/>
    </x:row>
    <x:row r="470" spans="1:1">
      <x:c r="A470" s="131"/>
    </x:row>
    <x:row r="471" spans="1:1">
      <x:c r="A471" s="131"/>
    </x:row>
    <x:row r="472" spans="1:1">
      <x:c r="A472" s="131"/>
    </x:row>
    <x:row r="473" spans="1:1">
      <x:c r="A473" s="131"/>
    </x:row>
    <x:row r="474" spans="1:1">
      <x:c r="A474" s="131"/>
    </x:row>
    <x:row r="475" spans="1:1">
      <x:c r="A475" s="131"/>
    </x:row>
    <x:row r="476" spans="1:1">
      <x:c r="A476" s="131"/>
    </x:row>
    <x:row r="477" spans="1:1">
      <x:c r="A477" s="131"/>
    </x:row>
    <x:row r="478" spans="1:1">
      <x:c r="A478" s="131"/>
    </x:row>
    <x:row r="479" spans="1:1">
      <x:c r="A479" s="131"/>
    </x:row>
    <x:row r="480" spans="1:1">
      <x:c r="A480" s="131"/>
    </x:row>
    <x:row r="481" spans="1:1">
      <x:c r="A481" s="131"/>
    </x:row>
    <x:row r="482" spans="1:1">
      <x:c r="A482" s="131"/>
    </x:row>
    <x:row r="483" spans="1:1">
      <x:c r="A483" s="131"/>
    </x:row>
    <x:row r="484" spans="1:1">
      <x:c r="A484" s="131"/>
    </x:row>
    <x:row r="485" spans="1:1">
      <x:c r="A485" s="131"/>
    </x:row>
    <x:row r="486" spans="1:1">
      <x:c r="A486" s="131"/>
    </x:row>
    <x:row r="487" spans="1:1">
      <x:c r="A487" s="131"/>
    </x:row>
    <x:row r="488" spans="1:1">
      <x:c r="A488" s="131"/>
    </x:row>
    <x:row r="489" spans="1:1">
      <x:c r="A489" s="131"/>
    </x:row>
    <x:row r="490" spans="1:1">
      <x:c r="A490" s="131"/>
    </x:row>
    <x:row r="491" spans="1:1">
      <x:c r="A491" s="131"/>
    </x:row>
    <x:row r="492" spans="1:1">
      <x:c r="A492" s="131"/>
    </x:row>
    <x:row r="493" spans="1:1">
      <x:c r="A493" s="131"/>
    </x:row>
    <x:row r="494" spans="1:1">
      <x:c r="A494" s="131"/>
    </x:row>
    <x:row r="495" spans="1:1">
      <x:c r="A495" s="131"/>
    </x:row>
    <x:row r="496" spans="1:1">
      <x:c r="A496" s="131"/>
    </x:row>
    <x:row r="497" spans="1:1">
      <x:c r="A497" s="131"/>
    </x:row>
    <x:row r="498" spans="1:1">
      <x:c r="A498" s="131"/>
    </x:row>
    <x:row r="499" spans="1:1">
      <x:c r="A499" s="131"/>
    </x:row>
    <x:row r="500" spans="1:1">
      <x:c r="A500" s="131"/>
    </x:row>
    <x:row r="501" spans="1:1">
      <x:c r="A501" s="131"/>
    </x:row>
    <x:row r="502" spans="1:1">
      <x:c r="A502" s="131"/>
    </x:row>
    <x:row r="503" spans="1:1">
      <x:c r="A503" s="131"/>
    </x:row>
    <x:row r="504" spans="1:1">
      <x:c r="A504" s="131"/>
    </x:row>
    <x:row r="505" spans="1:1">
      <x:c r="A505" s="131"/>
    </x:row>
    <x:row r="506" spans="1:1">
      <x:c r="A506" s="131"/>
    </x:row>
    <x:row r="507" spans="1:1">
      <x:c r="A507" s="131"/>
    </x:row>
    <x:row r="508" spans="1:1">
      <x:c r="A508" s="131"/>
    </x:row>
    <x:row r="509" spans="1:1">
      <x:c r="A509" s="131"/>
    </x:row>
    <x:row r="510" spans="1:1">
      <x:c r="A510" s="131"/>
    </x:row>
    <x:row r="511" spans="1:1">
      <x:c r="A511" s="131"/>
    </x:row>
    <x:row r="512" spans="1:1">
      <x:c r="A512" s="131"/>
    </x:row>
    <x:row r="513" spans="1:1">
      <x:c r="A513" s="131"/>
    </x:row>
    <x:row r="514" spans="1:1">
      <x:c r="A514" s="131"/>
    </x:row>
    <x:row r="515" spans="1:1">
      <x:c r="A515" s="131"/>
    </x:row>
    <x:row r="516" spans="1:1">
      <x:c r="A516" s="131"/>
    </x:row>
    <x:row r="517" spans="1:1">
      <x:c r="A517" s="131"/>
    </x:row>
    <x:row r="518" spans="1:1">
      <x:c r="A518" s="131"/>
    </x:row>
    <x:row r="519" spans="1:1">
      <x:c r="A519" s="131"/>
    </x:row>
    <x:row r="520" spans="1:1">
      <x:c r="A520" s="131"/>
    </x:row>
    <x:row r="521" spans="1:1">
      <x:c r="A521" s="131"/>
    </x:row>
    <x:row r="522" spans="1:1">
      <x:c r="A522" s="131"/>
    </x:row>
    <x:row r="523" spans="1:1">
      <x:c r="A523" s="131"/>
    </x:row>
    <x:row r="524" spans="1:1">
      <x:c r="A524" s="131"/>
    </x:row>
    <x:row r="525" spans="1:1">
      <x:c r="A525" s="131"/>
    </x:row>
    <x:row r="526" spans="1:1">
      <x:c r="A526" s="131"/>
    </x:row>
    <x:row r="527" spans="1:1">
      <x:c r="A527" s="131"/>
    </x:row>
    <x:row r="528" spans="1:1">
      <x:c r="A528" s="131"/>
    </x:row>
    <x:row r="529" spans="1:1">
      <x:c r="A529" s="131"/>
    </x:row>
    <x:row r="530" spans="1:1">
      <x:c r="A530" s="131"/>
    </x:row>
    <x:row r="531" spans="1:1">
      <x:c r="A531" s="131"/>
    </x:row>
    <x:row r="532" spans="1:1">
      <x:c r="A532" s="131"/>
    </x:row>
    <x:row r="533" spans="1:1">
      <x:c r="A533" s="131"/>
    </x:row>
    <x:row r="534" spans="1:1">
      <x:c r="A534" s="131"/>
    </x:row>
    <x:row r="535" spans="1:1">
      <x:c r="A535" s="131"/>
    </x:row>
    <x:row r="536" spans="1:1">
      <x:c r="A536" s="131"/>
    </x:row>
    <x:row r="537" spans="1:1">
      <x:c r="A537" s="131"/>
    </x:row>
    <x:row r="538" spans="1:1">
      <x:c r="A538" s="131"/>
    </x:row>
    <x:row r="539" spans="1:1">
      <x:c r="A539" s="131"/>
    </x:row>
    <x:row r="540" spans="1:1">
      <x:c r="A540" s="131"/>
    </x:row>
    <x:row r="541" spans="1:1">
      <x:c r="A541" s="131"/>
    </x:row>
    <x:row r="542" spans="1:1">
      <x:c r="A542" s="131"/>
    </x:row>
    <x:row r="543" spans="1:1">
      <x:c r="A543" s="131"/>
    </x:row>
    <x:row r="544" spans="1:1">
      <x:c r="A544" s="131"/>
    </x:row>
    <x:row r="545" spans="1:1">
      <x:c r="A545" s="131"/>
    </x:row>
    <x:row r="546" spans="1:1">
      <x:c r="A546" s="131"/>
    </x:row>
    <x:row r="547" spans="1:1">
      <x:c r="A547" s="131"/>
    </x:row>
    <x:row r="548" spans="1:1">
      <x:c r="A548" s="131"/>
    </x:row>
    <x:row r="549" spans="1:1">
      <x:c r="A549" s="131"/>
    </x:row>
    <x:row r="550" spans="1:1">
      <x:c r="A550" s="131"/>
    </x:row>
    <x:row r="551" spans="1:1">
      <x:c r="A551" s="131"/>
    </x:row>
    <x:row r="552" spans="1:1">
      <x:c r="A552" s="131"/>
    </x:row>
    <x:row r="553" spans="1:1">
      <x:c r="A553" s="131"/>
    </x:row>
    <x:row r="554" spans="1:1">
      <x:c r="A554" s="131"/>
    </x:row>
    <x:row r="555" spans="1:1">
      <x:c r="A555" s="131"/>
    </x:row>
    <x:row r="556" spans="1:1">
      <x:c r="A556" s="131"/>
    </x:row>
    <x:row r="557" spans="1:1">
      <x:c r="A557" s="131"/>
    </x:row>
    <x:row r="558" spans="1:1">
      <x:c r="A558" s="131"/>
    </x:row>
    <x:row r="559" spans="1:1">
      <x:c r="A559" s="131"/>
    </x:row>
    <x:row r="560" spans="1:1">
      <x:c r="A560" s="131"/>
    </x:row>
    <x:row r="561" spans="1:1">
      <x:c r="A561" s="131"/>
    </x:row>
    <x:row r="562" spans="1:1">
      <x:c r="A562" s="131"/>
    </x:row>
    <x:row r="563" spans="1:1">
      <x:c r="A563" s="131"/>
    </x:row>
    <x:row r="564" spans="1:1">
      <x:c r="A564" s="131"/>
    </x:row>
    <x:row r="565" spans="1:1">
      <x:c r="A565" s="131"/>
    </x:row>
    <x:row r="566" spans="1:1">
      <x:c r="A566" s="131"/>
    </x:row>
    <x:row r="567" spans="1:1">
      <x:c r="A567" s="131"/>
    </x:row>
    <x:row r="568" spans="1:1">
      <x:c r="A568" s="131"/>
    </x:row>
    <x:row r="569" spans="1:1">
      <x:c r="A569" s="131"/>
    </x:row>
    <x:row r="570" spans="1:1">
      <x:c r="A570" s="131"/>
    </x:row>
    <x:row r="571" spans="1:1">
      <x:c r="A571" s="131"/>
    </x:row>
    <x:row r="572" spans="1:1">
      <x:c r="A572" s="131"/>
    </x:row>
    <x:row r="573" spans="1:1">
      <x:c r="A573" s="131"/>
    </x:row>
    <x:row r="574" spans="1:1">
      <x:c r="A574" s="131"/>
    </x:row>
    <x:row r="575" spans="1:1">
      <x:c r="A575" s="131"/>
    </x:row>
    <x:row r="576" spans="1:1">
      <x:c r="A576" s="131"/>
    </x:row>
    <x:row r="577" spans="1:1">
      <x:c r="A577" s="131"/>
    </x:row>
    <x:row r="578" spans="1:1">
      <x:c r="A578" s="131"/>
    </x:row>
    <x:row r="579" spans="1:1">
      <x:c r="A579" s="131"/>
    </x:row>
    <x:row r="580" spans="1:1">
      <x:c r="A580" s="131"/>
    </x:row>
    <x:row r="581" spans="1:1">
      <x:c r="A581" s="131"/>
    </x:row>
    <x:row r="582" spans="1:1">
      <x:c r="A582" s="131"/>
    </x:row>
    <x:row r="583" spans="1:1">
      <x:c r="A583" s="131"/>
    </x:row>
    <x:row r="584" spans="1:1">
      <x:c r="A584" s="131"/>
    </x:row>
    <x:row r="585" spans="1:1">
      <x:c r="A585" s="131"/>
    </x:row>
    <x:row r="586" spans="1:1">
      <x:c r="A586" s="131"/>
    </x:row>
    <x:row r="587" spans="1:1">
      <x:c r="A587" s="131"/>
    </x:row>
    <x:row r="588" spans="1:1">
      <x:c r="A588" s="131"/>
    </x:row>
    <x:row r="589" spans="1:1">
      <x:c r="A589" s="131"/>
    </x:row>
    <x:row r="590" spans="1:1">
      <x:c r="A590" s="131"/>
    </x:row>
    <x:row r="591" spans="1:1">
      <x:c r="A591" s="131"/>
    </x:row>
    <x:row r="592" spans="1:1">
      <x:c r="A592" s="131"/>
    </x:row>
    <x:row r="593" spans="1:1">
      <x:c r="A593" s="131"/>
    </x:row>
    <x:row r="594" spans="1:1">
      <x:c r="A594" s="131"/>
    </x:row>
    <x:row r="595" spans="1:1">
      <x:c r="A595" s="131"/>
    </x:row>
    <x:row r="596" spans="1:1">
      <x:c r="A596" s="131"/>
    </x:row>
    <x:row r="597" spans="1:1">
      <x:c r="A597" s="131"/>
    </x:row>
    <x:row r="598" spans="1:1">
      <x:c r="A598" s="131"/>
    </x:row>
    <x:row r="599" spans="1:1">
      <x:c r="A599" s="131"/>
    </x:row>
    <x:row r="600" spans="1:1">
      <x:c r="A600" s="131"/>
    </x:row>
    <x:row r="601" spans="1:1">
      <x:c r="A601" s="131"/>
    </x:row>
    <x:row r="602" spans="1:1">
      <x:c r="A602" s="131"/>
    </x:row>
    <x:row r="603" spans="1:1">
      <x:c r="A603" s="131"/>
    </x:row>
    <x:row r="604" spans="1:1">
      <x:c r="A604" s="131"/>
    </x:row>
    <x:row r="605" spans="1:1">
      <x:c r="A605" s="131"/>
    </x:row>
    <x:row r="606" spans="1:1">
      <x:c r="A606" s="131"/>
    </x:row>
    <x:row r="607" spans="1:1">
      <x:c r="A607" s="131"/>
    </x:row>
    <x:row r="608" spans="1:1">
      <x:c r="A608" s="131"/>
    </x:row>
    <x:row r="609" spans="1:1">
      <x:c r="A609" s="131"/>
    </x:row>
    <x:row r="610" spans="1:1">
      <x:c r="A610" s="131"/>
    </x:row>
    <x:row r="611" spans="1:1">
      <x:c r="A611" s="131"/>
    </x:row>
    <x:row r="612" spans="1:1">
      <x:c r="A612" s="131"/>
    </x:row>
    <x:row r="613" spans="1:1">
      <x:c r="A613" s="131"/>
    </x:row>
    <x:row r="614" spans="1:1">
      <x:c r="A614" s="131"/>
    </x:row>
    <x:row r="615" spans="1:1">
      <x:c r="A615" s="131"/>
    </x:row>
    <x:row r="616" spans="1:1">
      <x:c r="A616" s="131"/>
    </x:row>
    <x:row r="617" spans="1:1">
      <x:c r="A617" s="131"/>
    </x:row>
    <x:row r="618" spans="1:1">
      <x:c r="A618" s="131"/>
    </x:row>
    <x:row r="619" spans="1:1">
      <x:c r="A619" s="131"/>
    </x:row>
    <x:row r="620" spans="1:1">
      <x:c r="A620" s="131"/>
    </x:row>
    <x:row r="621" spans="1:1">
      <x:c r="A621" s="131"/>
    </x:row>
    <x:row r="622" spans="1:1">
      <x:c r="A622" s="131"/>
    </x:row>
    <x:row r="623" spans="1:1">
      <x:c r="A623" s="131"/>
    </x:row>
    <x:row r="624" spans="1:1">
      <x:c r="A624" s="131"/>
    </x:row>
    <x:row r="625" spans="1:1">
      <x:c r="A625" s="131"/>
    </x:row>
    <x:row r="626" spans="1:1">
      <x:c r="A626" s="131"/>
    </x:row>
    <x:row r="627" spans="1:1">
      <x:c r="A627" s="131"/>
    </x:row>
    <x:row r="628" spans="1:1">
      <x:c r="A628" s="131"/>
    </x:row>
    <x:row r="629" spans="1:1">
      <x:c r="A629" s="131"/>
    </x:row>
    <x:row r="630" spans="1:1">
      <x:c r="A630" s="131"/>
    </x:row>
    <x:row r="631" spans="1:1">
      <x:c r="A631" s="131"/>
    </x:row>
    <x:row r="632" spans="1:1">
      <x:c r="A632" s="131"/>
    </x:row>
    <x:row r="633" spans="1:1">
      <x:c r="A633" s="131"/>
    </x:row>
    <x:row r="634" spans="1:1">
      <x:c r="A634" s="131"/>
    </x:row>
    <x:row r="635" spans="1:1">
      <x:c r="A635" s="131"/>
    </x:row>
    <x:row r="636" spans="1:1">
      <x:c r="A636" s="131"/>
    </x:row>
    <x:row r="637" spans="1:1">
      <x:c r="A637" s="131"/>
    </x:row>
    <x:row r="638" spans="1:1">
      <x:c r="A638" s="131"/>
    </x:row>
    <x:row r="639" spans="1:1">
      <x:c r="A639" s="131"/>
    </x:row>
    <x:row r="640" spans="1:1">
      <x:c r="A640" s="131"/>
    </x:row>
    <x:row r="641" spans="1:1">
      <x:c r="A641" s="131"/>
    </x:row>
    <x:row r="642" spans="1:1">
      <x:c r="A642" s="131"/>
    </x:row>
    <x:row r="643" spans="1:1">
      <x:c r="A643" s="131"/>
    </x:row>
    <x:row r="644" spans="1:1">
      <x:c r="A644" s="131"/>
    </x:row>
    <x:row r="645" spans="1:1">
      <x:c r="A645" s="131"/>
    </x:row>
    <x:row r="646" spans="1:1">
      <x:c r="A646" s="131"/>
    </x:row>
    <x:row r="647" spans="1:1">
      <x:c r="A647" s="131"/>
    </x:row>
    <x:row r="648" spans="1:1">
      <x:c r="A648" s="131"/>
    </x:row>
    <x:row r="649" spans="1:1">
      <x:c r="A649" s="131"/>
    </x:row>
    <x:row r="650" spans="1:1">
      <x:c r="A650" s="131"/>
    </x:row>
    <x:row r="651" spans="1:1">
      <x:c r="A651" s="131"/>
    </x:row>
    <x:row r="652" spans="1:1">
      <x:c r="A652" s="131"/>
    </x:row>
    <x:row r="653" spans="1:1">
      <x:c r="A653" s="131"/>
    </x:row>
    <x:row r="654" spans="1:1">
      <x:c r="A654" s="131"/>
    </x:row>
    <x:row r="655" spans="1:1">
      <x:c r="A655" s="131"/>
    </x:row>
    <x:row r="656" spans="1:1">
      <x:c r="A656" s="131"/>
    </x:row>
    <x:row r="657" spans="1:1">
      <x:c r="A657" s="131"/>
    </x:row>
    <x:row r="658" spans="1:1">
      <x:c r="A658" s="131"/>
    </x:row>
    <x:row r="659" spans="1:1">
      <x:c r="A659" s="131"/>
    </x:row>
    <x:row r="660" spans="1:1">
      <x:c r="A660" s="131"/>
    </x:row>
    <x:row r="661" spans="1:1">
      <x:c r="A661" s="131"/>
    </x:row>
    <x:row r="662" spans="1:1">
      <x:c r="A662" s="131"/>
    </x:row>
    <x:row r="663" spans="1:1">
      <x:c r="A663" s="131"/>
    </x:row>
    <x:row r="664" spans="1:1">
      <x:c r="A664" s="131"/>
    </x:row>
    <x:row r="665" spans="1:1">
      <x:c r="A665" s="131"/>
    </x:row>
    <x:row r="666" spans="1:1">
      <x:c r="A666" s="131"/>
    </x:row>
    <x:row r="667" spans="1:1">
      <x:c r="A667" s="131"/>
    </x:row>
    <x:row r="668" spans="1:1">
      <x:c r="A668" s="131"/>
    </x:row>
    <x:row r="669" spans="1:1">
      <x:c r="A669" s="131"/>
    </x:row>
    <x:row r="670" spans="1:1">
      <x:c r="A670" s="131"/>
    </x:row>
    <x:row r="671" spans="1:1">
      <x:c r="A671" s="131"/>
    </x:row>
    <x:row r="672" spans="1:1">
      <x:c r="A672" s="131"/>
    </x:row>
    <x:row r="673" spans="1:1">
      <x:c r="A673" s="131"/>
    </x:row>
    <x:row r="674" spans="1:1">
      <x:c r="A674" s="131"/>
    </x:row>
    <x:row r="675" spans="1:1">
      <x:c r="A675" s="131"/>
    </x:row>
    <x:row r="676" spans="1:1">
      <x:c r="A676" s="131"/>
    </x:row>
    <x:row r="677" spans="1:1">
      <x:c r="A677" s="131"/>
    </x:row>
    <x:row r="678" spans="1:1">
      <x:c r="A678" s="131"/>
    </x:row>
    <x:row r="679" spans="1:1">
      <x:c r="A679" s="131"/>
    </x:row>
    <x:row r="680" spans="1:1">
      <x:c r="A680" s="131"/>
    </x:row>
    <x:row r="681" spans="1:1">
      <x:c r="A681" s="131"/>
    </x:row>
    <x:row r="682" spans="1:1">
      <x:c r="A682" s="131"/>
    </x:row>
    <x:row r="683" spans="1:1">
      <x:c r="A683" s="131"/>
    </x:row>
    <x:row r="684" spans="1:1">
      <x:c r="A684" s="131"/>
    </x:row>
    <x:row r="685" spans="1:1">
      <x:c r="A685" s="131"/>
    </x:row>
    <x:row r="686" spans="1:1">
      <x:c r="A686" s="131"/>
    </x:row>
    <x:row r="687" spans="1:1">
      <x:c r="A687" s="131"/>
    </x:row>
    <x:row r="688" spans="1:1">
      <x:c r="A688" s="131"/>
    </x:row>
    <x:row r="689" spans="1:1">
      <x:c r="A689" s="131"/>
    </x:row>
    <x:row r="690" spans="1:1">
      <x:c r="A690" s="131"/>
    </x:row>
    <x:row r="691" spans="1:1">
      <x:c r="A691" s="131"/>
    </x:row>
    <x:row r="692" spans="1:1">
      <x:c r="A692" s="131"/>
    </x:row>
    <x:row r="693" spans="1:1">
      <x:c r="A693" s="131"/>
    </x:row>
    <x:row r="694" spans="1:1">
      <x:c r="A694" s="131"/>
    </x:row>
    <x:row r="695" spans="1:1">
      <x:c r="A695" s="131"/>
    </x:row>
    <x:row r="696" spans="1:1">
      <x:c r="A696" s="131"/>
    </x:row>
    <x:row r="697" spans="1:1">
      <x:c r="A697" s="131"/>
    </x:row>
    <x:row r="698" spans="1:1">
      <x:c r="A698" s="131"/>
    </x:row>
    <x:row r="699" spans="1:1">
      <x:c r="A699" s="131"/>
    </x:row>
    <x:row r="700" spans="1:1">
      <x:c r="A700" s="131"/>
    </x:row>
    <x:row r="701" spans="1:1">
      <x:c r="A701" s="131"/>
    </x:row>
    <x:row r="702" spans="1:1">
      <x:c r="A702" s="131"/>
    </x:row>
    <x:row r="703" spans="1:1">
      <x:c r="A703" s="131"/>
    </x:row>
    <x:row r="704" spans="1:1">
      <x:c r="A704" s="131"/>
    </x:row>
    <x:row r="705" spans="1:1">
      <x:c r="A705" s="131"/>
    </x:row>
    <x:row r="706" spans="1:1">
      <x:c r="A706" s="131"/>
    </x:row>
    <x:row r="707" spans="1:1">
      <x:c r="A707" s="131"/>
    </x:row>
    <x:row r="708" spans="1:1">
      <x:c r="A708" s="131"/>
    </x:row>
    <x:row r="709" spans="1:1">
      <x:c r="A709" s="131"/>
    </x:row>
    <x:row r="710" spans="1:1">
      <x:c r="A710" s="131"/>
    </x:row>
    <x:row r="711" spans="1:1">
      <x:c r="A711" s="131"/>
    </x:row>
    <x:row r="712" spans="1:1">
      <x:c r="A712" s="131"/>
    </x:row>
    <x:row r="713" spans="1:1">
      <x:c r="A713" s="131"/>
    </x:row>
    <x:row r="714" spans="1:1">
      <x:c r="A714" s="131"/>
    </x:row>
    <x:row r="715" spans="1:1">
      <x:c r="A715" s="131"/>
    </x:row>
    <x:row r="716" spans="1:1">
      <x:c r="A716" s="131"/>
    </x:row>
    <x:row r="717" spans="1:1">
      <x:c r="A717" s="131"/>
    </x:row>
    <x:row r="718" spans="1:1">
      <x:c r="A718" s="131"/>
    </x:row>
    <x:row r="719" spans="1:1">
      <x:c r="A719" s="131"/>
    </x:row>
    <x:row r="720" spans="1:1">
      <x:c r="A720" s="131"/>
    </x:row>
    <x:row r="721" spans="1:1">
      <x:c r="A721" s="131"/>
    </x:row>
    <x:row r="722" spans="1:1">
      <x:c r="A722" s="131"/>
    </x:row>
    <x:row r="723" spans="1:1">
      <x:c r="A723" s="131"/>
    </x:row>
    <x:row r="724" spans="1:1">
      <x:c r="A724" s="131"/>
    </x:row>
    <x:row r="725" spans="1:1">
      <x:c r="A725" s="131"/>
    </x:row>
    <x:row r="726" spans="1:1">
      <x:c r="A726" s="131"/>
    </x:row>
    <x:row r="727" spans="1:1">
      <x:c r="A727" s="131"/>
    </x:row>
    <x:row r="728" spans="1:1">
      <x:c r="A728" s="131"/>
    </x:row>
    <x:row r="729" spans="1:1">
      <x:c r="A729" s="131"/>
    </x:row>
    <x:row r="730" spans="1:1">
      <x:c r="A730" s="131"/>
    </x:row>
    <x:row r="731" spans="1:1">
      <x:c r="A731" s="131"/>
    </x:row>
    <x:row r="732" spans="1:1">
      <x:c r="A732" s="131"/>
    </x:row>
    <x:row r="733" spans="1:1">
      <x:c r="A733" s="131"/>
    </x:row>
    <x:row r="734" spans="1:1">
      <x:c r="A734" s="131"/>
    </x:row>
    <x:row r="735" spans="1:1">
      <x:c r="A735" s="131"/>
    </x:row>
    <x:row r="736" spans="1:1">
      <x:c r="A736" s="131"/>
    </x:row>
    <x:row r="737" spans="1:1">
      <x:c r="A737" s="131"/>
    </x:row>
    <x:row r="738" spans="1:1">
      <x:c r="A738" s="131"/>
    </x:row>
    <x:row r="739" spans="1:1">
      <x:c r="A739" s="131"/>
    </x:row>
    <x:row r="740" spans="1:1">
      <x:c r="A740" s="131"/>
    </x:row>
    <x:row r="741" spans="1:1">
      <x:c r="A741" s="131"/>
    </x:row>
    <x:row r="742" spans="1:1">
      <x:c r="A742" s="131"/>
    </x:row>
    <x:row r="743" spans="1:1">
      <x:c r="A743" s="131"/>
    </x:row>
    <x:row r="744" spans="1:1">
      <x:c r="A744" s="131"/>
    </x:row>
    <x:row r="745" spans="1:1">
      <x:c r="A745" s="131"/>
    </x:row>
    <x:row r="746" spans="1:1">
      <x:c r="A746" s="131"/>
    </x:row>
    <x:row r="747" spans="1:1">
      <x:c r="A747" s="131"/>
    </x:row>
    <x:row r="748" spans="1:1">
      <x:c r="A748" s="131"/>
    </x:row>
    <x:row r="749" spans="1:1">
      <x:c r="A749" s="131"/>
    </x:row>
    <x:row r="750" spans="1:1">
      <x:c r="A750" s="131"/>
    </x:row>
    <x:row r="751" spans="1:1">
      <x:c r="A751" s="131"/>
    </x:row>
    <x:row r="752" spans="1:1">
      <x:c r="A752" s="131"/>
    </x:row>
    <x:row r="753" spans="1:1">
      <x:c r="A753" s="131"/>
    </x:row>
    <x:row r="754" spans="1:1">
      <x:c r="A754" s="131"/>
    </x:row>
    <x:row r="755" spans="1:1">
      <x:c r="A755" s="131"/>
    </x:row>
    <x:row r="756" spans="1:1">
      <x:c r="A756" s="131"/>
    </x:row>
    <x:row r="757" spans="1:1">
      <x:c r="A757" s="131"/>
    </x:row>
    <x:row r="758" spans="1:1">
      <x:c r="A758" s="131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C1"/>
  <x:sheetViews>
    <x:sheetView topLeftCell="A1" zoomScaleNormal="100" zoomScaleSheetLayoutView="75" workbookViewId="0">
      <x:selection activeCell="E28" activeCellId="0" sqref="E28:O28"/>
    </x:sheetView>
  </x:sheetViews>
  <x:sheetFormatPr defaultColWidth="9" defaultRowHeight="16.5"/>
  <x:cols>
    <x:col min="1" max="1" width="29" customWidth="1"/>
    <x:col min="2" max="2" width="29.125" customWidth="1"/>
    <x:col min="3" max="3" width="36.125" customWidth="1"/>
  </x:cols>
  <x:sheetData>
    <x:row r="1" spans="1:3" ht="114.75" customHeight="1">
      <x:c r="A1" s="177" t="s">
        <x:v>255</x:v>
      </x:c>
      <x:c r="B1" s="176">
        <x:f>WORKDAY(시작일,ROUNDUP(NETWORKDAYS(시작일,종료일,공휴일)*80%,0),공휴일)</x:f>
        <x:v>46072</x:v>
      </x:c>
      <x:c r="C1" s="178" t="s">
        <x:v>94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기본입력</vt:lpstr>
      <vt:lpstr>세부시간표</vt:lpstr>
      <vt:lpstr>시간표(상용)</vt:lpstr>
      <vt:lpstr>훈련일지(1)</vt:lpstr>
      <vt:lpstr>훈련일지(2)</vt:lpstr>
      <vt:lpstr>훈련일</vt:lpstr>
      <vt:lpstr>80%시점</vt:lpstr>
    </vt:vector>
  </ep:TitlesOfParts>
  <ep:TotalTime>127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humantech</cp:lastModifiedBy>
  <cp:revision>50</cp:revision>
  <cp:lastPrinted>2025-12-03T08:11:50.000</cp:lastPrinted>
  <dcterms:created xsi:type="dcterms:W3CDTF">2022-07-25T02:46:28.000</dcterms:created>
  <dcterms:modified xsi:type="dcterms:W3CDTF">2025-12-26T07:52:35.418</dcterms:modified>
  <cp:version>1200.0100.01</cp:version>
</cp:coreProperties>
</file>